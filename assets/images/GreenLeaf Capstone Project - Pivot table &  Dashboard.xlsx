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ome\Desktop\"/>
    </mc:Choice>
  </mc:AlternateContent>
  <xr:revisionPtr revIDLastSave="0" documentId="8_{1BB600DE-0D36-4B93-8585-BC73B619A974}" xr6:coauthVersionLast="47" xr6:coauthVersionMax="47" xr10:uidLastSave="{00000000-0000-0000-0000-000000000000}"/>
  <bookViews>
    <workbookView xWindow="-108" yWindow="-108" windowWidth="23256" windowHeight="12456" activeTab="4" xr2:uid="{00000000-000D-0000-FFFF-FFFF00000000}"/>
  </bookViews>
  <sheets>
    <sheet name="Raw_Data" sheetId="1" r:id="rId1"/>
    <sheet name="Clean_Data" sheetId="2" r:id="rId2"/>
    <sheet name="KPI_Calculations" sheetId="3" r:id="rId3"/>
    <sheet name="Pivot_Tables_And_Charts" sheetId="4" r:id="rId4"/>
    <sheet name="Dashboard" sheetId="5" r:id="rId5"/>
  </sheets>
  <definedNames>
    <definedName name="_xlnm._FilterDatabase" localSheetId="0" hidden="1">Raw_Data!$A$1:$K$1001</definedName>
    <definedName name="NativeTimeline_Order_Date">#N/A</definedName>
    <definedName name="Slicer_Month">#N/A</definedName>
    <definedName name="Slicer_Product_Category">#N/A</definedName>
    <definedName name="Slicer_Shipment_Status">#N/A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 i="5" l="1" a="1"/>
  <c r="B7" i="5" s="1"/>
  <c r="N7" i="5"/>
  <c r="K7" i="5"/>
  <c r="H7" i="5"/>
  <c r="E7" i="5" a="1"/>
  <c r="E7" i="5" s="1"/>
  <c r="A2" i="3"/>
  <c r="C6" i="3"/>
  <c r="B6" i="3"/>
  <c r="A6" i="3"/>
  <c r="G2" i="3"/>
  <c r="H2" i="3"/>
  <c r="F2" i="3"/>
  <c r="E2" i="3"/>
  <c r="D2" i="3"/>
  <c r="C2" i="3"/>
  <c r="B2" i="3"/>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L2" i="2"/>
  <c r="N2" i="2" s="1"/>
  <c r="L3" i="2"/>
  <c r="N3" i="2" s="1"/>
  <c r="L4" i="2"/>
  <c r="N4" i="2" s="1"/>
  <c r="L5" i="2"/>
  <c r="N5" i="2" s="1"/>
  <c r="L6" i="2"/>
  <c r="N6" i="2" s="1"/>
  <c r="L7" i="2"/>
  <c r="N7" i="2" s="1"/>
  <c r="L8" i="2"/>
  <c r="N8" i="2" s="1"/>
  <c r="L9" i="2"/>
  <c r="N9" i="2" s="1"/>
  <c r="P9" i="2" s="1"/>
  <c r="L10" i="2"/>
  <c r="N10" i="2" s="1"/>
  <c r="L11" i="2"/>
  <c r="N11" i="2" s="1"/>
  <c r="L12" i="2"/>
  <c r="N12" i="2" s="1"/>
  <c r="L13" i="2"/>
  <c r="N13" i="2" s="1"/>
  <c r="P13" i="2" s="1"/>
  <c r="L14" i="2"/>
  <c r="N14" i="2" s="1"/>
  <c r="L15" i="2"/>
  <c r="N15" i="2" s="1"/>
  <c r="L16" i="2"/>
  <c r="N16" i="2" s="1"/>
  <c r="L17" i="2"/>
  <c r="N17" i="2" s="1"/>
  <c r="L18" i="2"/>
  <c r="N18" i="2" s="1"/>
  <c r="L19" i="2"/>
  <c r="N19" i="2" s="1"/>
  <c r="L20" i="2"/>
  <c r="N20" i="2" s="1"/>
  <c r="L21" i="2"/>
  <c r="N21" i="2" s="1"/>
  <c r="P21" i="2" s="1"/>
  <c r="L22" i="2"/>
  <c r="N22" i="2" s="1"/>
  <c r="L23" i="2"/>
  <c r="N23" i="2" s="1"/>
  <c r="L24" i="2"/>
  <c r="N24" i="2" s="1"/>
  <c r="P24" i="2" s="1"/>
  <c r="L25" i="2"/>
  <c r="N25" i="2" s="1"/>
  <c r="L26" i="2"/>
  <c r="N26" i="2" s="1"/>
  <c r="L27" i="2"/>
  <c r="N27" i="2" s="1"/>
  <c r="L28" i="2"/>
  <c r="N28" i="2" s="1"/>
  <c r="L29" i="2"/>
  <c r="N29" i="2" s="1"/>
  <c r="L30" i="2"/>
  <c r="N30" i="2" s="1"/>
  <c r="L31" i="2"/>
  <c r="N31" i="2" s="1"/>
  <c r="L32" i="2"/>
  <c r="N32" i="2" s="1"/>
  <c r="L33" i="2"/>
  <c r="N33" i="2" s="1"/>
  <c r="P33" i="2" s="1"/>
  <c r="L34" i="2"/>
  <c r="N34" i="2" s="1"/>
  <c r="L35" i="2"/>
  <c r="N35" i="2" s="1"/>
  <c r="L36" i="2"/>
  <c r="N36" i="2" s="1"/>
  <c r="L37" i="2"/>
  <c r="N37" i="2" s="1"/>
  <c r="L38" i="2"/>
  <c r="N38" i="2" s="1"/>
  <c r="L39" i="2"/>
  <c r="N39" i="2" s="1"/>
  <c r="L40" i="2"/>
  <c r="N40" i="2" s="1"/>
  <c r="L41" i="2"/>
  <c r="N41" i="2" s="1"/>
  <c r="P41" i="2" s="1"/>
  <c r="L42" i="2"/>
  <c r="N42" i="2" s="1"/>
  <c r="L43" i="2"/>
  <c r="N43" i="2" s="1"/>
  <c r="L44" i="2"/>
  <c r="N44" i="2" s="1"/>
  <c r="L45" i="2"/>
  <c r="N45" i="2" s="1"/>
  <c r="P45" i="2" s="1"/>
  <c r="Q45" i="2" s="1"/>
  <c r="L46" i="2"/>
  <c r="N46" i="2" s="1"/>
  <c r="L47" i="2"/>
  <c r="N47" i="2" s="1"/>
  <c r="L48" i="2"/>
  <c r="N48" i="2" s="1"/>
  <c r="L49" i="2"/>
  <c r="N49" i="2" s="1"/>
  <c r="L50" i="2"/>
  <c r="N50" i="2" s="1"/>
  <c r="L51" i="2"/>
  <c r="N51" i="2" s="1"/>
  <c r="L52" i="2"/>
  <c r="N52" i="2" s="1"/>
  <c r="L53" i="2"/>
  <c r="N53" i="2" s="1"/>
  <c r="P53" i="2" s="1"/>
  <c r="L54" i="2"/>
  <c r="N54" i="2" s="1"/>
  <c r="L55" i="2"/>
  <c r="N55" i="2" s="1"/>
  <c r="L56" i="2"/>
  <c r="N56" i="2" s="1"/>
  <c r="L57" i="2"/>
  <c r="N57" i="2" s="1"/>
  <c r="L58" i="2"/>
  <c r="N58" i="2" s="1"/>
  <c r="L59" i="2"/>
  <c r="N59" i="2" s="1"/>
  <c r="L60" i="2"/>
  <c r="N60" i="2" s="1"/>
  <c r="L61" i="2"/>
  <c r="N61" i="2" s="1"/>
  <c r="L62" i="2"/>
  <c r="N62" i="2" s="1"/>
  <c r="L63" i="2"/>
  <c r="N63" i="2" s="1"/>
  <c r="L64" i="2"/>
  <c r="N64" i="2" s="1"/>
  <c r="L65" i="2"/>
  <c r="N65" i="2" s="1"/>
  <c r="P65" i="2" s="1"/>
  <c r="L66" i="2"/>
  <c r="N66" i="2" s="1"/>
  <c r="L67" i="2"/>
  <c r="N67" i="2" s="1"/>
  <c r="L68" i="2"/>
  <c r="N68" i="2" s="1"/>
  <c r="L69" i="2"/>
  <c r="N69" i="2" s="1"/>
  <c r="L70" i="2"/>
  <c r="N70" i="2" s="1"/>
  <c r="L71" i="2"/>
  <c r="N71" i="2" s="1"/>
  <c r="L72" i="2"/>
  <c r="N72" i="2" s="1"/>
  <c r="L73" i="2"/>
  <c r="N73" i="2" s="1"/>
  <c r="P73" i="2" s="1"/>
  <c r="L74" i="2"/>
  <c r="N74" i="2" s="1"/>
  <c r="L75" i="2"/>
  <c r="N75" i="2" s="1"/>
  <c r="L76" i="2"/>
  <c r="N76" i="2" s="1"/>
  <c r="L77" i="2"/>
  <c r="N77" i="2" s="1"/>
  <c r="P77" i="2" s="1"/>
  <c r="L78" i="2"/>
  <c r="N78" i="2" s="1"/>
  <c r="L79" i="2"/>
  <c r="N79" i="2" s="1"/>
  <c r="L80" i="2"/>
  <c r="N80" i="2" s="1"/>
  <c r="L81" i="2"/>
  <c r="N81" i="2" s="1"/>
  <c r="L82" i="2"/>
  <c r="N82" i="2" s="1"/>
  <c r="L83" i="2"/>
  <c r="N83" i="2" s="1"/>
  <c r="L84" i="2"/>
  <c r="N84" i="2" s="1"/>
  <c r="L85" i="2"/>
  <c r="N85" i="2" s="1"/>
  <c r="P85" i="2" s="1"/>
  <c r="L86" i="2"/>
  <c r="N86" i="2" s="1"/>
  <c r="L87" i="2"/>
  <c r="N87" i="2" s="1"/>
  <c r="L88" i="2"/>
  <c r="N88" i="2" s="1"/>
  <c r="P88" i="2" s="1"/>
  <c r="L89" i="2"/>
  <c r="N89" i="2" s="1"/>
  <c r="L90" i="2"/>
  <c r="N90" i="2" s="1"/>
  <c r="L91" i="2"/>
  <c r="N91" i="2" s="1"/>
  <c r="L92" i="2"/>
  <c r="N92" i="2" s="1"/>
  <c r="L93" i="2"/>
  <c r="N93" i="2" s="1"/>
  <c r="L94" i="2"/>
  <c r="N94" i="2" s="1"/>
  <c r="L95" i="2"/>
  <c r="N95" i="2" s="1"/>
  <c r="L96" i="2"/>
  <c r="N96" i="2" s="1"/>
  <c r="L97" i="2"/>
  <c r="N97" i="2" s="1"/>
  <c r="P97" i="2" s="1"/>
  <c r="L98" i="2"/>
  <c r="N98" i="2" s="1"/>
  <c r="L99" i="2"/>
  <c r="N99" i="2" s="1"/>
  <c r="L100" i="2"/>
  <c r="N100" i="2" s="1"/>
  <c r="L101" i="2"/>
  <c r="N101" i="2" s="1"/>
  <c r="L102" i="2"/>
  <c r="N102" i="2" s="1"/>
  <c r="L103" i="2"/>
  <c r="N103" i="2" s="1"/>
  <c r="L104" i="2"/>
  <c r="N104" i="2" s="1"/>
  <c r="L105" i="2"/>
  <c r="N105" i="2" s="1"/>
  <c r="P105" i="2" s="1"/>
  <c r="L106" i="2"/>
  <c r="N106" i="2" s="1"/>
  <c r="L107" i="2"/>
  <c r="N107" i="2" s="1"/>
  <c r="L108" i="2"/>
  <c r="N108" i="2" s="1"/>
  <c r="L109" i="2"/>
  <c r="N109" i="2" s="1"/>
  <c r="P109" i="2" s="1"/>
  <c r="L110" i="2"/>
  <c r="N110" i="2" s="1"/>
  <c r="L111" i="2"/>
  <c r="N111" i="2" s="1"/>
  <c r="L112" i="2"/>
  <c r="N112" i="2" s="1"/>
  <c r="L113" i="2"/>
  <c r="N113" i="2" s="1"/>
  <c r="L114" i="2"/>
  <c r="N114" i="2" s="1"/>
  <c r="L115" i="2"/>
  <c r="N115" i="2" s="1"/>
  <c r="L116" i="2"/>
  <c r="N116" i="2" s="1"/>
  <c r="L117" i="2"/>
  <c r="N117" i="2" s="1"/>
  <c r="P117" i="2" s="1"/>
  <c r="L118" i="2"/>
  <c r="N118" i="2" s="1"/>
  <c r="L119" i="2"/>
  <c r="N119" i="2" s="1"/>
  <c r="P119" i="2" s="1"/>
  <c r="L120" i="2"/>
  <c r="N120" i="2" s="1"/>
  <c r="L121" i="2"/>
  <c r="N121" i="2" s="1"/>
  <c r="L122" i="2"/>
  <c r="N122" i="2" s="1"/>
  <c r="L123" i="2"/>
  <c r="N123" i="2" s="1"/>
  <c r="P123" i="2" s="1"/>
  <c r="L124" i="2"/>
  <c r="N124" i="2" s="1"/>
  <c r="P124" i="2" s="1"/>
  <c r="L125" i="2"/>
  <c r="N125" i="2" s="1"/>
  <c r="L126" i="2"/>
  <c r="N126" i="2" s="1"/>
  <c r="L127" i="2"/>
  <c r="N127" i="2" s="1"/>
  <c r="P127" i="2" s="1"/>
  <c r="L128" i="2"/>
  <c r="N128" i="2" s="1"/>
  <c r="L129" i="2"/>
  <c r="N129" i="2" s="1"/>
  <c r="L130" i="2"/>
  <c r="N130" i="2" s="1"/>
  <c r="L131" i="2"/>
  <c r="N131" i="2" s="1"/>
  <c r="L132" i="2"/>
  <c r="N132" i="2" s="1"/>
  <c r="L133" i="2"/>
  <c r="N133" i="2" s="1"/>
  <c r="L134" i="2"/>
  <c r="N134" i="2" s="1"/>
  <c r="L135" i="2"/>
  <c r="N135" i="2" s="1"/>
  <c r="P135" i="2" s="1"/>
  <c r="L136" i="2"/>
  <c r="N136" i="2" s="1"/>
  <c r="L137" i="2"/>
  <c r="N137" i="2" s="1"/>
  <c r="P137" i="2" s="1"/>
  <c r="L138" i="2"/>
  <c r="N138" i="2" s="1"/>
  <c r="L139" i="2"/>
  <c r="N139" i="2" s="1"/>
  <c r="P139" i="2" s="1"/>
  <c r="L140" i="2"/>
  <c r="N140" i="2" s="1"/>
  <c r="L141" i="2"/>
  <c r="N141" i="2" s="1"/>
  <c r="L142" i="2"/>
  <c r="N142" i="2" s="1"/>
  <c r="L143" i="2"/>
  <c r="N143" i="2" s="1"/>
  <c r="P143" i="2" s="1"/>
  <c r="L144" i="2"/>
  <c r="N144" i="2" s="1"/>
  <c r="L145" i="2"/>
  <c r="N145" i="2" s="1"/>
  <c r="P145" i="2" s="1"/>
  <c r="L146" i="2"/>
  <c r="N146" i="2" s="1"/>
  <c r="L147" i="2"/>
  <c r="N147" i="2" s="1"/>
  <c r="L148" i="2"/>
  <c r="N148" i="2" s="1"/>
  <c r="L149" i="2"/>
  <c r="N149" i="2" s="1"/>
  <c r="L150" i="2"/>
  <c r="N150" i="2" s="1"/>
  <c r="L151" i="2"/>
  <c r="N151" i="2" s="1"/>
  <c r="P151" i="2" s="1"/>
  <c r="L152" i="2"/>
  <c r="N152" i="2" s="1"/>
  <c r="L153" i="2"/>
  <c r="N153" i="2" s="1"/>
  <c r="P153" i="2" s="1"/>
  <c r="L154" i="2"/>
  <c r="N154" i="2" s="1"/>
  <c r="L155" i="2"/>
  <c r="N155" i="2" s="1"/>
  <c r="P155" i="2" s="1"/>
  <c r="L156" i="2"/>
  <c r="N156" i="2" s="1"/>
  <c r="L157" i="2"/>
  <c r="N157" i="2" s="1"/>
  <c r="L158" i="2"/>
  <c r="N158" i="2" s="1"/>
  <c r="L159" i="2"/>
  <c r="N159" i="2" s="1"/>
  <c r="P159" i="2" s="1"/>
  <c r="L160" i="2"/>
  <c r="N160" i="2" s="1"/>
  <c r="P160" i="2" s="1"/>
  <c r="L161" i="2"/>
  <c r="N161" i="2" s="1"/>
  <c r="L162" i="2"/>
  <c r="N162" i="2" s="1"/>
  <c r="L163" i="2"/>
  <c r="N163" i="2" s="1"/>
  <c r="L164" i="2"/>
  <c r="N164" i="2" s="1"/>
  <c r="L165" i="2"/>
  <c r="N165" i="2" s="1"/>
  <c r="P165" i="2" s="1"/>
  <c r="L166" i="2"/>
  <c r="N166" i="2" s="1"/>
  <c r="L167" i="2"/>
  <c r="N167" i="2" s="1"/>
  <c r="P167" i="2" s="1"/>
  <c r="L168" i="2"/>
  <c r="N168" i="2" s="1"/>
  <c r="L169" i="2"/>
  <c r="N169" i="2" s="1"/>
  <c r="L170" i="2"/>
  <c r="N170" i="2" s="1"/>
  <c r="L171" i="2"/>
  <c r="N171" i="2" s="1"/>
  <c r="P171" i="2" s="1"/>
  <c r="L172" i="2"/>
  <c r="N172" i="2" s="1"/>
  <c r="P172" i="2" s="1"/>
  <c r="L173" i="2"/>
  <c r="N173" i="2" s="1"/>
  <c r="P173" i="2" s="1"/>
  <c r="L174" i="2"/>
  <c r="N174" i="2" s="1"/>
  <c r="L175" i="2"/>
  <c r="N175" i="2" s="1"/>
  <c r="P175" i="2" s="1"/>
  <c r="L176" i="2"/>
  <c r="N176" i="2" s="1"/>
  <c r="L177" i="2"/>
  <c r="N177" i="2" s="1"/>
  <c r="L178" i="2"/>
  <c r="N178" i="2" s="1"/>
  <c r="L179" i="2"/>
  <c r="N179" i="2" s="1"/>
  <c r="L180" i="2"/>
  <c r="N180" i="2" s="1"/>
  <c r="L181" i="2"/>
  <c r="N181" i="2" s="1"/>
  <c r="P181" i="2" s="1"/>
  <c r="L182" i="2"/>
  <c r="N182" i="2" s="1"/>
  <c r="L183" i="2"/>
  <c r="N183" i="2" s="1"/>
  <c r="P183" i="2" s="1"/>
  <c r="L184" i="2"/>
  <c r="N184" i="2" s="1"/>
  <c r="L185" i="2"/>
  <c r="N185" i="2" s="1"/>
  <c r="L186" i="2"/>
  <c r="N186" i="2" s="1"/>
  <c r="L187" i="2"/>
  <c r="N187" i="2" s="1"/>
  <c r="P187" i="2" s="1"/>
  <c r="L188" i="2"/>
  <c r="N188" i="2" s="1"/>
  <c r="L189" i="2"/>
  <c r="N189" i="2" s="1"/>
  <c r="L190" i="2"/>
  <c r="N190" i="2" s="1"/>
  <c r="L191" i="2"/>
  <c r="N191" i="2" s="1"/>
  <c r="P191" i="2" s="1"/>
  <c r="L192" i="2"/>
  <c r="N192" i="2" s="1"/>
  <c r="L193" i="2"/>
  <c r="N193" i="2" s="1"/>
  <c r="P193" i="2" s="1"/>
  <c r="L194" i="2"/>
  <c r="N194" i="2" s="1"/>
  <c r="L195" i="2"/>
  <c r="N195" i="2" s="1"/>
  <c r="L196" i="2"/>
  <c r="N196" i="2" s="1"/>
  <c r="L197" i="2"/>
  <c r="N197" i="2" s="1"/>
  <c r="L198" i="2"/>
  <c r="N198" i="2" s="1"/>
  <c r="L199" i="2"/>
  <c r="N199" i="2" s="1"/>
  <c r="P199" i="2" s="1"/>
  <c r="L200" i="2"/>
  <c r="N200" i="2" s="1"/>
  <c r="L201" i="2"/>
  <c r="N201" i="2" s="1"/>
  <c r="P201" i="2" s="1"/>
  <c r="L202" i="2"/>
  <c r="N202" i="2" s="1"/>
  <c r="L203" i="2"/>
  <c r="N203" i="2" s="1"/>
  <c r="P203" i="2" s="1"/>
  <c r="L204" i="2"/>
  <c r="N204" i="2" s="1"/>
  <c r="L205" i="2"/>
  <c r="N205" i="2" s="1"/>
  <c r="L206" i="2"/>
  <c r="N206" i="2" s="1"/>
  <c r="L207" i="2"/>
  <c r="N207" i="2" s="1"/>
  <c r="P207" i="2" s="1"/>
  <c r="L208" i="2"/>
  <c r="N208" i="2" s="1"/>
  <c r="P208" i="2" s="1"/>
  <c r="L209" i="2"/>
  <c r="N209" i="2" s="1"/>
  <c r="P209" i="2" s="1"/>
  <c r="L210" i="2"/>
  <c r="N210" i="2" s="1"/>
  <c r="L211" i="2"/>
  <c r="N211" i="2" s="1"/>
  <c r="L212" i="2"/>
  <c r="N212" i="2" s="1"/>
  <c r="L213" i="2"/>
  <c r="N213" i="2" s="1"/>
  <c r="L214" i="2"/>
  <c r="N214" i="2" s="1"/>
  <c r="L215" i="2"/>
  <c r="N215" i="2" s="1"/>
  <c r="P215" i="2" s="1"/>
  <c r="L216" i="2"/>
  <c r="N216" i="2" s="1"/>
  <c r="L217" i="2"/>
  <c r="N217" i="2" s="1"/>
  <c r="P217" i="2" s="1"/>
  <c r="L218" i="2"/>
  <c r="N218" i="2" s="1"/>
  <c r="L219" i="2"/>
  <c r="N219" i="2" s="1"/>
  <c r="P219" i="2" s="1"/>
  <c r="L220" i="2"/>
  <c r="N220" i="2" s="1"/>
  <c r="L221" i="2"/>
  <c r="N221" i="2" s="1"/>
  <c r="L222" i="2"/>
  <c r="N222" i="2" s="1"/>
  <c r="L223" i="2"/>
  <c r="N223" i="2" s="1"/>
  <c r="P223" i="2" s="1"/>
  <c r="L224" i="2"/>
  <c r="N224" i="2" s="1"/>
  <c r="L225" i="2"/>
  <c r="N225" i="2" s="1"/>
  <c r="L226" i="2"/>
  <c r="N226" i="2" s="1"/>
  <c r="L227" i="2"/>
  <c r="N227" i="2" s="1"/>
  <c r="L228" i="2"/>
  <c r="N228" i="2" s="1"/>
  <c r="L229" i="2"/>
  <c r="N229" i="2" s="1"/>
  <c r="P229" i="2" s="1"/>
  <c r="L230" i="2"/>
  <c r="N230" i="2" s="1"/>
  <c r="L231" i="2"/>
  <c r="N231" i="2" s="1"/>
  <c r="P231" i="2" s="1"/>
  <c r="L232" i="2"/>
  <c r="N232" i="2" s="1"/>
  <c r="L233" i="2"/>
  <c r="N233" i="2" s="1"/>
  <c r="L234" i="2"/>
  <c r="N234" i="2" s="1"/>
  <c r="L235" i="2"/>
  <c r="N235" i="2" s="1"/>
  <c r="P235" i="2" s="1"/>
  <c r="L236" i="2"/>
  <c r="N236" i="2" s="1"/>
  <c r="L237" i="2"/>
  <c r="N237" i="2" s="1"/>
  <c r="L238" i="2"/>
  <c r="N238" i="2" s="1"/>
  <c r="L239" i="2"/>
  <c r="N239" i="2" s="1"/>
  <c r="P239" i="2" s="1"/>
  <c r="L240" i="2"/>
  <c r="N240" i="2" s="1"/>
  <c r="L241" i="2"/>
  <c r="N241" i="2" s="1"/>
  <c r="L242" i="2"/>
  <c r="N242" i="2" s="1"/>
  <c r="L243" i="2"/>
  <c r="N243" i="2" s="1"/>
  <c r="L244" i="2"/>
  <c r="N244" i="2" s="1"/>
  <c r="L245" i="2"/>
  <c r="N245" i="2" s="1"/>
  <c r="P245" i="2" s="1"/>
  <c r="L246" i="2"/>
  <c r="N246" i="2" s="1"/>
  <c r="L247" i="2"/>
  <c r="N247" i="2" s="1"/>
  <c r="P247" i="2" s="1"/>
  <c r="L248" i="2"/>
  <c r="N248" i="2" s="1"/>
  <c r="L249" i="2"/>
  <c r="N249" i="2" s="1"/>
  <c r="L250" i="2"/>
  <c r="N250" i="2" s="1"/>
  <c r="L251" i="2"/>
  <c r="N251" i="2" s="1"/>
  <c r="P251" i="2" s="1"/>
  <c r="L252" i="2"/>
  <c r="N252" i="2" s="1"/>
  <c r="L253" i="2"/>
  <c r="N253" i="2" s="1"/>
  <c r="L254" i="2"/>
  <c r="N254" i="2" s="1"/>
  <c r="L255" i="2"/>
  <c r="N255" i="2" s="1"/>
  <c r="P255" i="2" s="1"/>
  <c r="L256" i="2"/>
  <c r="N256" i="2" s="1"/>
  <c r="L257" i="2"/>
  <c r="N257" i="2" s="1"/>
  <c r="P257" i="2" s="1"/>
  <c r="L258" i="2"/>
  <c r="N258" i="2" s="1"/>
  <c r="L259" i="2"/>
  <c r="N259" i="2" s="1"/>
  <c r="L260" i="2"/>
  <c r="N260" i="2" s="1"/>
  <c r="P260" i="2" s="1"/>
  <c r="L261" i="2"/>
  <c r="N261" i="2" s="1"/>
  <c r="L262" i="2"/>
  <c r="N262" i="2" s="1"/>
  <c r="L263" i="2"/>
  <c r="N263" i="2" s="1"/>
  <c r="P263" i="2" s="1"/>
  <c r="L264" i="2"/>
  <c r="N264" i="2" s="1"/>
  <c r="L265" i="2"/>
  <c r="N265" i="2" s="1"/>
  <c r="P265" i="2" s="1"/>
  <c r="L266" i="2"/>
  <c r="N266" i="2" s="1"/>
  <c r="L267" i="2"/>
  <c r="N267" i="2" s="1"/>
  <c r="P267" i="2" s="1"/>
  <c r="L268" i="2"/>
  <c r="N268" i="2" s="1"/>
  <c r="L269" i="2"/>
  <c r="N269" i="2" s="1"/>
  <c r="L270" i="2"/>
  <c r="N270" i="2" s="1"/>
  <c r="L271" i="2"/>
  <c r="N271" i="2" s="1"/>
  <c r="P271" i="2" s="1"/>
  <c r="L272" i="2"/>
  <c r="N272" i="2" s="1"/>
  <c r="L273" i="2"/>
  <c r="N273" i="2" s="1"/>
  <c r="P273" i="2" s="1"/>
  <c r="L274" i="2"/>
  <c r="N274" i="2" s="1"/>
  <c r="L275" i="2"/>
  <c r="N275" i="2" s="1"/>
  <c r="L276" i="2"/>
  <c r="N276" i="2" s="1"/>
  <c r="L277" i="2"/>
  <c r="N277" i="2" s="1"/>
  <c r="L278" i="2"/>
  <c r="N278" i="2" s="1"/>
  <c r="L279" i="2"/>
  <c r="N279" i="2" s="1"/>
  <c r="P279" i="2" s="1"/>
  <c r="L280" i="2"/>
  <c r="N280" i="2" s="1"/>
  <c r="L281" i="2"/>
  <c r="N281" i="2" s="1"/>
  <c r="P281" i="2" s="1"/>
  <c r="L282" i="2"/>
  <c r="N282" i="2" s="1"/>
  <c r="L283" i="2"/>
  <c r="N283" i="2" s="1"/>
  <c r="P283" i="2" s="1"/>
  <c r="L284" i="2"/>
  <c r="N284" i="2" s="1"/>
  <c r="L285" i="2"/>
  <c r="N285" i="2" s="1"/>
  <c r="L286" i="2"/>
  <c r="N286" i="2" s="1"/>
  <c r="L287" i="2"/>
  <c r="N287" i="2" s="1"/>
  <c r="P287" i="2" s="1"/>
  <c r="L288" i="2"/>
  <c r="N288" i="2" s="1"/>
  <c r="L289" i="2"/>
  <c r="N289" i="2" s="1"/>
  <c r="L290" i="2"/>
  <c r="N290" i="2" s="1"/>
  <c r="L291" i="2"/>
  <c r="N291" i="2" s="1"/>
  <c r="L292" i="2"/>
  <c r="N292" i="2" s="1"/>
  <c r="L293" i="2"/>
  <c r="N293" i="2" s="1"/>
  <c r="P293" i="2" s="1"/>
  <c r="L294" i="2"/>
  <c r="N294" i="2" s="1"/>
  <c r="L295" i="2"/>
  <c r="N295" i="2" s="1"/>
  <c r="P295" i="2" s="1"/>
  <c r="L296" i="2"/>
  <c r="N296" i="2" s="1"/>
  <c r="L297" i="2"/>
  <c r="N297" i="2" s="1"/>
  <c r="L298" i="2"/>
  <c r="N298" i="2" s="1"/>
  <c r="L299" i="2"/>
  <c r="N299" i="2" s="1"/>
  <c r="P299" i="2" s="1"/>
  <c r="L300" i="2"/>
  <c r="N300" i="2" s="1"/>
  <c r="L301" i="2"/>
  <c r="N301" i="2" s="1"/>
  <c r="P301" i="2" s="1"/>
  <c r="L302" i="2"/>
  <c r="N302" i="2" s="1"/>
  <c r="L303" i="2"/>
  <c r="N303" i="2" s="1"/>
  <c r="P303" i="2" s="1"/>
  <c r="L304" i="2"/>
  <c r="N304" i="2" s="1"/>
  <c r="L305" i="2"/>
  <c r="N305" i="2" s="1"/>
  <c r="L306" i="2"/>
  <c r="N306" i="2" s="1"/>
  <c r="L307" i="2"/>
  <c r="N307" i="2" s="1"/>
  <c r="L308" i="2"/>
  <c r="N308" i="2" s="1"/>
  <c r="P308" i="2" s="1"/>
  <c r="L309" i="2"/>
  <c r="N309" i="2" s="1"/>
  <c r="P309" i="2" s="1"/>
  <c r="L310" i="2"/>
  <c r="N310" i="2" s="1"/>
  <c r="L311" i="2"/>
  <c r="N311" i="2" s="1"/>
  <c r="P311" i="2" s="1"/>
  <c r="L312" i="2"/>
  <c r="N312" i="2" s="1"/>
  <c r="L313" i="2"/>
  <c r="N313" i="2" s="1"/>
  <c r="L314" i="2"/>
  <c r="N314" i="2" s="1"/>
  <c r="L315" i="2"/>
  <c r="N315" i="2" s="1"/>
  <c r="P315" i="2" s="1"/>
  <c r="L316" i="2"/>
  <c r="N316" i="2" s="1"/>
  <c r="L317" i="2"/>
  <c r="N317" i="2" s="1"/>
  <c r="L318" i="2"/>
  <c r="N318" i="2" s="1"/>
  <c r="L319" i="2"/>
  <c r="N319" i="2" s="1"/>
  <c r="P319" i="2" s="1"/>
  <c r="L320" i="2"/>
  <c r="N320" i="2" s="1"/>
  <c r="L321" i="2"/>
  <c r="N321" i="2" s="1"/>
  <c r="P321" i="2" s="1"/>
  <c r="L322" i="2"/>
  <c r="N322" i="2" s="1"/>
  <c r="L323" i="2"/>
  <c r="N323" i="2" s="1"/>
  <c r="L324" i="2"/>
  <c r="N324" i="2" s="1"/>
  <c r="L325" i="2"/>
  <c r="N325" i="2" s="1"/>
  <c r="L326" i="2"/>
  <c r="N326" i="2" s="1"/>
  <c r="L327" i="2"/>
  <c r="N327" i="2" s="1"/>
  <c r="P327" i="2" s="1"/>
  <c r="L328" i="2"/>
  <c r="N328" i="2" s="1"/>
  <c r="L329" i="2"/>
  <c r="N329" i="2" s="1"/>
  <c r="P329" i="2" s="1"/>
  <c r="L330" i="2"/>
  <c r="N330" i="2" s="1"/>
  <c r="L331" i="2"/>
  <c r="N331" i="2" s="1"/>
  <c r="P331" i="2" s="1"/>
  <c r="L332" i="2"/>
  <c r="N332" i="2" s="1"/>
  <c r="L333" i="2"/>
  <c r="N333" i="2" s="1"/>
  <c r="L334" i="2"/>
  <c r="N334" i="2" s="1"/>
  <c r="L335" i="2"/>
  <c r="N335" i="2" s="1"/>
  <c r="P335" i="2" s="1"/>
  <c r="L336" i="2"/>
  <c r="N336" i="2" s="1"/>
  <c r="L337" i="2"/>
  <c r="N337" i="2" s="1"/>
  <c r="P337" i="2" s="1"/>
  <c r="L338" i="2"/>
  <c r="N338" i="2" s="1"/>
  <c r="L339" i="2"/>
  <c r="N339" i="2" s="1"/>
  <c r="L340" i="2"/>
  <c r="N340" i="2" s="1"/>
  <c r="L341" i="2"/>
  <c r="N341" i="2" s="1"/>
  <c r="L342" i="2"/>
  <c r="N342" i="2" s="1"/>
  <c r="P342" i="2" s="1"/>
  <c r="L343" i="2"/>
  <c r="N343" i="2" s="1"/>
  <c r="L344" i="2"/>
  <c r="N344" i="2" s="1"/>
  <c r="L345" i="2"/>
  <c r="N345" i="2" s="1"/>
  <c r="L346" i="2"/>
  <c r="N346" i="2" s="1"/>
  <c r="L347" i="2"/>
  <c r="N347" i="2" s="1"/>
  <c r="L348" i="2"/>
  <c r="N348" i="2" s="1"/>
  <c r="L349" i="2"/>
  <c r="N349" i="2" s="1"/>
  <c r="P349" i="2" s="1"/>
  <c r="L350" i="2"/>
  <c r="N350" i="2" s="1"/>
  <c r="L351" i="2"/>
  <c r="N351" i="2" s="1"/>
  <c r="L352" i="2"/>
  <c r="N352" i="2" s="1"/>
  <c r="L353" i="2"/>
  <c r="N353" i="2" s="1"/>
  <c r="P353" i="2" s="1"/>
  <c r="L354" i="2"/>
  <c r="N354" i="2" s="1"/>
  <c r="L355" i="2"/>
  <c r="N355" i="2" s="1"/>
  <c r="L356" i="2"/>
  <c r="N356" i="2" s="1"/>
  <c r="L357" i="2"/>
  <c r="N357" i="2" s="1"/>
  <c r="L358" i="2"/>
  <c r="N358" i="2" s="1"/>
  <c r="L359" i="2"/>
  <c r="N359" i="2" s="1"/>
  <c r="L360" i="2"/>
  <c r="N360" i="2" s="1"/>
  <c r="L361" i="2"/>
  <c r="N361" i="2" s="1"/>
  <c r="L362" i="2"/>
  <c r="N362" i="2" s="1"/>
  <c r="L363" i="2"/>
  <c r="N363" i="2" s="1"/>
  <c r="L364" i="2"/>
  <c r="N364" i="2" s="1"/>
  <c r="P364" i="2" s="1"/>
  <c r="L365" i="2"/>
  <c r="N365" i="2" s="1"/>
  <c r="P365" i="2" s="1"/>
  <c r="L366" i="2"/>
  <c r="N366" i="2" s="1"/>
  <c r="L367" i="2"/>
  <c r="N367" i="2" s="1"/>
  <c r="L368" i="2"/>
  <c r="N368" i="2" s="1"/>
  <c r="L369" i="2"/>
  <c r="N369" i="2" s="1"/>
  <c r="P369" i="2" s="1"/>
  <c r="L370" i="2"/>
  <c r="N370" i="2" s="1"/>
  <c r="L371" i="2"/>
  <c r="N371" i="2" s="1"/>
  <c r="L372" i="2"/>
  <c r="N372" i="2" s="1"/>
  <c r="L373" i="2"/>
  <c r="N373" i="2" s="1"/>
  <c r="L374" i="2"/>
  <c r="N374" i="2" s="1"/>
  <c r="P374" i="2" s="1"/>
  <c r="L375" i="2"/>
  <c r="N375" i="2" s="1"/>
  <c r="L376" i="2"/>
  <c r="N376" i="2" s="1"/>
  <c r="L377" i="2"/>
  <c r="N377" i="2" s="1"/>
  <c r="L378" i="2"/>
  <c r="N378" i="2" s="1"/>
  <c r="L379" i="2"/>
  <c r="N379" i="2" s="1"/>
  <c r="P379" i="2" s="1"/>
  <c r="L380" i="2"/>
  <c r="N380" i="2" s="1"/>
  <c r="L381" i="2"/>
  <c r="N381" i="2" s="1"/>
  <c r="P381" i="2" s="1"/>
  <c r="L382" i="2"/>
  <c r="N382" i="2" s="1"/>
  <c r="L383" i="2"/>
  <c r="N383" i="2" s="1"/>
  <c r="L384" i="2"/>
  <c r="N384" i="2" s="1"/>
  <c r="L385" i="2"/>
  <c r="N385" i="2" s="1"/>
  <c r="P385" i="2" s="1"/>
  <c r="L386" i="2"/>
  <c r="N386" i="2" s="1"/>
  <c r="L387" i="2"/>
  <c r="N387" i="2" s="1"/>
  <c r="L388" i="2"/>
  <c r="N388" i="2" s="1"/>
  <c r="L389" i="2"/>
  <c r="N389" i="2" s="1"/>
  <c r="L390" i="2"/>
  <c r="N390" i="2" s="1"/>
  <c r="L391" i="2"/>
  <c r="N391" i="2" s="1"/>
  <c r="L392" i="2"/>
  <c r="N392" i="2" s="1"/>
  <c r="L393" i="2"/>
  <c r="N393" i="2" s="1"/>
  <c r="L394" i="2"/>
  <c r="N394" i="2" s="1"/>
  <c r="L395" i="2"/>
  <c r="N395" i="2" s="1"/>
  <c r="L396" i="2"/>
  <c r="N396" i="2" s="1"/>
  <c r="P396" i="2" s="1"/>
  <c r="L397" i="2"/>
  <c r="N397" i="2" s="1"/>
  <c r="P397" i="2" s="1"/>
  <c r="L398" i="2"/>
  <c r="N398" i="2" s="1"/>
  <c r="L399" i="2"/>
  <c r="N399" i="2" s="1"/>
  <c r="L400" i="2"/>
  <c r="N400" i="2" s="1"/>
  <c r="L401" i="2"/>
  <c r="N401" i="2" s="1"/>
  <c r="P401" i="2" s="1"/>
  <c r="L402" i="2"/>
  <c r="N402" i="2" s="1"/>
  <c r="L403" i="2"/>
  <c r="N403" i="2" s="1"/>
  <c r="L404" i="2"/>
  <c r="N404" i="2" s="1"/>
  <c r="L405" i="2"/>
  <c r="N405" i="2" s="1"/>
  <c r="L406" i="2"/>
  <c r="N406" i="2" s="1"/>
  <c r="P406" i="2" s="1"/>
  <c r="L407" i="2"/>
  <c r="N407" i="2" s="1"/>
  <c r="L408" i="2"/>
  <c r="N408" i="2" s="1"/>
  <c r="L409" i="2"/>
  <c r="N409" i="2" s="1"/>
  <c r="L410" i="2"/>
  <c r="N410" i="2" s="1"/>
  <c r="L411" i="2"/>
  <c r="N411" i="2" s="1"/>
  <c r="L412" i="2"/>
  <c r="N412" i="2" s="1"/>
  <c r="L413" i="2"/>
  <c r="N413" i="2" s="1"/>
  <c r="P413" i="2" s="1"/>
  <c r="L414" i="2"/>
  <c r="N414" i="2" s="1"/>
  <c r="L415" i="2"/>
  <c r="N415" i="2" s="1"/>
  <c r="L416" i="2"/>
  <c r="N416" i="2" s="1"/>
  <c r="L417" i="2"/>
  <c r="N417" i="2" s="1"/>
  <c r="P417" i="2" s="1"/>
  <c r="L418" i="2"/>
  <c r="N418" i="2" s="1"/>
  <c r="L419" i="2"/>
  <c r="N419" i="2" s="1"/>
  <c r="L420" i="2"/>
  <c r="N420" i="2" s="1"/>
  <c r="L421" i="2"/>
  <c r="N421" i="2" s="1"/>
  <c r="L422" i="2"/>
  <c r="N422" i="2" s="1"/>
  <c r="L423" i="2"/>
  <c r="N423" i="2" s="1"/>
  <c r="L424" i="2"/>
  <c r="N424" i="2" s="1"/>
  <c r="L425" i="2"/>
  <c r="N425" i="2" s="1"/>
  <c r="L426" i="2"/>
  <c r="N426" i="2" s="1"/>
  <c r="L427" i="2"/>
  <c r="N427" i="2" s="1"/>
  <c r="L428" i="2"/>
  <c r="N428" i="2" s="1"/>
  <c r="P428" i="2" s="1"/>
  <c r="L429" i="2"/>
  <c r="N429" i="2" s="1"/>
  <c r="P429" i="2" s="1"/>
  <c r="L430" i="2"/>
  <c r="N430" i="2" s="1"/>
  <c r="L431" i="2"/>
  <c r="N431" i="2" s="1"/>
  <c r="L432" i="2"/>
  <c r="N432" i="2" s="1"/>
  <c r="L433" i="2"/>
  <c r="N433" i="2" s="1"/>
  <c r="P433" i="2" s="1"/>
  <c r="L434" i="2"/>
  <c r="N434" i="2" s="1"/>
  <c r="L435" i="2"/>
  <c r="N435" i="2" s="1"/>
  <c r="L436" i="2"/>
  <c r="N436" i="2" s="1"/>
  <c r="L437" i="2"/>
  <c r="N437" i="2" s="1"/>
  <c r="L438" i="2"/>
  <c r="N438" i="2" s="1"/>
  <c r="P438" i="2" s="1"/>
  <c r="L439" i="2"/>
  <c r="N439" i="2" s="1"/>
  <c r="L440" i="2"/>
  <c r="N440" i="2" s="1"/>
  <c r="L441" i="2"/>
  <c r="N441" i="2" s="1"/>
  <c r="L442" i="2"/>
  <c r="N442" i="2" s="1"/>
  <c r="L443" i="2"/>
  <c r="N443" i="2" s="1"/>
  <c r="L444" i="2"/>
  <c r="N444" i="2" s="1"/>
  <c r="L445" i="2"/>
  <c r="N445" i="2" s="1"/>
  <c r="P445" i="2" s="1"/>
  <c r="L446" i="2"/>
  <c r="N446" i="2" s="1"/>
  <c r="L447" i="2"/>
  <c r="N447" i="2" s="1"/>
  <c r="L448" i="2"/>
  <c r="N448" i="2" s="1"/>
  <c r="L449" i="2"/>
  <c r="N449" i="2" s="1"/>
  <c r="P449" i="2" s="1"/>
  <c r="L450" i="2"/>
  <c r="N450" i="2" s="1"/>
  <c r="L451" i="2"/>
  <c r="N451" i="2" s="1"/>
  <c r="L452" i="2"/>
  <c r="N452" i="2" s="1"/>
  <c r="L453" i="2"/>
  <c r="N453" i="2" s="1"/>
  <c r="L454" i="2"/>
  <c r="N454" i="2" s="1"/>
  <c r="L455" i="2"/>
  <c r="N455" i="2" s="1"/>
  <c r="L456" i="2"/>
  <c r="N456" i="2" s="1"/>
  <c r="L457" i="2"/>
  <c r="N457" i="2" s="1"/>
  <c r="L458" i="2"/>
  <c r="N458" i="2" s="1"/>
  <c r="L459" i="2"/>
  <c r="N459" i="2" s="1"/>
  <c r="L460" i="2"/>
  <c r="N460" i="2" s="1"/>
  <c r="P460" i="2" s="1"/>
  <c r="L461" i="2"/>
  <c r="N461" i="2" s="1"/>
  <c r="P461" i="2" s="1"/>
  <c r="L462" i="2"/>
  <c r="N462" i="2" s="1"/>
  <c r="L463" i="2"/>
  <c r="N463" i="2" s="1"/>
  <c r="L464" i="2"/>
  <c r="N464" i="2" s="1"/>
  <c r="L465" i="2"/>
  <c r="N465" i="2" s="1"/>
  <c r="P465" i="2" s="1"/>
  <c r="L466" i="2"/>
  <c r="N466" i="2" s="1"/>
  <c r="L467" i="2"/>
  <c r="N467" i="2" s="1"/>
  <c r="L468" i="2"/>
  <c r="N468" i="2" s="1"/>
  <c r="L469" i="2"/>
  <c r="N469" i="2" s="1"/>
  <c r="L470" i="2"/>
  <c r="N470" i="2" s="1"/>
  <c r="P470" i="2" s="1"/>
  <c r="L471" i="2"/>
  <c r="N471" i="2" s="1"/>
  <c r="L472" i="2"/>
  <c r="N472" i="2" s="1"/>
  <c r="L473" i="2"/>
  <c r="N473" i="2" s="1"/>
  <c r="L474" i="2"/>
  <c r="N474" i="2" s="1"/>
  <c r="L475" i="2"/>
  <c r="N475" i="2" s="1"/>
  <c r="L476" i="2"/>
  <c r="N476" i="2" s="1"/>
  <c r="L477" i="2"/>
  <c r="N477" i="2" s="1"/>
  <c r="P477" i="2" s="1"/>
  <c r="L478" i="2"/>
  <c r="N478" i="2" s="1"/>
  <c r="L479" i="2"/>
  <c r="N479" i="2" s="1"/>
  <c r="L480" i="2"/>
  <c r="N480" i="2" s="1"/>
  <c r="L481" i="2"/>
  <c r="N481" i="2" s="1"/>
  <c r="P481" i="2" s="1"/>
  <c r="L482" i="2"/>
  <c r="N482" i="2" s="1"/>
  <c r="L483" i="2"/>
  <c r="N483" i="2" s="1"/>
  <c r="L484" i="2"/>
  <c r="N484" i="2" s="1"/>
  <c r="L485" i="2"/>
  <c r="N485" i="2" s="1"/>
  <c r="L486" i="2"/>
  <c r="N486" i="2" s="1"/>
  <c r="L487" i="2"/>
  <c r="N487" i="2" s="1"/>
  <c r="L488" i="2"/>
  <c r="N488" i="2" s="1"/>
  <c r="L489" i="2"/>
  <c r="N489" i="2" s="1"/>
  <c r="L490" i="2"/>
  <c r="N490" i="2" s="1"/>
  <c r="L491" i="2"/>
  <c r="N491" i="2" s="1"/>
  <c r="L492" i="2"/>
  <c r="N492" i="2" s="1"/>
  <c r="P492" i="2" s="1"/>
  <c r="L493" i="2"/>
  <c r="N493" i="2" s="1"/>
  <c r="P493" i="2" s="1"/>
  <c r="L494" i="2"/>
  <c r="N494" i="2" s="1"/>
  <c r="L495" i="2"/>
  <c r="N495" i="2" s="1"/>
  <c r="L496" i="2"/>
  <c r="N496" i="2" s="1"/>
  <c r="L497" i="2"/>
  <c r="N497" i="2" s="1"/>
  <c r="P497" i="2" s="1"/>
  <c r="L498" i="2"/>
  <c r="N498" i="2" s="1"/>
  <c r="L499" i="2"/>
  <c r="N499" i="2" s="1"/>
  <c r="L500" i="2"/>
  <c r="N500" i="2" s="1"/>
  <c r="L501" i="2"/>
  <c r="N501" i="2" s="1"/>
  <c r="L502" i="2"/>
  <c r="N502" i="2" s="1"/>
  <c r="P502" i="2" s="1"/>
  <c r="L503" i="2"/>
  <c r="N503" i="2" s="1"/>
  <c r="L504" i="2"/>
  <c r="N504" i="2" s="1"/>
  <c r="L505" i="2"/>
  <c r="N505" i="2" s="1"/>
  <c r="L506" i="2"/>
  <c r="N506" i="2" s="1"/>
  <c r="L507" i="2"/>
  <c r="N507" i="2" s="1"/>
  <c r="L508" i="2"/>
  <c r="N508" i="2" s="1"/>
  <c r="L509" i="2"/>
  <c r="N509" i="2" s="1"/>
  <c r="P509" i="2" s="1"/>
  <c r="L510" i="2"/>
  <c r="N510" i="2" s="1"/>
  <c r="L511" i="2"/>
  <c r="N511" i="2" s="1"/>
  <c r="L512" i="2"/>
  <c r="N512" i="2" s="1"/>
  <c r="L513" i="2"/>
  <c r="N513" i="2" s="1"/>
  <c r="L514" i="2"/>
  <c r="N514" i="2" s="1"/>
  <c r="L515" i="2"/>
  <c r="N515" i="2" s="1"/>
  <c r="L516" i="2"/>
  <c r="N516" i="2" s="1"/>
  <c r="L517" i="2"/>
  <c r="N517" i="2" s="1"/>
  <c r="L518" i="2"/>
  <c r="N518" i="2" s="1"/>
  <c r="L519" i="2"/>
  <c r="N519" i="2" s="1"/>
  <c r="L520" i="2"/>
  <c r="N520" i="2" s="1"/>
  <c r="L521" i="2"/>
  <c r="N521" i="2" s="1"/>
  <c r="L522" i="2"/>
  <c r="N522" i="2" s="1"/>
  <c r="L523" i="2"/>
  <c r="N523" i="2" s="1"/>
  <c r="L524" i="2"/>
  <c r="N524" i="2" s="1"/>
  <c r="P524" i="2" s="1"/>
  <c r="L525" i="2"/>
  <c r="N525" i="2" s="1"/>
  <c r="P525" i="2" s="1"/>
  <c r="L526" i="2"/>
  <c r="N526" i="2" s="1"/>
  <c r="L527" i="2"/>
  <c r="N527" i="2" s="1"/>
  <c r="L528" i="2"/>
  <c r="N528" i="2" s="1"/>
  <c r="L529" i="2"/>
  <c r="N529" i="2" s="1"/>
  <c r="P529" i="2" s="1"/>
  <c r="L530" i="2"/>
  <c r="N530" i="2" s="1"/>
  <c r="L531" i="2"/>
  <c r="N531" i="2" s="1"/>
  <c r="L532" i="2"/>
  <c r="N532" i="2" s="1"/>
  <c r="L533" i="2"/>
  <c r="N533" i="2" s="1"/>
  <c r="L534" i="2"/>
  <c r="N534" i="2" s="1"/>
  <c r="P534" i="2" s="1"/>
  <c r="L535" i="2"/>
  <c r="N535" i="2" s="1"/>
  <c r="L536" i="2"/>
  <c r="N536" i="2" s="1"/>
  <c r="L537" i="2"/>
  <c r="N537" i="2" s="1"/>
  <c r="L538" i="2"/>
  <c r="N538" i="2" s="1"/>
  <c r="L539" i="2"/>
  <c r="N539" i="2" s="1"/>
  <c r="L540" i="2"/>
  <c r="N540" i="2" s="1"/>
  <c r="L541" i="2"/>
  <c r="N541" i="2" s="1"/>
  <c r="P541" i="2" s="1"/>
  <c r="L542" i="2"/>
  <c r="N542" i="2" s="1"/>
  <c r="L543" i="2"/>
  <c r="N543" i="2" s="1"/>
  <c r="L544" i="2"/>
  <c r="N544" i="2" s="1"/>
  <c r="L545" i="2"/>
  <c r="N545" i="2" s="1"/>
  <c r="P545" i="2" s="1"/>
  <c r="L546" i="2"/>
  <c r="N546" i="2" s="1"/>
  <c r="L547" i="2"/>
  <c r="N547" i="2" s="1"/>
  <c r="L548" i="2"/>
  <c r="N548" i="2" s="1"/>
  <c r="L549" i="2"/>
  <c r="N549" i="2" s="1"/>
  <c r="L550" i="2"/>
  <c r="N550" i="2" s="1"/>
  <c r="L551" i="2"/>
  <c r="N551" i="2" s="1"/>
  <c r="L552" i="2"/>
  <c r="N552" i="2" s="1"/>
  <c r="L553" i="2"/>
  <c r="N553" i="2" s="1"/>
  <c r="L554" i="2"/>
  <c r="N554" i="2" s="1"/>
  <c r="L555" i="2"/>
  <c r="N555" i="2" s="1"/>
  <c r="L556" i="2"/>
  <c r="N556" i="2" s="1"/>
  <c r="P556" i="2" s="1"/>
  <c r="L557" i="2"/>
  <c r="N557" i="2" s="1"/>
  <c r="P557" i="2" s="1"/>
  <c r="L558" i="2"/>
  <c r="N558" i="2" s="1"/>
  <c r="L559" i="2"/>
  <c r="N559" i="2" s="1"/>
  <c r="L560" i="2"/>
  <c r="N560" i="2" s="1"/>
  <c r="L561" i="2"/>
  <c r="N561" i="2" s="1"/>
  <c r="P561" i="2" s="1"/>
  <c r="L562" i="2"/>
  <c r="N562" i="2" s="1"/>
  <c r="L563" i="2"/>
  <c r="N563" i="2" s="1"/>
  <c r="L564" i="2"/>
  <c r="N564" i="2" s="1"/>
  <c r="L565" i="2"/>
  <c r="N565" i="2" s="1"/>
  <c r="L566" i="2"/>
  <c r="N566" i="2" s="1"/>
  <c r="P566" i="2" s="1"/>
  <c r="L567" i="2"/>
  <c r="N567" i="2" s="1"/>
  <c r="L568" i="2"/>
  <c r="N568" i="2" s="1"/>
  <c r="L569" i="2"/>
  <c r="N569" i="2" s="1"/>
  <c r="L570" i="2"/>
  <c r="N570" i="2" s="1"/>
  <c r="L571" i="2"/>
  <c r="N571" i="2" s="1"/>
  <c r="L572" i="2"/>
  <c r="N572" i="2" s="1"/>
  <c r="L573" i="2"/>
  <c r="N573" i="2" s="1"/>
  <c r="P573" i="2" s="1"/>
  <c r="L574" i="2"/>
  <c r="N574" i="2" s="1"/>
  <c r="L575" i="2"/>
  <c r="N575" i="2" s="1"/>
  <c r="L576" i="2"/>
  <c r="N576" i="2" s="1"/>
  <c r="L577" i="2"/>
  <c r="N577" i="2" s="1"/>
  <c r="P577" i="2" s="1"/>
  <c r="Q577" i="2" s="1"/>
  <c r="L578" i="2"/>
  <c r="N578" i="2" s="1"/>
  <c r="L579" i="2"/>
  <c r="N579" i="2" s="1"/>
  <c r="L580" i="2"/>
  <c r="N580" i="2" s="1"/>
  <c r="L581" i="2"/>
  <c r="N581" i="2" s="1"/>
  <c r="L582" i="2"/>
  <c r="N582" i="2" s="1"/>
  <c r="L583" i="2"/>
  <c r="N583" i="2" s="1"/>
  <c r="L584" i="2"/>
  <c r="N584" i="2" s="1"/>
  <c r="L585" i="2"/>
  <c r="N585" i="2" s="1"/>
  <c r="L586" i="2"/>
  <c r="N586" i="2" s="1"/>
  <c r="L587" i="2"/>
  <c r="N587" i="2" s="1"/>
  <c r="L588" i="2"/>
  <c r="N588" i="2" s="1"/>
  <c r="P588" i="2" s="1"/>
  <c r="L589" i="2"/>
  <c r="N589" i="2" s="1"/>
  <c r="P589" i="2" s="1"/>
  <c r="L590" i="2"/>
  <c r="N590" i="2" s="1"/>
  <c r="L591" i="2"/>
  <c r="N591" i="2" s="1"/>
  <c r="L592" i="2"/>
  <c r="N592" i="2" s="1"/>
  <c r="L593" i="2"/>
  <c r="N593" i="2" s="1"/>
  <c r="P593" i="2" s="1"/>
  <c r="L594" i="2"/>
  <c r="N594" i="2" s="1"/>
  <c r="L595" i="2"/>
  <c r="N595" i="2" s="1"/>
  <c r="L596" i="2"/>
  <c r="N596" i="2" s="1"/>
  <c r="L597" i="2"/>
  <c r="N597" i="2" s="1"/>
  <c r="L598" i="2"/>
  <c r="N598" i="2" s="1"/>
  <c r="P598" i="2" s="1"/>
  <c r="L599" i="2"/>
  <c r="N599" i="2" s="1"/>
  <c r="L600" i="2"/>
  <c r="N600" i="2" s="1"/>
  <c r="L601" i="2"/>
  <c r="N601" i="2" s="1"/>
  <c r="L602" i="2"/>
  <c r="N602" i="2" s="1"/>
  <c r="L603" i="2"/>
  <c r="N603" i="2" s="1"/>
  <c r="L604" i="2"/>
  <c r="N604" i="2" s="1"/>
  <c r="L605" i="2"/>
  <c r="N605" i="2" s="1"/>
  <c r="P605" i="2" s="1"/>
  <c r="L606" i="2"/>
  <c r="N606" i="2" s="1"/>
  <c r="L607" i="2"/>
  <c r="N607" i="2" s="1"/>
  <c r="L608" i="2"/>
  <c r="N608" i="2" s="1"/>
  <c r="L609" i="2"/>
  <c r="N609" i="2" s="1"/>
  <c r="P609" i="2" s="1"/>
  <c r="L610" i="2"/>
  <c r="N610" i="2" s="1"/>
  <c r="L611" i="2"/>
  <c r="N611" i="2" s="1"/>
  <c r="L612" i="2"/>
  <c r="N612" i="2" s="1"/>
  <c r="L613" i="2"/>
  <c r="N613" i="2" s="1"/>
  <c r="L614" i="2"/>
  <c r="N614" i="2" s="1"/>
  <c r="L615" i="2"/>
  <c r="N615" i="2" s="1"/>
  <c r="L616" i="2"/>
  <c r="N616" i="2" s="1"/>
  <c r="L617" i="2"/>
  <c r="N617" i="2" s="1"/>
  <c r="L618" i="2"/>
  <c r="N618" i="2" s="1"/>
  <c r="L619" i="2"/>
  <c r="N619" i="2" s="1"/>
  <c r="L620" i="2"/>
  <c r="N620" i="2" s="1"/>
  <c r="P620" i="2" s="1"/>
  <c r="L621" i="2"/>
  <c r="N621" i="2" s="1"/>
  <c r="P621" i="2" s="1"/>
  <c r="L622" i="2"/>
  <c r="N622" i="2" s="1"/>
  <c r="L623" i="2"/>
  <c r="N623" i="2" s="1"/>
  <c r="L624" i="2"/>
  <c r="N624" i="2" s="1"/>
  <c r="L625" i="2"/>
  <c r="N625" i="2" s="1"/>
  <c r="P625" i="2" s="1"/>
  <c r="L626" i="2"/>
  <c r="N626" i="2" s="1"/>
  <c r="L627" i="2"/>
  <c r="N627" i="2" s="1"/>
  <c r="L628" i="2"/>
  <c r="N628" i="2" s="1"/>
  <c r="L629" i="2"/>
  <c r="N629" i="2" s="1"/>
  <c r="P629" i="2" s="1"/>
  <c r="L630" i="2"/>
  <c r="N630" i="2" s="1"/>
  <c r="L631" i="2"/>
  <c r="N631" i="2" s="1"/>
  <c r="L632" i="2"/>
  <c r="N632" i="2" s="1"/>
  <c r="L633" i="2"/>
  <c r="N633" i="2" s="1"/>
  <c r="L634" i="2"/>
  <c r="N634" i="2" s="1"/>
  <c r="L635" i="2"/>
  <c r="N635" i="2" s="1"/>
  <c r="L636" i="2"/>
  <c r="N636" i="2" s="1"/>
  <c r="P636" i="2" s="1"/>
  <c r="L637" i="2"/>
  <c r="N637" i="2" s="1"/>
  <c r="P637" i="2" s="1"/>
  <c r="L638" i="2"/>
  <c r="N638" i="2" s="1"/>
  <c r="L639" i="2"/>
  <c r="N639" i="2" s="1"/>
  <c r="L640" i="2"/>
  <c r="N640" i="2" s="1"/>
  <c r="L641" i="2"/>
  <c r="N641" i="2" s="1"/>
  <c r="P641" i="2" s="1"/>
  <c r="L642" i="2"/>
  <c r="N642" i="2" s="1"/>
  <c r="P642" i="2" s="1"/>
  <c r="L643" i="2"/>
  <c r="N643" i="2" s="1"/>
  <c r="L644" i="2"/>
  <c r="N644" i="2" s="1"/>
  <c r="L645" i="2"/>
  <c r="N645" i="2" s="1"/>
  <c r="P645" i="2" s="1"/>
  <c r="L646" i="2"/>
  <c r="N646" i="2" s="1"/>
  <c r="L647" i="2"/>
  <c r="N647" i="2" s="1"/>
  <c r="L648" i="2"/>
  <c r="N648" i="2" s="1"/>
  <c r="L649" i="2"/>
  <c r="N649" i="2" s="1"/>
  <c r="L650" i="2"/>
  <c r="N650" i="2" s="1"/>
  <c r="P650" i="2" s="1"/>
  <c r="L651" i="2"/>
  <c r="N651" i="2" s="1"/>
  <c r="L652" i="2"/>
  <c r="N652" i="2" s="1"/>
  <c r="L653" i="2"/>
  <c r="N653" i="2" s="1"/>
  <c r="P653" i="2" s="1"/>
  <c r="L654" i="2"/>
  <c r="N654" i="2" s="1"/>
  <c r="L655" i="2"/>
  <c r="N655" i="2" s="1"/>
  <c r="L656" i="2"/>
  <c r="N656" i="2" s="1"/>
  <c r="L657" i="2"/>
  <c r="N657" i="2" s="1"/>
  <c r="P657" i="2" s="1"/>
  <c r="L658" i="2"/>
  <c r="N658" i="2" s="1"/>
  <c r="L659" i="2"/>
  <c r="N659" i="2" s="1"/>
  <c r="L660" i="2"/>
  <c r="N660" i="2" s="1"/>
  <c r="L661" i="2"/>
  <c r="N661" i="2" s="1"/>
  <c r="P661" i="2" s="1"/>
  <c r="L662" i="2"/>
  <c r="N662" i="2" s="1"/>
  <c r="P662" i="2" s="1"/>
  <c r="L663" i="2"/>
  <c r="N663" i="2" s="1"/>
  <c r="L664" i="2"/>
  <c r="N664" i="2" s="1"/>
  <c r="P664" i="2" s="1"/>
  <c r="L665" i="2"/>
  <c r="N665" i="2" s="1"/>
  <c r="L666" i="2"/>
  <c r="N666" i="2" s="1"/>
  <c r="L667" i="2"/>
  <c r="N667" i="2" s="1"/>
  <c r="L668" i="2"/>
  <c r="N668" i="2" s="1"/>
  <c r="L669" i="2"/>
  <c r="N669" i="2" s="1"/>
  <c r="P669" i="2" s="1"/>
  <c r="L670" i="2"/>
  <c r="N670" i="2" s="1"/>
  <c r="L671" i="2"/>
  <c r="N671" i="2" s="1"/>
  <c r="L672" i="2"/>
  <c r="N672" i="2" s="1"/>
  <c r="P672" i="2" s="1"/>
  <c r="L673" i="2"/>
  <c r="N673" i="2" s="1"/>
  <c r="P673" i="2" s="1"/>
  <c r="L674" i="2"/>
  <c r="N674" i="2" s="1"/>
  <c r="L675" i="2"/>
  <c r="N675" i="2" s="1"/>
  <c r="L676" i="2"/>
  <c r="N676" i="2" s="1"/>
  <c r="L677" i="2"/>
  <c r="N677" i="2" s="1"/>
  <c r="P677" i="2" s="1"/>
  <c r="Q677" i="2" s="1"/>
  <c r="L678" i="2"/>
  <c r="N678" i="2" s="1"/>
  <c r="P678" i="2" s="1"/>
  <c r="L679" i="2"/>
  <c r="N679" i="2" s="1"/>
  <c r="L680" i="2"/>
  <c r="N680" i="2" s="1"/>
  <c r="L681" i="2"/>
  <c r="N681" i="2" s="1"/>
  <c r="L682" i="2"/>
  <c r="N682" i="2" s="1"/>
  <c r="L683" i="2"/>
  <c r="N683" i="2" s="1"/>
  <c r="L684" i="2"/>
  <c r="N684" i="2" s="1"/>
  <c r="L685" i="2"/>
  <c r="N685" i="2" s="1"/>
  <c r="P685" i="2" s="1"/>
  <c r="L686" i="2"/>
  <c r="N686" i="2" s="1"/>
  <c r="L687" i="2"/>
  <c r="N687" i="2" s="1"/>
  <c r="L688" i="2"/>
  <c r="N688" i="2" s="1"/>
  <c r="L689" i="2"/>
  <c r="N689" i="2" s="1"/>
  <c r="P689" i="2" s="1"/>
  <c r="L690" i="2"/>
  <c r="N690" i="2" s="1"/>
  <c r="L691" i="2"/>
  <c r="N691" i="2" s="1"/>
  <c r="L692" i="2"/>
  <c r="N692" i="2" s="1"/>
  <c r="L693" i="2"/>
  <c r="N693" i="2" s="1"/>
  <c r="P693" i="2" s="1"/>
  <c r="L694" i="2"/>
  <c r="N694" i="2" s="1"/>
  <c r="L695" i="2"/>
  <c r="N695" i="2" s="1"/>
  <c r="L696" i="2"/>
  <c r="N696" i="2" s="1"/>
  <c r="L697" i="2"/>
  <c r="N697" i="2" s="1"/>
  <c r="L698" i="2"/>
  <c r="N698" i="2" s="1"/>
  <c r="L699" i="2"/>
  <c r="N699" i="2" s="1"/>
  <c r="L700" i="2"/>
  <c r="N700" i="2" s="1"/>
  <c r="P700" i="2" s="1"/>
  <c r="L701" i="2"/>
  <c r="N701" i="2" s="1"/>
  <c r="P701" i="2" s="1"/>
  <c r="L702" i="2"/>
  <c r="N702" i="2" s="1"/>
  <c r="L703" i="2"/>
  <c r="N703" i="2" s="1"/>
  <c r="L704" i="2"/>
  <c r="N704" i="2" s="1"/>
  <c r="L705" i="2"/>
  <c r="N705" i="2" s="1"/>
  <c r="P705" i="2" s="1"/>
  <c r="L706" i="2"/>
  <c r="N706" i="2" s="1"/>
  <c r="P706" i="2" s="1"/>
  <c r="L707" i="2"/>
  <c r="N707" i="2" s="1"/>
  <c r="L708" i="2"/>
  <c r="N708" i="2" s="1"/>
  <c r="L709" i="2"/>
  <c r="N709" i="2" s="1"/>
  <c r="L710" i="2"/>
  <c r="N710" i="2" s="1"/>
  <c r="L711" i="2"/>
  <c r="N711" i="2" s="1"/>
  <c r="L712" i="2"/>
  <c r="N712" i="2" s="1"/>
  <c r="L713" i="2"/>
  <c r="N713" i="2" s="1"/>
  <c r="L714" i="2"/>
  <c r="N714" i="2" s="1"/>
  <c r="P714" i="2" s="1"/>
  <c r="L715" i="2"/>
  <c r="N715" i="2" s="1"/>
  <c r="L716" i="2"/>
  <c r="N716" i="2" s="1"/>
  <c r="L717" i="2"/>
  <c r="N717" i="2" s="1"/>
  <c r="P717" i="2" s="1"/>
  <c r="L718" i="2"/>
  <c r="N718" i="2" s="1"/>
  <c r="L719" i="2"/>
  <c r="N719" i="2" s="1"/>
  <c r="L720" i="2"/>
  <c r="N720" i="2" s="1"/>
  <c r="L721" i="2"/>
  <c r="N721" i="2" s="1"/>
  <c r="P721" i="2" s="1"/>
  <c r="L722" i="2"/>
  <c r="N722" i="2" s="1"/>
  <c r="L723" i="2"/>
  <c r="N723" i="2" s="1"/>
  <c r="L724" i="2"/>
  <c r="N724" i="2" s="1"/>
  <c r="L725" i="2"/>
  <c r="N725" i="2" s="1"/>
  <c r="P725" i="2" s="1"/>
  <c r="L726" i="2"/>
  <c r="N726" i="2" s="1"/>
  <c r="L727" i="2"/>
  <c r="N727" i="2" s="1"/>
  <c r="L728" i="2"/>
  <c r="N728" i="2" s="1"/>
  <c r="P728" i="2" s="1"/>
  <c r="L729" i="2"/>
  <c r="N729" i="2" s="1"/>
  <c r="L730" i="2"/>
  <c r="N730" i="2" s="1"/>
  <c r="L731" i="2"/>
  <c r="N731" i="2" s="1"/>
  <c r="L732" i="2"/>
  <c r="N732" i="2" s="1"/>
  <c r="L733" i="2"/>
  <c r="N733" i="2" s="1"/>
  <c r="P733" i="2" s="1"/>
  <c r="L734" i="2"/>
  <c r="N734" i="2" s="1"/>
  <c r="L735" i="2"/>
  <c r="N735" i="2" s="1"/>
  <c r="L736" i="2"/>
  <c r="N736" i="2" s="1"/>
  <c r="P736" i="2" s="1"/>
  <c r="L737" i="2"/>
  <c r="N737" i="2" s="1"/>
  <c r="P737" i="2" s="1"/>
  <c r="L738" i="2"/>
  <c r="N738" i="2" s="1"/>
  <c r="L739" i="2"/>
  <c r="N739" i="2" s="1"/>
  <c r="L740" i="2"/>
  <c r="N740" i="2" s="1"/>
  <c r="L741" i="2"/>
  <c r="N741" i="2" s="1"/>
  <c r="P741" i="2" s="1"/>
  <c r="L742" i="2"/>
  <c r="N742" i="2" s="1"/>
  <c r="P742" i="2" s="1"/>
  <c r="L743" i="2"/>
  <c r="N743" i="2" s="1"/>
  <c r="L744" i="2"/>
  <c r="N744" i="2" s="1"/>
  <c r="L745" i="2"/>
  <c r="N745" i="2" s="1"/>
  <c r="L746" i="2"/>
  <c r="N746" i="2" s="1"/>
  <c r="L747" i="2"/>
  <c r="N747" i="2" s="1"/>
  <c r="L748" i="2"/>
  <c r="N748" i="2" s="1"/>
  <c r="L749" i="2"/>
  <c r="N749" i="2" s="1"/>
  <c r="P749" i="2" s="1"/>
  <c r="L750" i="2"/>
  <c r="N750" i="2" s="1"/>
  <c r="L751" i="2"/>
  <c r="N751" i="2" s="1"/>
  <c r="L752" i="2"/>
  <c r="N752" i="2" s="1"/>
  <c r="L753" i="2"/>
  <c r="N753" i="2" s="1"/>
  <c r="P753" i="2" s="1"/>
  <c r="L754" i="2"/>
  <c r="N754" i="2" s="1"/>
  <c r="L755" i="2"/>
  <c r="N755" i="2" s="1"/>
  <c r="L756" i="2"/>
  <c r="N756" i="2" s="1"/>
  <c r="L757" i="2"/>
  <c r="N757" i="2" s="1"/>
  <c r="P757" i="2" s="1"/>
  <c r="L758" i="2"/>
  <c r="N758" i="2" s="1"/>
  <c r="L759" i="2"/>
  <c r="N759" i="2" s="1"/>
  <c r="L760" i="2"/>
  <c r="N760" i="2" s="1"/>
  <c r="L761" i="2"/>
  <c r="N761" i="2" s="1"/>
  <c r="L762" i="2"/>
  <c r="N762" i="2" s="1"/>
  <c r="L763" i="2"/>
  <c r="N763" i="2" s="1"/>
  <c r="L764" i="2"/>
  <c r="N764" i="2" s="1"/>
  <c r="P764" i="2" s="1"/>
  <c r="L765" i="2"/>
  <c r="N765" i="2" s="1"/>
  <c r="P765" i="2" s="1"/>
  <c r="L766" i="2"/>
  <c r="N766" i="2" s="1"/>
  <c r="L767" i="2"/>
  <c r="N767" i="2" s="1"/>
  <c r="L768" i="2"/>
  <c r="N768" i="2" s="1"/>
  <c r="L769" i="2"/>
  <c r="N769" i="2" s="1"/>
  <c r="P769" i="2" s="1"/>
  <c r="L770" i="2"/>
  <c r="N770" i="2" s="1"/>
  <c r="P770" i="2" s="1"/>
  <c r="L771" i="2"/>
  <c r="N771" i="2" s="1"/>
  <c r="L772" i="2"/>
  <c r="N772" i="2" s="1"/>
  <c r="L773" i="2"/>
  <c r="N773" i="2" s="1"/>
  <c r="L774" i="2"/>
  <c r="N774" i="2" s="1"/>
  <c r="L775" i="2"/>
  <c r="N775" i="2" s="1"/>
  <c r="L776" i="2"/>
  <c r="N776" i="2" s="1"/>
  <c r="L777" i="2"/>
  <c r="N777" i="2" s="1"/>
  <c r="L778" i="2"/>
  <c r="N778" i="2" s="1"/>
  <c r="P778" i="2" s="1"/>
  <c r="L779" i="2"/>
  <c r="N779" i="2" s="1"/>
  <c r="L780" i="2"/>
  <c r="N780" i="2" s="1"/>
  <c r="L781" i="2"/>
  <c r="N781" i="2" s="1"/>
  <c r="P781" i="2" s="1"/>
  <c r="L782" i="2"/>
  <c r="N782" i="2" s="1"/>
  <c r="L783" i="2"/>
  <c r="N783" i="2" s="1"/>
  <c r="L784" i="2"/>
  <c r="N784" i="2" s="1"/>
  <c r="L785" i="2"/>
  <c r="N785" i="2" s="1"/>
  <c r="P785" i="2" s="1"/>
  <c r="L786" i="2"/>
  <c r="N786" i="2" s="1"/>
  <c r="L787" i="2"/>
  <c r="N787" i="2" s="1"/>
  <c r="L788" i="2"/>
  <c r="N788" i="2" s="1"/>
  <c r="L789" i="2"/>
  <c r="N789" i="2" s="1"/>
  <c r="P789" i="2" s="1"/>
  <c r="L790" i="2"/>
  <c r="N790" i="2" s="1"/>
  <c r="L791" i="2"/>
  <c r="N791" i="2" s="1"/>
  <c r="L792" i="2"/>
  <c r="N792" i="2" s="1"/>
  <c r="P792" i="2" s="1"/>
  <c r="L793" i="2"/>
  <c r="N793" i="2" s="1"/>
  <c r="L794" i="2"/>
  <c r="N794" i="2" s="1"/>
  <c r="L795" i="2"/>
  <c r="N795" i="2" s="1"/>
  <c r="L796" i="2"/>
  <c r="N796" i="2" s="1"/>
  <c r="L797" i="2"/>
  <c r="N797" i="2" s="1"/>
  <c r="L798" i="2"/>
  <c r="N798" i="2" s="1"/>
  <c r="P798" i="2" s="1"/>
  <c r="L799" i="2"/>
  <c r="N799" i="2" s="1"/>
  <c r="L800" i="2"/>
  <c r="N800" i="2" s="1"/>
  <c r="L801" i="2"/>
  <c r="N801" i="2" s="1"/>
  <c r="L802" i="2"/>
  <c r="N802" i="2" s="1"/>
  <c r="L803" i="2"/>
  <c r="N803" i="2" s="1"/>
  <c r="P803" i="2" s="1"/>
  <c r="L804" i="2"/>
  <c r="N804" i="2" s="1"/>
  <c r="L805" i="2"/>
  <c r="N805" i="2" s="1"/>
  <c r="P805" i="2" s="1"/>
  <c r="L806" i="2"/>
  <c r="N806" i="2" s="1"/>
  <c r="L807" i="2"/>
  <c r="N807" i="2" s="1"/>
  <c r="L808" i="2"/>
  <c r="N808" i="2" s="1"/>
  <c r="P808" i="2" s="1"/>
  <c r="L809" i="2"/>
  <c r="N809" i="2" s="1"/>
  <c r="L810" i="2"/>
  <c r="N810" i="2" s="1"/>
  <c r="L811" i="2"/>
  <c r="N811" i="2" s="1"/>
  <c r="L812" i="2"/>
  <c r="N812" i="2" s="1"/>
  <c r="L813" i="2"/>
  <c r="N813" i="2" s="1"/>
  <c r="L814" i="2"/>
  <c r="N814" i="2" s="1"/>
  <c r="P814" i="2" s="1"/>
  <c r="L815" i="2"/>
  <c r="N815" i="2" s="1"/>
  <c r="L816" i="2"/>
  <c r="N816" i="2" s="1"/>
  <c r="L817" i="2"/>
  <c r="N817" i="2" s="1"/>
  <c r="L818" i="2"/>
  <c r="N818" i="2" s="1"/>
  <c r="L819" i="2"/>
  <c r="N819" i="2" s="1"/>
  <c r="P819" i="2" s="1"/>
  <c r="L820" i="2"/>
  <c r="N820" i="2" s="1"/>
  <c r="L821" i="2"/>
  <c r="N821" i="2" s="1"/>
  <c r="L822" i="2"/>
  <c r="N822" i="2" s="1"/>
  <c r="L823" i="2"/>
  <c r="N823" i="2" s="1"/>
  <c r="L824" i="2"/>
  <c r="N824" i="2" s="1"/>
  <c r="P824" i="2" s="1"/>
  <c r="L825" i="2"/>
  <c r="N825" i="2" s="1"/>
  <c r="L826" i="2"/>
  <c r="N826" i="2" s="1"/>
  <c r="L827" i="2"/>
  <c r="N827" i="2" s="1"/>
  <c r="L828" i="2"/>
  <c r="N828" i="2" s="1"/>
  <c r="L829" i="2"/>
  <c r="N829" i="2" s="1"/>
  <c r="L830" i="2"/>
  <c r="N830" i="2" s="1"/>
  <c r="P830" i="2" s="1"/>
  <c r="L831" i="2"/>
  <c r="N831" i="2" s="1"/>
  <c r="L832" i="2"/>
  <c r="N832" i="2" s="1"/>
  <c r="L833" i="2"/>
  <c r="N833" i="2" s="1"/>
  <c r="L834" i="2"/>
  <c r="N834" i="2" s="1"/>
  <c r="L835" i="2"/>
  <c r="N835" i="2" s="1"/>
  <c r="P835" i="2" s="1"/>
  <c r="L836" i="2"/>
  <c r="N836" i="2" s="1"/>
  <c r="L837" i="2"/>
  <c r="N837" i="2" s="1"/>
  <c r="P837" i="2" s="1"/>
  <c r="L838" i="2"/>
  <c r="N838" i="2" s="1"/>
  <c r="L839" i="2"/>
  <c r="N839" i="2" s="1"/>
  <c r="L840" i="2"/>
  <c r="N840" i="2" s="1"/>
  <c r="P840" i="2" s="1"/>
  <c r="L841" i="2"/>
  <c r="N841" i="2" s="1"/>
  <c r="L842" i="2"/>
  <c r="N842" i="2" s="1"/>
  <c r="L843" i="2"/>
  <c r="N843" i="2" s="1"/>
  <c r="L844" i="2"/>
  <c r="N844" i="2" s="1"/>
  <c r="L845" i="2"/>
  <c r="N845" i="2" s="1"/>
  <c r="L846" i="2"/>
  <c r="N846" i="2" s="1"/>
  <c r="P846" i="2" s="1"/>
  <c r="L847" i="2"/>
  <c r="N847" i="2" s="1"/>
  <c r="L848" i="2"/>
  <c r="N848" i="2" s="1"/>
  <c r="L849" i="2"/>
  <c r="N849" i="2" s="1"/>
  <c r="L850" i="2"/>
  <c r="N850" i="2" s="1"/>
  <c r="L851" i="2"/>
  <c r="N851" i="2" s="1"/>
  <c r="P851" i="2" s="1"/>
  <c r="L852" i="2"/>
  <c r="N852" i="2" s="1"/>
  <c r="L853" i="2"/>
  <c r="N853" i="2" s="1"/>
  <c r="L854" i="2"/>
  <c r="N854" i="2" s="1"/>
  <c r="L855" i="2"/>
  <c r="N855" i="2" s="1"/>
  <c r="L856" i="2"/>
  <c r="N856" i="2" s="1"/>
  <c r="P856" i="2" s="1"/>
  <c r="L857" i="2"/>
  <c r="N857" i="2" s="1"/>
  <c r="L858" i="2"/>
  <c r="N858" i="2" s="1"/>
  <c r="L859" i="2"/>
  <c r="N859" i="2" s="1"/>
  <c r="L860" i="2"/>
  <c r="N860" i="2" s="1"/>
  <c r="L861" i="2"/>
  <c r="N861" i="2" s="1"/>
  <c r="L862" i="2"/>
  <c r="N862" i="2" s="1"/>
  <c r="P862" i="2" s="1"/>
  <c r="L863" i="2"/>
  <c r="N863" i="2" s="1"/>
  <c r="L864" i="2"/>
  <c r="N864" i="2" s="1"/>
  <c r="L865" i="2"/>
  <c r="N865" i="2" s="1"/>
  <c r="L866" i="2"/>
  <c r="N866" i="2" s="1"/>
  <c r="L867" i="2"/>
  <c r="N867" i="2" s="1"/>
  <c r="P867" i="2" s="1"/>
  <c r="L868" i="2"/>
  <c r="N868" i="2" s="1"/>
  <c r="L869" i="2"/>
  <c r="N869" i="2" s="1"/>
  <c r="L870" i="2"/>
  <c r="N870" i="2" s="1"/>
  <c r="L871" i="2"/>
  <c r="N871" i="2" s="1"/>
  <c r="L872" i="2"/>
  <c r="N872" i="2" s="1"/>
  <c r="P872" i="2" s="1"/>
  <c r="L873" i="2"/>
  <c r="N873" i="2" s="1"/>
  <c r="L874" i="2"/>
  <c r="N874" i="2" s="1"/>
  <c r="L875" i="2"/>
  <c r="N875" i="2" s="1"/>
  <c r="L876" i="2"/>
  <c r="N876" i="2" s="1"/>
  <c r="L877" i="2"/>
  <c r="N877" i="2" s="1"/>
  <c r="L878" i="2"/>
  <c r="N878" i="2" s="1"/>
  <c r="P878" i="2" s="1"/>
  <c r="L879" i="2"/>
  <c r="N879" i="2" s="1"/>
  <c r="L880" i="2"/>
  <c r="N880" i="2" s="1"/>
  <c r="L881" i="2"/>
  <c r="N881" i="2" s="1"/>
  <c r="L882" i="2"/>
  <c r="N882" i="2" s="1"/>
  <c r="L883" i="2"/>
  <c r="N883" i="2" s="1"/>
  <c r="P883" i="2" s="1"/>
  <c r="L884" i="2"/>
  <c r="N884" i="2" s="1"/>
  <c r="L885" i="2"/>
  <c r="N885" i="2" s="1"/>
  <c r="L886" i="2"/>
  <c r="N886" i="2" s="1"/>
  <c r="L887" i="2"/>
  <c r="N887" i="2" s="1"/>
  <c r="L888" i="2"/>
  <c r="N888" i="2" s="1"/>
  <c r="P888" i="2" s="1"/>
  <c r="L889" i="2"/>
  <c r="N889" i="2" s="1"/>
  <c r="L890" i="2"/>
  <c r="N890" i="2" s="1"/>
  <c r="L891" i="2"/>
  <c r="N891" i="2" s="1"/>
  <c r="L892" i="2"/>
  <c r="N892" i="2" s="1"/>
  <c r="L893" i="2"/>
  <c r="N893" i="2" s="1"/>
  <c r="L894" i="2"/>
  <c r="N894" i="2" s="1"/>
  <c r="P894" i="2" s="1"/>
  <c r="L895" i="2"/>
  <c r="N895" i="2" s="1"/>
  <c r="L896" i="2"/>
  <c r="N896" i="2" s="1"/>
  <c r="L897" i="2"/>
  <c r="N897" i="2" s="1"/>
  <c r="L898" i="2"/>
  <c r="N898" i="2" s="1"/>
  <c r="L899" i="2"/>
  <c r="N899" i="2" s="1"/>
  <c r="P899" i="2" s="1"/>
  <c r="L900" i="2"/>
  <c r="N900" i="2" s="1"/>
  <c r="L901" i="2"/>
  <c r="N901" i="2" s="1"/>
  <c r="L902" i="2"/>
  <c r="N902" i="2" s="1"/>
  <c r="L903" i="2"/>
  <c r="N903" i="2" s="1"/>
  <c r="L904" i="2"/>
  <c r="N904" i="2" s="1"/>
  <c r="P904" i="2" s="1"/>
  <c r="L905" i="2"/>
  <c r="N905" i="2" s="1"/>
  <c r="L906" i="2"/>
  <c r="N906" i="2" s="1"/>
  <c r="L907" i="2"/>
  <c r="N907" i="2" s="1"/>
  <c r="L908" i="2"/>
  <c r="N908" i="2" s="1"/>
  <c r="L909" i="2"/>
  <c r="N909" i="2" s="1"/>
  <c r="L910" i="2"/>
  <c r="N910" i="2" s="1"/>
  <c r="P910" i="2" s="1"/>
  <c r="L911" i="2"/>
  <c r="N911" i="2" s="1"/>
  <c r="L912" i="2"/>
  <c r="N912" i="2" s="1"/>
  <c r="L913" i="2"/>
  <c r="N913" i="2" s="1"/>
  <c r="L914" i="2"/>
  <c r="N914" i="2" s="1"/>
  <c r="L915" i="2"/>
  <c r="N915" i="2" s="1"/>
  <c r="P915" i="2" s="1"/>
  <c r="L916" i="2"/>
  <c r="N916" i="2" s="1"/>
  <c r="L917" i="2"/>
  <c r="N917" i="2" s="1"/>
  <c r="L918" i="2"/>
  <c r="N918" i="2" s="1"/>
  <c r="L919" i="2"/>
  <c r="N919" i="2" s="1"/>
  <c r="L920" i="2"/>
  <c r="N920" i="2" s="1"/>
  <c r="P920" i="2" s="1"/>
  <c r="L921" i="2"/>
  <c r="N921" i="2" s="1"/>
  <c r="L922" i="2"/>
  <c r="N922" i="2" s="1"/>
  <c r="L923" i="2"/>
  <c r="N923" i="2" s="1"/>
  <c r="L924" i="2"/>
  <c r="N924" i="2" s="1"/>
  <c r="L925" i="2"/>
  <c r="N925" i="2" s="1"/>
  <c r="L926" i="2"/>
  <c r="N926" i="2" s="1"/>
  <c r="P926" i="2" s="1"/>
  <c r="L927" i="2"/>
  <c r="N927" i="2" s="1"/>
  <c r="L928" i="2"/>
  <c r="N928" i="2" s="1"/>
  <c r="L929" i="2"/>
  <c r="N929" i="2" s="1"/>
  <c r="L930" i="2"/>
  <c r="N930" i="2" s="1"/>
  <c r="L931" i="2"/>
  <c r="N931" i="2" s="1"/>
  <c r="P931" i="2" s="1"/>
  <c r="L932" i="2"/>
  <c r="N932" i="2" s="1"/>
  <c r="L933" i="2"/>
  <c r="N933" i="2" s="1"/>
  <c r="L934" i="2"/>
  <c r="N934" i="2" s="1"/>
  <c r="L935" i="2"/>
  <c r="N935" i="2" s="1"/>
  <c r="L936" i="2"/>
  <c r="N936" i="2" s="1"/>
  <c r="P936" i="2" s="1"/>
  <c r="L937" i="2"/>
  <c r="N937" i="2" s="1"/>
  <c r="L938" i="2"/>
  <c r="N938" i="2" s="1"/>
  <c r="L939" i="2"/>
  <c r="N939" i="2" s="1"/>
  <c r="L940" i="2"/>
  <c r="N940" i="2" s="1"/>
  <c r="L941" i="2"/>
  <c r="N941" i="2" s="1"/>
  <c r="L942" i="2"/>
  <c r="N942" i="2" s="1"/>
  <c r="P942" i="2" s="1"/>
  <c r="L943" i="2"/>
  <c r="N943" i="2" s="1"/>
  <c r="L944" i="2"/>
  <c r="N944" i="2" s="1"/>
  <c r="L945" i="2"/>
  <c r="N945" i="2" s="1"/>
  <c r="L946" i="2"/>
  <c r="N946" i="2" s="1"/>
  <c r="L947" i="2"/>
  <c r="N947" i="2" s="1"/>
  <c r="P947" i="2" s="1"/>
  <c r="L948" i="2"/>
  <c r="N948" i="2" s="1"/>
  <c r="L949" i="2"/>
  <c r="N949" i="2" s="1"/>
  <c r="L950" i="2"/>
  <c r="N950" i="2" s="1"/>
  <c r="L951" i="2"/>
  <c r="N951" i="2" s="1"/>
  <c r="L952" i="2"/>
  <c r="N952" i="2" s="1"/>
  <c r="P952" i="2" s="1"/>
  <c r="L953" i="2"/>
  <c r="N953" i="2" s="1"/>
  <c r="L954" i="2"/>
  <c r="N954" i="2" s="1"/>
  <c r="L955" i="2"/>
  <c r="N955" i="2" s="1"/>
  <c r="L956" i="2"/>
  <c r="N956" i="2" s="1"/>
  <c r="L957" i="2"/>
  <c r="N957" i="2" s="1"/>
  <c r="L958" i="2"/>
  <c r="N958" i="2" s="1"/>
  <c r="P958" i="2" s="1"/>
  <c r="L959" i="2"/>
  <c r="N959" i="2" s="1"/>
  <c r="L960" i="2"/>
  <c r="N960" i="2" s="1"/>
  <c r="L961" i="2"/>
  <c r="N961" i="2" s="1"/>
  <c r="L962" i="2"/>
  <c r="N962" i="2" s="1"/>
  <c r="L963" i="2"/>
  <c r="N963" i="2" s="1"/>
  <c r="P963" i="2" s="1"/>
  <c r="L964" i="2"/>
  <c r="N964" i="2" s="1"/>
  <c r="L965" i="2"/>
  <c r="N965" i="2" s="1"/>
  <c r="L966" i="2"/>
  <c r="N966" i="2" s="1"/>
  <c r="L967" i="2"/>
  <c r="N967" i="2" s="1"/>
  <c r="L968" i="2"/>
  <c r="N968" i="2" s="1"/>
  <c r="P968" i="2" s="1"/>
  <c r="L969" i="2"/>
  <c r="N969" i="2" s="1"/>
  <c r="L970" i="2"/>
  <c r="N970" i="2" s="1"/>
  <c r="L971" i="2"/>
  <c r="N971" i="2" s="1"/>
  <c r="L972" i="2"/>
  <c r="N972" i="2" s="1"/>
  <c r="L973" i="2"/>
  <c r="N973" i="2" s="1"/>
  <c r="L974" i="2"/>
  <c r="N974" i="2" s="1"/>
  <c r="P974" i="2" s="1"/>
  <c r="L975" i="2"/>
  <c r="N975" i="2" s="1"/>
  <c r="L976" i="2"/>
  <c r="N976" i="2" s="1"/>
  <c r="L977" i="2"/>
  <c r="N977" i="2" s="1"/>
  <c r="L978" i="2"/>
  <c r="N978" i="2" s="1"/>
  <c r="L979" i="2"/>
  <c r="N979" i="2" s="1"/>
  <c r="P979" i="2" s="1"/>
  <c r="L980" i="2"/>
  <c r="N980" i="2" s="1"/>
  <c r="L981" i="2"/>
  <c r="N981" i="2" s="1"/>
  <c r="L982" i="2"/>
  <c r="N982" i="2" s="1"/>
  <c r="L983" i="2"/>
  <c r="N983" i="2" s="1"/>
  <c r="L984" i="2"/>
  <c r="N984" i="2" s="1"/>
  <c r="P984" i="2" s="1"/>
  <c r="L985" i="2"/>
  <c r="N985" i="2" s="1"/>
  <c r="L986" i="2"/>
  <c r="N986" i="2" s="1"/>
  <c r="L987" i="2"/>
  <c r="N987" i="2" s="1"/>
  <c r="L988" i="2"/>
  <c r="N988" i="2" s="1"/>
  <c r="L989" i="2"/>
  <c r="N989" i="2" s="1"/>
  <c r="L990" i="2"/>
  <c r="N990" i="2" s="1"/>
  <c r="P990" i="2" s="1"/>
  <c r="L991" i="2"/>
  <c r="N991" i="2" s="1"/>
  <c r="L992" i="2"/>
  <c r="N992" i="2" s="1"/>
  <c r="L993" i="2"/>
  <c r="N993" i="2" s="1"/>
  <c r="L994" i="2"/>
  <c r="N994" i="2" s="1"/>
  <c r="L995" i="2"/>
  <c r="N995" i="2" s="1"/>
  <c r="P995" i="2" s="1"/>
  <c r="L996" i="2"/>
  <c r="N996" i="2" s="1"/>
  <c r="L997" i="2"/>
  <c r="N997" i="2" s="1"/>
  <c r="L998" i="2"/>
  <c r="N998" i="2" s="1"/>
  <c r="L999" i="2"/>
  <c r="N999" i="2" s="1"/>
  <c r="L1000" i="2"/>
  <c r="N1000" i="2" s="1"/>
  <c r="P1000" i="2" s="1"/>
  <c r="L1001" i="2"/>
  <c r="N1001" i="2" s="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I104" i="2"/>
  <c r="I232" i="2"/>
  <c r="I21" i="2"/>
  <c r="I149" i="2"/>
  <c r="I277" i="2"/>
  <c r="I254" i="2"/>
  <c r="I382" i="2"/>
  <c r="I397" i="2"/>
  <c r="I40" i="2"/>
  <c r="I446" i="2"/>
  <c r="I574" i="2"/>
  <c r="I483" i="2"/>
  <c r="I311" i="2"/>
  <c r="I168" i="2"/>
  <c r="I296" i="2"/>
  <c r="I85" i="2"/>
  <c r="I213" i="2"/>
  <c r="I10" i="2"/>
  <c r="I510" i="2"/>
  <c r="I226" i="2"/>
  <c r="I396" i="2"/>
  <c r="I481" i="2"/>
  <c r="I230" i="2"/>
  <c r="I150" i="2"/>
  <c r="I279" i="2"/>
  <c r="I8" i="2"/>
  <c r="I72" i="2"/>
  <c r="I136" i="2"/>
  <c r="I200" i="2"/>
  <c r="I264" i="2"/>
  <c r="I328" i="2"/>
  <c r="I53" i="2"/>
  <c r="I117" i="2"/>
  <c r="I181" i="2"/>
  <c r="I245" i="2"/>
  <c r="I309" i="2"/>
  <c r="I126" i="2"/>
  <c r="I350" i="2"/>
  <c r="I414" i="2"/>
  <c r="I478" i="2"/>
  <c r="I542" i="2"/>
  <c r="I54" i="2"/>
  <c r="I353" i="2"/>
  <c r="I439" i="2"/>
  <c r="I58" i="2"/>
  <c r="I355" i="2"/>
  <c r="I440" i="2"/>
  <c r="I525" i="2"/>
  <c r="I322" i="2"/>
  <c r="I377" i="2"/>
  <c r="I420" i="2"/>
  <c r="I463" i="2"/>
  <c r="I505" i="2"/>
  <c r="I548" i="2"/>
  <c r="I591" i="2"/>
  <c r="I624" i="2"/>
  <c r="I656" i="2"/>
  <c r="I688" i="2"/>
  <c r="I720" i="2"/>
  <c r="I752" i="2"/>
  <c r="I784" i="2"/>
  <c r="I816" i="2"/>
  <c r="I848" i="2"/>
  <c r="I880" i="2"/>
  <c r="I936" i="2"/>
  <c r="I1000" i="2"/>
  <c r="I541" i="2"/>
  <c r="I641" i="2"/>
  <c r="I726" i="2"/>
  <c r="I811" i="2"/>
  <c r="I897" i="2"/>
  <c r="I480" i="2"/>
  <c r="I615" i="2"/>
  <c r="I701" i="2"/>
  <c r="I786" i="2"/>
  <c r="I871" i="2"/>
  <c r="I421" i="2"/>
  <c r="I601" i="2"/>
  <c r="I686" i="2"/>
  <c r="I771" i="2"/>
  <c r="I363" i="2"/>
  <c r="I986" i="2"/>
  <c r="I955" i="2"/>
  <c r="I935" i="2"/>
  <c r="I931" i="2"/>
  <c r="I3" i="2"/>
  <c r="I11" i="2"/>
  <c r="I19" i="2"/>
  <c r="I27" i="2"/>
  <c r="I35" i="2"/>
  <c r="I43" i="2"/>
  <c r="I51" i="2"/>
  <c r="I59" i="2"/>
  <c r="I67" i="2"/>
  <c r="I75" i="2"/>
  <c r="I83" i="2"/>
  <c r="I91" i="2"/>
  <c r="I99" i="2"/>
  <c r="I107" i="2"/>
  <c r="I115" i="2"/>
  <c r="I123" i="2"/>
  <c r="I131" i="2"/>
  <c r="I139" i="2"/>
  <c r="I147" i="2"/>
  <c r="I155" i="2"/>
  <c r="I163" i="2"/>
  <c r="I171" i="2"/>
  <c r="I179" i="2"/>
  <c r="I187" i="2"/>
  <c r="I195" i="2"/>
  <c r="I203" i="2"/>
  <c r="I211" i="2"/>
  <c r="I219" i="2"/>
  <c r="I227" i="2"/>
  <c r="I235" i="2"/>
  <c r="I243" i="2"/>
  <c r="I251" i="2"/>
  <c r="I271" i="2"/>
  <c r="I303" i="2"/>
  <c r="I335" i="2"/>
  <c r="I32" i="2"/>
  <c r="I64" i="2"/>
  <c r="I96" i="2"/>
  <c r="I128" i="2"/>
  <c r="I160" i="2"/>
  <c r="I192" i="2"/>
  <c r="I224" i="2"/>
  <c r="I256" i="2"/>
  <c r="I288" i="2"/>
  <c r="I320" i="2"/>
  <c r="I13" i="2"/>
  <c r="I45" i="2"/>
  <c r="I77" i="2"/>
  <c r="I109" i="2"/>
  <c r="I141" i="2"/>
  <c r="I173" i="2"/>
  <c r="I205" i="2"/>
  <c r="I237" i="2"/>
  <c r="I269" i="2"/>
  <c r="I301" i="2"/>
  <c r="I333" i="2"/>
  <c r="I94" i="2"/>
  <c r="I222" i="2"/>
  <c r="I342" i="2"/>
  <c r="I374" i="2"/>
  <c r="I406" i="2"/>
  <c r="I438" i="2"/>
  <c r="I470" i="2"/>
  <c r="I502" i="2"/>
  <c r="I534" i="2"/>
  <c r="I566" i="2"/>
  <c r="I6" i="2"/>
  <c r="I182" i="2"/>
  <c r="I343" i="2"/>
  <c r="I385" i="2"/>
  <c r="I428" i="2"/>
  <c r="I471" i="2"/>
  <c r="I18" i="2"/>
  <c r="I186" i="2"/>
  <c r="I344" i="2"/>
  <c r="I387" i="2"/>
  <c r="I429" i="2"/>
  <c r="I472" i="2"/>
  <c r="I515" i="2"/>
  <c r="I106" i="2"/>
  <c r="I278" i="2"/>
  <c r="I367" i="2"/>
  <c r="I409" i="2"/>
  <c r="I452" i="2"/>
  <c r="I495" i="2"/>
  <c r="I537" i="2"/>
  <c r="I580" i="2"/>
  <c r="I616" i="2"/>
  <c r="I648" i="2"/>
  <c r="I680" i="2"/>
  <c r="I712" i="2"/>
  <c r="I744" i="2"/>
  <c r="I776" i="2"/>
  <c r="I808" i="2"/>
  <c r="I840" i="2"/>
  <c r="I872" i="2"/>
  <c r="I920" i="2"/>
  <c r="I984" i="2"/>
  <c r="I496" i="2"/>
  <c r="I619" i="2"/>
  <c r="I705" i="2"/>
  <c r="I790" i="2"/>
  <c r="I875" i="2"/>
  <c r="I395" i="2"/>
  <c r="I593" i="2"/>
  <c r="I679" i="2"/>
  <c r="I765" i="2"/>
  <c r="I850" i="2"/>
  <c r="I326" i="2"/>
  <c r="I573" i="2"/>
  <c r="I665" i="2"/>
  <c r="I750" i="2"/>
  <c r="I883" i="2"/>
  <c r="I943" i="2"/>
  <c r="I890" i="2"/>
  <c r="I810" i="2"/>
  <c r="I576" i="2"/>
  <c r="I7" i="2"/>
  <c r="I15" i="2"/>
  <c r="I23" i="2"/>
  <c r="I31" i="2"/>
  <c r="I39" i="2"/>
  <c r="I47" i="2"/>
  <c r="I55" i="2"/>
  <c r="I63" i="2"/>
  <c r="I71" i="2"/>
  <c r="I79" i="2"/>
  <c r="I87" i="2"/>
  <c r="I95" i="2"/>
  <c r="I103" i="2"/>
  <c r="I111" i="2"/>
  <c r="I119" i="2"/>
  <c r="I127" i="2"/>
  <c r="I135" i="2"/>
  <c r="I143" i="2"/>
  <c r="I151" i="2"/>
  <c r="I159" i="2"/>
  <c r="I167" i="2"/>
  <c r="I175" i="2"/>
  <c r="I183" i="2"/>
  <c r="I191" i="2"/>
  <c r="I199" i="2"/>
  <c r="I207" i="2"/>
  <c r="I215" i="2"/>
  <c r="I223" i="2"/>
  <c r="I231" i="2"/>
  <c r="I239" i="2"/>
  <c r="I247" i="2"/>
  <c r="I255" i="2"/>
  <c r="I263" i="2"/>
  <c r="I287" i="2"/>
  <c r="I295" i="2"/>
  <c r="I319" i="2"/>
  <c r="I327" i="2"/>
  <c r="I16" i="2"/>
  <c r="I24" i="2"/>
  <c r="I48" i="2"/>
  <c r="I56" i="2"/>
  <c r="I80" i="2"/>
  <c r="I88" i="2"/>
  <c r="I112" i="2"/>
  <c r="I120" i="2"/>
  <c r="I144" i="2"/>
  <c r="I152" i="2"/>
  <c r="I176" i="2"/>
  <c r="I184" i="2"/>
  <c r="I208" i="2"/>
  <c r="I216" i="2"/>
  <c r="I240" i="2"/>
  <c r="I248" i="2"/>
  <c r="I272" i="2"/>
  <c r="I280" i="2"/>
  <c r="I304" i="2"/>
  <c r="I312" i="2"/>
  <c r="I336" i="2"/>
  <c r="I5" i="2"/>
  <c r="I29" i="2"/>
  <c r="I37" i="2"/>
  <c r="I61" i="2"/>
  <c r="I69" i="2"/>
  <c r="I93" i="2"/>
  <c r="I101" i="2"/>
  <c r="I125" i="2"/>
  <c r="I133" i="2"/>
  <c r="I157" i="2"/>
  <c r="I165" i="2"/>
  <c r="I189" i="2"/>
  <c r="I197" i="2"/>
  <c r="I221" i="2"/>
  <c r="I229" i="2"/>
  <c r="I253" i="2"/>
  <c r="I261" i="2"/>
  <c r="I285" i="2"/>
  <c r="I293" i="2"/>
  <c r="I317" i="2"/>
  <c r="I325" i="2"/>
  <c r="I30" i="2"/>
  <c r="I62" i="2"/>
  <c r="I158" i="2"/>
  <c r="I190" i="2"/>
  <c r="I286" i="2"/>
  <c r="I318" i="2"/>
  <c r="I358" i="2"/>
  <c r="I366" i="2"/>
  <c r="I390" i="2"/>
  <c r="I398" i="2"/>
  <c r="I422" i="2"/>
  <c r="I430" i="2"/>
  <c r="I454" i="2"/>
  <c r="I462" i="2"/>
  <c r="I486" i="2"/>
  <c r="I494" i="2"/>
  <c r="I518" i="2"/>
  <c r="I526" i="2"/>
  <c r="I550" i="2"/>
  <c r="I558" i="2"/>
  <c r="I582" i="2"/>
  <c r="I590" i="2"/>
  <c r="I98" i="2"/>
  <c r="I138" i="2"/>
  <c r="I266" i="2"/>
  <c r="I310" i="2"/>
  <c r="I364" i="2"/>
  <c r="I375" i="2"/>
  <c r="I407" i="2"/>
  <c r="I417" i="2"/>
  <c r="I449" i="2"/>
  <c r="I460" i="2"/>
  <c r="I492" i="2"/>
  <c r="I503" i="2"/>
  <c r="I102" i="2"/>
  <c r="I146" i="2"/>
  <c r="I274" i="2"/>
  <c r="I314" i="2"/>
  <c r="I365" i="2"/>
  <c r="I376" i="2"/>
  <c r="I408" i="2"/>
  <c r="I419" i="2"/>
  <c r="I451" i="2"/>
  <c r="I461" i="2"/>
  <c r="I493" i="2"/>
  <c r="I504" i="2"/>
  <c r="I22" i="2"/>
  <c r="I66" i="2"/>
  <c r="I194" i="2"/>
  <c r="I234" i="2"/>
  <c r="I345" i="2"/>
  <c r="I356" i="2"/>
  <c r="I388" i="2"/>
  <c r="I399" i="2"/>
  <c r="I431" i="2"/>
  <c r="I441" i="2"/>
  <c r="I473" i="2"/>
  <c r="I484" i="2"/>
  <c r="I516" i="2"/>
  <c r="I527" i="2"/>
  <c r="I559" i="2"/>
  <c r="I569" i="2"/>
  <c r="I600" i="2"/>
  <c r="I608" i="2"/>
  <c r="I632" i="2"/>
  <c r="I640" i="2"/>
  <c r="I664" i="2"/>
  <c r="I672" i="2"/>
  <c r="I696" i="2"/>
  <c r="I704" i="2"/>
  <c r="I728" i="2"/>
  <c r="I736" i="2"/>
  <c r="I760" i="2"/>
  <c r="I768" i="2"/>
  <c r="I792" i="2"/>
  <c r="I800" i="2"/>
  <c r="I824" i="2"/>
  <c r="I832" i="2"/>
  <c r="I856" i="2"/>
  <c r="I864" i="2"/>
  <c r="I888" i="2"/>
  <c r="I904" i="2"/>
  <c r="I952" i="2"/>
  <c r="I968" i="2"/>
  <c r="I282" i="2"/>
  <c r="I411" i="2"/>
  <c r="I571" i="2"/>
  <c r="I598" i="2"/>
  <c r="I662" i="2"/>
  <c r="I683" i="2"/>
  <c r="I747" i="2"/>
  <c r="I769" i="2"/>
  <c r="I833" i="2"/>
  <c r="I854" i="2"/>
  <c r="I918" i="2"/>
  <c r="I218" i="2"/>
  <c r="I536" i="2"/>
  <c r="I565" i="2"/>
  <c r="I637" i="2"/>
  <c r="I658" i="2"/>
  <c r="I722" i="2"/>
  <c r="I743" i="2"/>
  <c r="I807" i="2"/>
  <c r="I829" i="2"/>
  <c r="I893" i="2"/>
  <c r="I914" i="2"/>
  <c r="I507" i="2"/>
  <c r="I545" i="2"/>
  <c r="I622" i="2"/>
  <c r="I643" i="2"/>
  <c r="I707" i="2"/>
  <c r="I729" i="2"/>
  <c r="I798" i="2"/>
  <c r="I841" i="2"/>
  <c r="I671" i="2"/>
  <c r="I842" i="2"/>
  <c r="I533" i="2"/>
  <c r="I719" i="2"/>
  <c r="I998" i="2"/>
  <c r="I639" i="2"/>
  <c r="I978" i="2"/>
  <c r="I794" i="2"/>
  <c r="I815" i="2"/>
  <c r="I259" i="2"/>
  <c r="I267" i="2"/>
  <c r="I275" i="2"/>
  <c r="I283" i="2"/>
  <c r="I291" i="2"/>
  <c r="I299" i="2"/>
  <c r="I307" i="2"/>
  <c r="I315" i="2"/>
  <c r="I323" i="2"/>
  <c r="I331" i="2"/>
  <c r="I4" i="2"/>
  <c r="I12" i="2"/>
  <c r="I20" i="2"/>
  <c r="I28" i="2"/>
  <c r="I36" i="2"/>
  <c r="I44" i="2"/>
  <c r="I52" i="2"/>
  <c r="I60" i="2"/>
  <c r="I68" i="2"/>
  <c r="I76" i="2"/>
  <c r="I84" i="2"/>
  <c r="I92" i="2"/>
  <c r="I100" i="2"/>
  <c r="I108" i="2"/>
  <c r="I116" i="2"/>
  <c r="I124" i="2"/>
  <c r="I132" i="2"/>
  <c r="I140" i="2"/>
  <c r="I148" i="2"/>
  <c r="I156" i="2"/>
  <c r="I164" i="2"/>
  <c r="I172" i="2"/>
  <c r="I180" i="2"/>
  <c r="I188" i="2"/>
  <c r="I196" i="2"/>
  <c r="I204" i="2"/>
  <c r="I212" i="2"/>
  <c r="I220" i="2"/>
  <c r="I228" i="2"/>
  <c r="I236" i="2"/>
  <c r="I244" i="2"/>
  <c r="I252" i="2"/>
  <c r="I260" i="2"/>
  <c r="I268" i="2"/>
  <c r="I276" i="2"/>
  <c r="I284" i="2"/>
  <c r="I292" i="2"/>
  <c r="I300" i="2"/>
  <c r="I308" i="2"/>
  <c r="I316" i="2"/>
  <c r="I324" i="2"/>
  <c r="I332" i="2"/>
  <c r="I340" i="2"/>
  <c r="I9" i="2"/>
  <c r="I17" i="2"/>
  <c r="I25" i="2"/>
  <c r="I33" i="2"/>
  <c r="I41" i="2"/>
  <c r="I49" i="2"/>
  <c r="I57" i="2"/>
  <c r="I65" i="2"/>
  <c r="I73" i="2"/>
  <c r="I81" i="2"/>
  <c r="I89" i="2"/>
  <c r="I97" i="2"/>
  <c r="I105" i="2"/>
  <c r="I113" i="2"/>
  <c r="I121" i="2"/>
  <c r="I129" i="2"/>
  <c r="I137" i="2"/>
  <c r="I145" i="2"/>
  <c r="I153" i="2"/>
  <c r="I161" i="2"/>
  <c r="I169" i="2"/>
  <c r="I177" i="2"/>
  <c r="I185" i="2"/>
  <c r="I193" i="2"/>
  <c r="I201" i="2"/>
  <c r="I209" i="2"/>
  <c r="I217" i="2"/>
  <c r="I225" i="2"/>
  <c r="I233" i="2"/>
  <c r="I241" i="2"/>
  <c r="I249" i="2"/>
  <c r="I257" i="2"/>
  <c r="I265" i="2"/>
  <c r="I273" i="2"/>
  <c r="I281" i="2"/>
  <c r="I289" i="2"/>
  <c r="I297" i="2"/>
  <c r="I305" i="2"/>
  <c r="I313" i="2"/>
  <c r="I321" i="2"/>
  <c r="I329" i="2"/>
  <c r="I337" i="2"/>
  <c r="I14" i="2"/>
  <c r="I46" i="2"/>
  <c r="I78" i="2"/>
  <c r="I110" i="2"/>
  <c r="I142" i="2"/>
  <c r="I174" i="2"/>
  <c r="I206" i="2"/>
  <c r="I238" i="2"/>
  <c r="I270" i="2"/>
  <c r="I302" i="2"/>
  <c r="I334" i="2"/>
  <c r="I346" i="2"/>
  <c r="I354" i="2"/>
  <c r="I362" i="2"/>
  <c r="I370" i="2"/>
  <c r="I378" i="2"/>
  <c r="I386" i="2"/>
  <c r="I394" i="2"/>
  <c r="I402" i="2"/>
  <c r="I410" i="2"/>
  <c r="I418" i="2"/>
  <c r="I426" i="2"/>
  <c r="I434" i="2"/>
  <c r="I442" i="2"/>
  <c r="I450" i="2"/>
  <c r="I458" i="2"/>
  <c r="I466" i="2"/>
  <c r="I474" i="2"/>
  <c r="I482" i="2"/>
  <c r="I490" i="2"/>
  <c r="I498" i="2"/>
  <c r="I506" i="2"/>
  <c r="I514" i="2"/>
  <c r="I522" i="2"/>
  <c r="I530" i="2"/>
  <c r="I538" i="2"/>
  <c r="I546" i="2"/>
  <c r="I554" i="2"/>
  <c r="I562" i="2"/>
  <c r="I570" i="2"/>
  <c r="I578" i="2"/>
  <c r="I586" i="2"/>
  <c r="I594" i="2"/>
  <c r="I34" i="2"/>
  <c r="I74" i="2"/>
  <c r="I118" i="2"/>
  <c r="I162" i="2"/>
  <c r="I202" i="2"/>
  <c r="I246" i="2"/>
  <c r="I290" i="2"/>
  <c r="I330" i="2"/>
  <c r="I348" i="2"/>
  <c r="I359" i="2"/>
  <c r="I369" i="2"/>
  <c r="I380" i="2"/>
  <c r="I391" i="2"/>
  <c r="I401" i="2"/>
  <c r="I412" i="2"/>
  <c r="I423" i="2"/>
  <c r="I433" i="2"/>
  <c r="I444" i="2"/>
  <c r="I455" i="2"/>
  <c r="I465" i="2"/>
  <c r="I476" i="2"/>
  <c r="I487" i="2"/>
  <c r="I497" i="2"/>
  <c r="I508" i="2"/>
  <c r="I38" i="2"/>
  <c r="I82" i="2"/>
  <c r="I122" i="2"/>
  <c r="I166" i="2"/>
  <c r="I210" i="2"/>
  <c r="I250" i="2"/>
  <c r="I294" i="2"/>
  <c r="I338" i="2"/>
  <c r="I349" i="2"/>
  <c r="I360" i="2"/>
  <c r="I371" i="2"/>
  <c r="I381" i="2"/>
  <c r="I392" i="2"/>
  <c r="I403" i="2"/>
  <c r="I413" i="2"/>
  <c r="I424" i="2"/>
  <c r="I435" i="2"/>
  <c r="I445" i="2"/>
  <c r="I456" i="2"/>
  <c r="I467" i="2"/>
  <c r="I477" i="2"/>
  <c r="I488" i="2"/>
  <c r="I499" i="2"/>
  <c r="I509" i="2"/>
  <c r="I520" i="2"/>
  <c r="I531" i="2"/>
  <c r="I42" i="2"/>
  <c r="I86" i="2"/>
  <c r="I130" i="2"/>
  <c r="I170" i="2"/>
  <c r="I214" i="2"/>
  <c r="I258" i="2"/>
  <c r="I298" i="2"/>
  <c r="I339" i="2"/>
  <c r="I351" i="2"/>
  <c r="I361" i="2"/>
  <c r="I372" i="2"/>
  <c r="I383" i="2"/>
  <c r="I393" i="2"/>
  <c r="I404" i="2"/>
  <c r="I415" i="2"/>
  <c r="I425" i="2"/>
  <c r="I436" i="2"/>
  <c r="I447" i="2"/>
  <c r="I457" i="2"/>
  <c r="I468" i="2"/>
  <c r="I479" i="2"/>
  <c r="I489" i="2"/>
  <c r="I500" i="2"/>
  <c r="I511" i="2"/>
  <c r="I521" i="2"/>
  <c r="I532" i="2"/>
  <c r="I543" i="2"/>
  <c r="I553" i="2"/>
  <c r="I564" i="2"/>
  <c r="I575" i="2"/>
  <c r="I585" i="2"/>
  <c r="I596" i="2"/>
  <c r="I604" i="2"/>
  <c r="I612" i="2"/>
  <c r="I620" i="2"/>
  <c r="I628" i="2"/>
  <c r="I636" i="2"/>
  <c r="I644" i="2"/>
  <c r="I652" i="2"/>
  <c r="I660" i="2"/>
  <c r="I668" i="2"/>
  <c r="I676" i="2"/>
  <c r="I684" i="2"/>
  <c r="I692" i="2"/>
  <c r="I700" i="2"/>
  <c r="I708" i="2"/>
  <c r="I716" i="2"/>
  <c r="I724" i="2"/>
  <c r="I732" i="2"/>
  <c r="I740" i="2"/>
  <c r="I748" i="2"/>
  <c r="I756" i="2"/>
  <c r="I764" i="2"/>
  <c r="I772" i="2"/>
  <c r="I780" i="2"/>
  <c r="I788" i="2"/>
  <c r="I796" i="2"/>
  <c r="I804" i="2"/>
  <c r="I812" i="2"/>
  <c r="I820" i="2"/>
  <c r="I828" i="2"/>
  <c r="I836" i="2"/>
  <c r="I844" i="2"/>
  <c r="I852" i="2"/>
  <c r="I860" i="2"/>
  <c r="I868" i="2"/>
  <c r="I876" i="2"/>
  <c r="I884" i="2"/>
  <c r="I896" i="2"/>
  <c r="I912" i="2"/>
  <c r="I928" i="2"/>
  <c r="I944" i="2"/>
  <c r="I960" i="2"/>
  <c r="I976" i="2"/>
  <c r="I992" i="2"/>
  <c r="I114" i="2"/>
  <c r="I368" i="2"/>
  <c r="I453" i="2"/>
  <c r="I524" i="2"/>
  <c r="I556" i="2"/>
  <c r="I584" i="2"/>
  <c r="I609" i="2"/>
  <c r="I630" i="2"/>
  <c r="I651" i="2"/>
  <c r="I673" i="2"/>
  <c r="I694" i="2"/>
  <c r="I715" i="2"/>
  <c r="I737" i="2"/>
  <c r="I758" i="2"/>
  <c r="I779" i="2"/>
  <c r="I801" i="2"/>
  <c r="I822" i="2"/>
  <c r="I843" i="2"/>
  <c r="I865" i="2"/>
  <c r="I886" i="2"/>
  <c r="I907" i="2"/>
  <c r="I50" i="2"/>
  <c r="I352" i="2"/>
  <c r="I437" i="2"/>
  <c r="I517" i="2"/>
  <c r="I551" i="2"/>
  <c r="I579" i="2"/>
  <c r="I605" i="2"/>
  <c r="I626" i="2"/>
  <c r="I647" i="2"/>
  <c r="I669" i="2"/>
  <c r="I690" i="2"/>
  <c r="I711" i="2"/>
  <c r="I733" i="2"/>
  <c r="I754" i="2"/>
  <c r="I775" i="2"/>
  <c r="I797" i="2"/>
  <c r="I818" i="2"/>
  <c r="I839" i="2"/>
  <c r="I861" i="2"/>
  <c r="I882" i="2"/>
  <c r="I903" i="2"/>
  <c r="I154" i="2"/>
  <c r="I379" i="2"/>
  <c r="I464" i="2"/>
  <c r="I529" i="2"/>
  <c r="I560" i="2"/>
  <c r="I588" i="2"/>
  <c r="I611" i="2"/>
  <c r="I633" i="2"/>
  <c r="I654" i="2"/>
  <c r="I675" i="2"/>
  <c r="I697" i="2"/>
  <c r="I718" i="2"/>
  <c r="I739" i="2"/>
  <c r="I761" i="2"/>
  <c r="I782" i="2"/>
  <c r="I819" i="2"/>
  <c r="I862" i="2"/>
  <c r="I905" i="2"/>
  <c r="I583" i="2"/>
  <c r="I757" i="2"/>
  <c r="I921" i="2"/>
  <c r="I965" i="2"/>
  <c r="I512" i="2"/>
  <c r="I634" i="2"/>
  <c r="I805" i="2"/>
  <c r="I934" i="2"/>
  <c r="I977" i="2"/>
  <c r="I491" i="2"/>
  <c r="I725" i="2"/>
  <c r="I895" i="2"/>
  <c r="I957" i="2"/>
  <c r="I999" i="2"/>
  <c r="I958" i="2"/>
  <c r="I963" i="2"/>
  <c r="I687" i="2"/>
  <c r="I1001" i="2"/>
  <c r="I892" i="2"/>
  <c r="I900" i="2"/>
  <c r="I908" i="2"/>
  <c r="I916" i="2"/>
  <c r="I924" i="2"/>
  <c r="I932" i="2"/>
  <c r="I940" i="2"/>
  <c r="I948" i="2"/>
  <c r="I956" i="2"/>
  <c r="I964" i="2"/>
  <c r="I972" i="2"/>
  <c r="I980" i="2"/>
  <c r="I988" i="2"/>
  <c r="I996" i="2"/>
  <c r="I26" i="2"/>
  <c r="I198" i="2"/>
  <c r="I347" i="2"/>
  <c r="I389" i="2"/>
  <c r="I432" i="2"/>
  <c r="I475" i="2"/>
  <c r="I513" i="2"/>
  <c r="I535" i="2"/>
  <c r="I549" i="2"/>
  <c r="I563" i="2"/>
  <c r="I577" i="2"/>
  <c r="I592" i="2"/>
  <c r="I603" i="2"/>
  <c r="I614" i="2"/>
  <c r="I625" i="2"/>
  <c r="I635" i="2"/>
  <c r="I646" i="2"/>
  <c r="I657" i="2"/>
  <c r="I667" i="2"/>
  <c r="I678" i="2"/>
  <c r="I689" i="2"/>
  <c r="I699" i="2"/>
  <c r="I710" i="2"/>
  <c r="I721" i="2"/>
  <c r="I731" i="2"/>
  <c r="I742" i="2"/>
  <c r="I753" i="2"/>
  <c r="I763" i="2"/>
  <c r="I774" i="2"/>
  <c r="I785" i="2"/>
  <c r="I795" i="2"/>
  <c r="I806" i="2"/>
  <c r="I817" i="2"/>
  <c r="I827" i="2"/>
  <c r="I838" i="2"/>
  <c r="I849" i="2"/>
  <c r="I859" i="2"/>
  <c r="I870" i="2"/>
  <c r="I881" i="2"/>
  <c r="I891" i="2"/>
  <c r="I902" i="2"/>
  <c r="I913" i="2"/>
  <c r="I923" i="2"/>
  <c r="I134" i="2"/>
  <c r="I306" i="2"/>
  <c r="I373" i="2"/>
  <c r="I416" i="2"/>
  <c r="I459" i="2"/>
  <c r="I501" i="2"/>
  <c r="I528" i="2"/>
  <c r="I544" i="2"/>
  <c r="I557" i="2"/>
  <c r="I572" i="2"/>
  <c r="I587" i="2"/>
  <c r="I599" i="2"/>
  <c r="I610" i="2"/>
  <c r="I621" i="2"/>
  <c r="I631" i="2"/>
  <c r="I642" i="2"/>
  <c r="I653" i="2"/>
  <c r="I663" i="2"/>
  <c r="I674" i="2"/>
  <c r="I685" i="2"/>
  <c r="I695" i="2"/>
  <c r="I706" i="2"/>
  <c r="I717" i="2"/>
  <c r="I727" i="2"/>
  <c r="I738" i="2"/>
  <c r="I749" i="2"/>
  <c r="I759" i="2"/>
  <c r="I770" i="2"/>
  <c r="I781" i="2"/>
  <c r="I791" i="2"/>
  <c r="I802" i="2"/>
  <c r="I813" i="2"/>
  <c r="I823" i="2"/>
  <c r="I834" i="2"/>
  <c r="I845" i="2"/>
  <c r="I855" i="2"/>
  <c r="I866" i="2"/>
  <c r="I877" i="2"/>
  <c r="I887" i="2"/>
  <c r="I898" i="2"/>
  <c r="I909" i="2"/>
  <c r="I70" i="2"/>
  <c r="I242" i="2"/>
  <c r="I357" i="2"/>
  <c r="I400" i="2"/>
  <c r="I443" i="2"/>
  <c r="I485" i="2"/>
  <c r="I519" i="2"/>
  <c r="I539" i="2"/>
  <c r="I552" i="2"/>
  <c r="I567" i="2"/>
  <c r="I581" i="2"/>
  <c r="I595" i="2"/>
  <c r="I606" i="2"/>
  <c r="I617" i="2"/>
  <c r="I627" i="2"/>
  <c r="I638" i="2"/>
  <c r="I649" i="2"/>
  <c r="I659" i="2"/>
  <c r="I670" i="2"/>
  <c r="I681" i="2"/>
  <c r="I691" i="2"/>
  <c r="I702" i="2"/>
  <c r="I713" i="2"/>
  <c r="I723" i="2"/>
  <c r="I734" i="2"/>
  <c r="I745" i="2"/>
  <c r="I755" i="2"/>
  <c r="I766" i="2"/>
  <c r="I777" i="2"/>
  <c r="I787" i="2"/>
  <c r="I809" i="2"/>
  <c r="I830" i="2"/>
  <c r="I851" i="2"/>
  <c r="I873" i="2"/>
  <c r="I894" i="2"/>
  <c r="I915" i="2"/>
  <c r="I523" i="2"/>
  <c r="I629" i="2"/>
  <c r="I714" i="2"/>
  <c r="I799" i="2"/>
  <c r="I885" i="2"/>
  <c r="I933" i="2"/>
  <c r="I954" i="2"/>
  <c r="I975" i="2"/>
  <c r="I997" i="2"/>
  <c r="I178" i="2"/>
  <c r="I589" i="2"/>
  <c r="I677" i="2"/>
  <c r="I762" i="2"/>
  <c r="I847" i="2"/>
  <c r="I922" i="2"/>
  <c r="I945" i="2"/>
  <c r="I966" i="2"/>
  <c r="I987" i="2"/>
  <c r="I405" i="2"/>
  <c r="I597" i="2"/>
  <c r="I682" i="2"/>
  <c r="I767" i="2"/>
  <c r="I853" i="2"/>
  <c r="I925" i="2"/>
  <c r="I946" i="2"/>
  <c r="I967" i="2"/>
  <c r="I989" i="2"/>
  <c r="I666" i="2"/>
  <c r="I926" i="2"/>
  <c r="I990" i="2"/>
  <c r="I837" i="2"/>
  <c r="I427" i="2"/>
  <c r="I979" i="2"/>
  <c r="I969" i="2"/>
  <c r="I937" i="2"/>
  <c r="I901" i="2"/>
  <c r="I793" i="2"/>
  <c r="I803" i="2"/>
  <c r="I814" i="2"/>
  <c r="I825" i="2"/>
  <c r="I835" i="2"/>
  <c r="I846" i="2"/>
  <c r="I857" i="2"/>
  <c r="I867" i="2"/>
  <c r="I878" i="2"/>
  <c r="I889" i="2"/>
  <c r="I899" i="2"/>
  <c r="I910" i="2"/>
  <c r="I90" i="2"/>
  <c r="I448" i="2"/>
  <c r="I555" i="2"/>
  <c r="I607" i="2"/>
  <c r="I650" i="2"/>
  <c r="I693" i="2"/>
  <c r="I735" i="2"/>
  <c r="I778" i="2"/>
  <c r="I821" i="2"/>
  <c r="I863" i="2"/>
  <c r="I906" i="2"/>
  <c r="I927" i="2"/>
  <c r="I938" i="2"/>
  <c r="I949" i="2"/>
  <c r="I959" i="2"/>
  <c r="I970" i="2"/>
  <c r="I981" i="2"/>
  <c r="I991" i="2"/>
  <c r="I384" i="2"/>
  <c r="I540" i="2"/>
  <c r="I469" i="2"/>
  <c r="I561" i="2"/>
  <c r="I613" i="2"/>
  <c r="I655" i="2"/>
  <c r="I698" i="2"/>
  <c r="I741" i="2"/>
  <c r="I783" i="2"/>
  <c r="I826" i="2"/>
  <c r="I869" i="2"/>
  <c r="I911" i="2"/>
  <c r="I929" i="2"/>
  <c r="I939" i="2"/>
  <c r="I950" i="2"/>
  <c r="I961" i="2"/>
  <c r="I971" i="2"/>
  <c r="I982" i="2"/>
  <c r="I993" i="2"/>
  <c r="I341" i="2"/>
  <c r="I262" i="2"/>
  <c r="I568" i="2"/>
  <c r="I618" i="2"/>
  <c r="I661" i="2"/>
  <c r="I703" i="2"/>
  <c r="I746" i="2"/>
  <c r="I789" i="2"/>
  <c r="I831" i="2"/>
  <c r="I874" i="2"/>
  <c r="I917" i="2"/>
  <c r="I930" i="2"/>
  <c r="I941" i="2"/>
  <c r="I951" i="2"/>
  <c r="I962" i="2"/>
  <c r="I973" i="2"/>
  <c r="I983" i="2"/>
  <c r="I994" i="2"/>
  <c r="I602" i="2"/>
  <c r="I730" i="2"/>
  <c r="I858" i="2"/>
  <c r="I942" i="2"/>
  <c r="I974" i="2"/>
  <c r="I751" i="2"/>
  <c r="I919" i="2"/>
  <c r="I985" i="2"/>
  <c r="I547" i="2"/>
  <c r="I947" i="2"/>
  <c r="I995" i="2"/>
  <c r="I773" i="2"/>
  <c r="I623" i="2"/>
  <c r="I879" i="2"/>
  <c r="I953" i="2"/>
  <c r="I645" i="2"/>
  <c r="I709" i="2"/>
  <c r="I2" i="2"/>
  <c r="Q936" i="2" l="1"/>
  <c r="Q685" i="2"/>
  <c r="Q445" i="2"/>
  <c r="Q217" i="2"/>
  <c r="Q299" i="2"/>
  <c r="Q808" i="2"/>
  <c r="Q641" i="2"/>
  <c r="Q381" i="2"/>
  <c r="Q281" i="2"/>
  <c r="Q199" i="2"/>
  <c r="Q123" i="2"/>
  <c r="P513" i="2"/>
  <c r="Q513" i="2" s="1"/>
  <c r="Q757" i="2"/>
  <c r="Q573" i="2"/>
  <c r="Q335" i="2"/>
  <c r="Q263" i="2"/>
  <c r="Q172" i="2"/>
  <c r="Q97" i="2"/>
  <c r="Q139" i="2"/>
  <c r="Q721" i="2"/>
  <c r="Q509" i="2"/>
  <c r="Q321" i="2"/>
  <c r="Q239" i="2"/>
  <c r="Q153" i="2"/>
  <c r="Q41" i="2"/>
  <c r="P129" i="2"/>
  <c r="Q129" i="2" s="1"/>
  <c r="Q915" i="2"/>
  <c r="Q785" i="2"/>
  <c r="Q749" i="2"/>
  <c r="Q705" i="2"/>
  <c r="Q672" i="2"/>
  <c r="Q629" i="2"/>
  <c r="Q545" i="2"/>
  <c r="Q481" i="2"/>
  <c r="Q417" i="2"/>
  <c r="Q353" i="2"/>
  <c r="Q331" i="2"/>
  <c r="Q315" i="2"/>
  <c r="Q295" i="2"/>
  <c r="Q279" i="2"/>
  <c r="Q257" i="2"/>
  <c r="Q235" i="2"/>
  <c r="Q215" i="2"/>
  <c r="Q187" i="2"/>
  <c r="Q171" i="2"/>
  <c r="Q151" i="2"/>
  <c r="Q137" i="2"/>
  <c r="Q117" i="2"/>
  <c r="Q85" i="2"/>
  <c r="Q33" i="2"/>
  <c r="P773" i="2"/>
  <c r="Q773" i="2" s="1"/>
  <c r="Q1000" i="2"/>
  <c r="Q872" i="2"/>
  <c r="Q769" i="2"/>
  <c r="Q741" i="2"/>
  <c r="Q700" i="2"/>
  <c r="Q669" i="2"/>
  <c r="Q609" i="2"/>
  <c r="Q541" i="2"/>
  <c r="Q477" i="2"/>
  <c r="Q413" i="2"/>
  <c r="Q349" i="2"/>
  <c r="Q329" i="2"/>
  <c r="Q308" i="2"/>
  <c r="Q293" i="2"/>
  <c r="Q271" i="2"/>
  <c r="Q251" i="2"/>
  <c r="Q231" i="2"/>
  <c r="Q207" i="2"/>
  <c r="Q181" i="2"/>
  <c r="Q167" i="2"/>
  <c r="Q145" i="2"/>
  <c r="Q135" i="2"/>
  <c r="Q109" i="2"/>
  <c r="Q77" i="2"/>
  <c r="Q21" i="2"/>
  <c r="P709" i="2"/>
  <c r="Q709" i="2" s="1"/>
  <c r="Q979" i="2"/>
  <c r="Q851" i="2"/>
  <c r="Q764" i="2"/>
  <c r="Q733" i="2"/>
  <c r="Q693" i="2"/>
  <c r="Q657" i="2"/>
  <c r="Q605" i="2"/>
  <c r="Q449" i="2"/>
  <c r="Q385" i="2"/>
  <c r="Q337" i="2"/>
  <c r="Q327" i="2"/>
  <c r="Q303" i="2"/>
  <c r="Q287" i="2"/>
  <c r="Q267" i="2"/>
  <c r="Q245" i="2"/>
  <c r="Q223" i="2"/>
  <c r="Q203" i="2"/>
  <c r="Q175" i="2"/>
  <c r="Q159" i="2"/>
  <c r="Q143" i="2"/>
  <c r="Q124" i="2"/>
  <c r="Q105" i="2"/>
  <c r="Q65" i="2"/>
  <c r="Q13" i="2"/>
  <c r="P886" i="2"/>
  <c r="Q886" i="2" s="1"/>
  <c r="P850" i="2"/>
  <c r="Q850" i="2" s="1"/>
  <c r="P842" i="2"/>
  <c r="Q842" i="2" s="1"/>
  <c r="P838" i="2"/>
  <c r="Q838" i="2" s="1"/>
  <c r="P834" i="2"/>
  <c r="Q834" i="2" s="1"/>
  <c r="P826" i="2"/>
  <c r="Q826" i="2" s="1"/>
  <c r="P822" i="2"/>
  <c r="Q822" i="2" s="1"/>
  <c r="P806" i="2"/>
  <c r="Q806" i="2"/>
  <c r="P794" i="2"/>
  <c r="Q794" i="2" s="1"/>
  <c r="P782" i="2"/>
  <c r="Q782" i="2" s="1"/>
  <c r="P710" i="2"/>
  <c r="Q710" i="2" s="1"/>
  <c r="P702" i="2"/>
  <c r="Q702" i="2" s="1"/>
  <c r="P690" i="2"/>
  <c r="Q690" i="2" s="1"/>
  <c r="P670" i="2"/>
  <c r="Q670" i="2" s="1"/>
  <c r="P638" i="2"/>
  <c r="Q638" i="2" s="1"/>
  <c r="P626" i="2"/>
  <c r="Q626" i="2"/>
  <c r="P614" i="2"/>
  <c r="Q614" i="2" s="1"/>
  <c r="P586" i="2"/>
  <c r="Q586" i="2" s="1"/>
  <c r="P582" i="2"/>
  <c r="Q582" i="2" s="1"/>
  <c r="P574" i="2"/>
  <c r="Q574" i="2" s="1"/>
  <c r="P570" i="2"/>
  <c r="Q570" i="2" s="1"/>
  <c r="P562" i="2"/>
  <c r="Q562" i="2" s="1"/>
  <c r="P554" i="2"/>
  <c r="Q554" i="2" s="1"/>
  <c r="P546" i="2"/>
  <c r="Q546" i="2" s="1"/>
  <c r="P542" i="2"/>
  <c r="Q542" i="2" s="1"/>
  <c r="P538" i="2"/>
  <c r="Q538" i="2"/>
  <c r="P530" i="2"/>
  <c r="Q530" i="2" s="1"/>
  <c r="P526" i="2"/>
  <c r="Q526" i="2" s="1"/>
  <c r="P522" i="2"/>
  <c r="Q522" i="2" s="1"/>
  <c r="P518" i="2"/>
  <c r="Q518" i="2" s="1"/>
  <c r="P514" i="2"/>
  <c r="Q514" i="2" s="1"/>
  <c r="P510" i="2"/>
  <c r="Q510" i="2" s="1"/>
  <c r="P506" i="2"/>
  <c r="Q506" i="2" s="1"/>
  <c r="P498" i="2"/>
  <c r="Q498" i="2" s="1"/>
  <c r="P494" i="2"/>
  <c r="Q494" i="2" s="1"/>
  <c r="P490" i="2"/>
  <c r="Q490" i="2" s="1"/>
  <c r="P474" i="2"/>
  <c r="Q474" i="2" s="1"/>
  <c r="P466" i="2"/>
  <c r="Q466" i="2" s="1"/>
  <c r="P462" i="2"/>
  <c r="Q462" i="2" s="1"/>
  <c r="P458" i="2"/>
  <c r="Q458" i="2" s="1"/>
  <c r="P450" i="2"/>
  <c r="Q450" i="2" s="1"/>
  <c r="P446" i="2"/>
  <c r="Q446" i="2" s="1"/>
  <c r="P442" i="2"/>
  <c r="Q442" i="2" s="1"/>
  <c r="P434" i="2"/>
  <c r="Q434" i="2" s="1"/>
  <c r="P430" i="2"/>
  <c r="Q430" i="2" s="1"/>
  <c r="P426" i="2"/>
  <c r="Q426" i="2" s="1"/>
  <c r="P422" i="2"/>
  <c r="Q422" i="2" s="1"/>
  <c r="P418" i="2"/>
  <c r="Q418" i="2" s="1"/>
  <c r="P414" i="2"/>
  <c r="Q414" i="2" s="1"/>
  <c r="P402" i="2"/>
  <c r="Q402" i="2" s="1"/>
  <c r="P398" i="2"/>
  <c r="Q398" i="2" s="1"/>
  <c r="P394" i="2"/>
  <c r="Q394" i="2" s="1"/>
  <c r="P390" i="2"/>
  <c r="Q390" i="2" s="1"/>
  <c r="P386" i="2"/>
  <c r="Q386" i="2" s="1"/>
  <c r="P382" i="2"/>
  <c r="Q382" i="2" s="1"/>
  <c r="P378" i="2"/>
  <c r="Q378" i="2" s="1"/>
  <c r="P370" i="2"/>
  <c r="Q370" i="2" s="1"/>
  <c r="P366" i="2"/>
  <c r="Q366" i="2" s="1"/>
  <c r="P362" i="2"/>
  <c r="Q362" i="2" s="1"/>
  <c r="P354" i="2"/>
  <c r="Q354" i="2" s="1"/>
  <c r="P350" i="2"/>
  <c r="Q350" i="2" s="1"/>
  <c r="P346" i="2"/>
  <c r="Q346" i="2" s="1"/>
  <c r="P338" i="2"/>
  <c r="Q338" i="2" s="1"/>
  <c r="P334" i="2"/>
  <c r="Q334" i="2" s="1"/>
  <c r="P330" i="2"/>
  <c r="Q330" i="2" s="1"/>
  <c r="P326" i="2"/>
  <c r="Q326" i="2" s="1"/>
  <c r="P322" i="2"/>
  <c r="Q322" i="2" s="1"/>
  <c r="P318" i="2"/>
  <c r="Q318" i="2" s="1"/>
  <c r="P314" i="2"/>
  <c r="Q314" i="2" s="1"/>
  <c r="P310" i="2"/>
  <c r="Q310" i="2" s="1"/>
  <c r="P306" i="2"/>
  <c r="Q306" i="2" s="1"/>
  <c r="P302" i="2"/>
  <c r="Q302" i="2" s="1"/>
  <c r="P298" i="2"/>
  <c r="Q298" i="2" s="1"/>
  <c r="P294" i="2"/>
  <c r="Q294" i="2" s="1"/>
  <c r="P290" i="2"/>
  <c r="Q290" i="2" s="1"/>
  <c r="P286" i="2"/>
  <c r="Q286" i="2" s="1"/>
  <c r="P282" i="2"/>
  <c r="Q282" i="2" s="1"/>
  <c r="P278" i="2"/>
  <c r="Q278" i="2" s="1"/>
  <c r="P274" i="2"/>
  <c r="Q274" i="2" s="1"/>
  <c r="P270" i="2"/>
  <c r="Q270" i="2" s="1"/>
  <c r="P266" i="2"/>
  <c r="Q266" i="2" s="1"/>
  <c r="P262" i="2"/>
  <c r="Q262" i="2" s="1"/>
  <c r="P258" i="2"/>
  <c r="Q258" i="2" s="1"/>
  <c r="P254" i="2"/>
  <c r="Q254" i="2" s="1"/>
  <c r="P250" i="2"/>
  <c r="Q250" i="2" s="1"/>
  <c r="P246" i="2"/>
  <c r="Q246" i="2" s="1"/>
  <c r="P242" i="2"/>
  <c r="Q242" i="2" s="1"/>
  <c r="P238" i="2"/>
  <c r="Q238" i="2" s="1"/>
  <c r="P234" i="2"/>
  <c r="Q234" i="2" s="1"/>
  <c r="P230" i="2"/>
  <c r="Q230" i="2" s="1"/>
  <c r="P226" i="2"/>
  <c r="Q226" i="2" s="1"/>
  <c r="P222" i="2"/>
  <c r="Q222" i="2"/>
  <c r="P218" i="2"/>
  <c r="Q218" i="2" s="1"/>
  <c r="P214" i="2"/>
  <c r="Q214" i="2" s="1"/>
  <c r="P210" i="2"/>
  <c r="Q210" i="2" s="1"/>
  <c r="P206" i="2"/>
  <c r="Q206" i="2" s="1"/>
  <c r="P202" i="2"/>
  <c r="Q202" i="2" s="1"/>
  <c r="P198" i="2"/>
  <c r="Q198" i="2" s="1"/>
  <c r="P194" i="2"/>
  <c r="Q194" i="2" s="1"/>
  <c r="P190" i="2"/>
  <c r="Q190" i="2" s="1"/>
  <c r="P186" i="2"/>
  <c r="Q186" i="2" s="1"/>
  <c r="P182" i="2"/>
  <c r="Q182" i="2" s="1"/>
  <c r="P178" i="2"/>
  <c r="Q178" i="2" s="1"/>
  <c r="P174" i="2"/>
  <c r="Q174" i="2" s="1"/>
  <c r="P170" i="2"/>
  <c r="Q170" i="2" s="1"/>
  <c r="P166" i="2"/>
  <c r="Q166" i="2"/>
  <c r="P162" i="2"/>
  <c r="Q162" i="2" s="1"/>
  <c r="P158" i="2"/>
  <c r="Q158" i="2" s="1"/>
  <c r="P154" i="2"/>
  <c r="Q154" i="2" s="1"/>
  <c r="P150" i="2"/>
  <c r="Q150" i="2" s="1"/>
  <c r="P146" i="2"/>
  <c r="Q146" i="2" s="1"/>
  <c r="P142" i="2"/>
  <c r="Q142" i="2" s="1"/>
  <c r="P138" i="2"/>
  <c r="Q138" i="2" s="1"/>
  <c r="P134" i="2"/>
  <c r="Q134" i="2"/>
  <c r="P130" i="2"/>
  <c r="Q130" i="2" s="1"/>
  <c r="P126" i="2"/>
  <c r="Q126" i="2" s="1"/>
  <c r="P122" i="2"/>
  <c r="Q122" i="2" s="1"/>
  <c r="P118" i="2"/>
  <c r="Q118" i="2" s="1"/>
  <c r="P454" i="2"/>
  <c r="Q454" i="2" s="1"/>
  <c r="Q958" i="2"/>
  <c r="Q894" i="2"/>
  <c r="Q830" i="2"/>
  <c r="Q650" i="2"/>
  <c r="Q598" i="2"/>
  <c r="Q566" i="2"/>
  <c r="Q534" i="2"/>
  <c r="Q502" i="2"/>
  <c r="Q470" i="2"/>
  <c r="Q438" i="2"/>
  <c r="Q406" i="2"/>
  <c r="Q374" i="2"/>
  <c r="Q342" i="2"/>
  <c r="P410" i="2"/>
  <c r="Q410" i="2" s="1"/>
  <c r="Q995" i="2"/>
  <c r="Q974" i="2"/>
  <c r="Q952" i="2"/>
  <c r="Q931" i="2"/>
  <c r="Q910" i="2"/>
  <c r="Q888" i="2"/>
  <c r="Q867" i="2"/>
  <c r="Q846" i="2"/>
  <c r="Q824" i="2"/>
  <c r="Q803" i="2"/>
  <c r="Q778" i="2"/>
  <c r="Q736" i="2"/>
  <c r="Q714" i="2"/>
  <c r="Q642" i="2"/>
  <c r="Q620" i="2"/>
  <c r="Q588" i="2"/>
  <c r="Q556" i="2"/>
  <c r="Q524" i="2"/>
  <c r="Q492" i="2"/>
  <c r="Q460" i="2"/>
  <c r="Q428" i="2"/>
  <c r="Q396" i="2"/>
  <c r="Q364" i="2"/>
  <c r="Q208" i="2"/>
  <c r="Q24" i="2"/>
  <c r="P986" i="2"/>
  <c r="Q986" i="2" s="1"/>
  <c r="P966" i="2"/>
  <c r="Q966" i="2" s="1"/>
  <c r="P962" i="2"/>
  <c r="Q962" i="2" s="1"/>
  <c r="P954" i="2"/>
  <c r="Q954" i="2" s="1"/>
  <c r="P934" i="2"/>
  <c r="Q934" i="2" s="1"/>
  <c r="P930" i="2"/>
  <c r="Q930" i="2"/>
  <c r="P922" i="2"/>
  <c r="Q922" i="2" s="1"/>
  <c r="P914" i="2"/>
  <c r="Q914" i="2" s="1"/>
  <c r="P902" i="2"/>
  <c r="Q902" i="2" s="1"/>
  <c r="P882" i="2"/>
  <c r="Q882" i="2" s="1"/>
  <c r="P874" i="2"/>
  <c r="Q874" i="2" s="1"/>
  <c r="P866" i="2"/>
  <c r="Q866" i="2" s="1"/>
  <c r="P818" i="2"/>
  <c r="Q818" i="2" s="1"/>
  <c r="P810" i="2"/>
  <c r="Q810" i="2" s="1"/>
  <c r="P802" i="2"/>
  <c r="Q802" i="2" s="1"/>
  <c r="P790" i="2"/>
  <c r="Q790" i="2"/>
  <c r="P774" i="2"/>
  <c r="Q774" i="2" s="1"/>
  <c r="P766" i="2"/>
  <c r="Q766" i="2" s="1"/>
  <c r="P762" i="2"/>
  <c r="Q762" i="2" s="1"/>
  <c r="P758" i="2"/>
  <c r="Q758" i="2" s="1"/>
  <c r="P754" i="2"/>
  <c r="Q754" i="2" s="1"/>
  <c r="P750" i="2"/>
  <c r="Q750" i="2" s="1"/>
  <c r="P746" i="2"/>
  <c r="Q746" i="2" s="1"/>
  <c r="P738" i="2"/>
  <c r="Q738" i="2" s="1"/>
  <c r="P734" i="2"/>
  <c r="Q734" i="2" s="1"/>
  <c r="P730" i="2"/>
  <c r="Q730" i="2" s="1"/>
  <c r="P726" i="2"/>
  <c r="Q726" i="2" s="1"/>
  <c r="P722" i="2"/>
  <c r="Q722" i="2" s="1"/>
  <c r="P718" i="2"/>
  <c r="Q718" i="2" s="1"/>
  <c r="P698" i="2"/>
  <c r="Q698" i="2"/>
  <c r="P686" i="2"/>
  <c r="Q686" i="2" s="1"/>
  <c r="Q662" i="2"/>
  <c r="P654" i="2"/>
  <c r="Q654" i="2"/>
  <c r="P646" i="2"/>
  <c r="Q646" i="2" s="1"/>
  <c r="P630" i="2"/>
  <c r="Q630" i="2" s="1"/>
  <c r="P618" i="2"/>
  <c r="Q618" i="2" s="1"/>
  <c r="P606" i="2"/>
  <c r="Q606" i="2" s="1"/>
  <c r="P602" i="2"/>
  <c r="Q602" i="2" s="1"/>
  <c r="P590" i="2"/>
  <c r="Q590" i="2" s="1"/>
  <c r="P578" i="2"/>
  <c r="Q578" i="2" s="1"/>
  <c r="P558" i="2"/>
  <c r="Q558" i="2" s="1"/>
  <c r="P550" i="2"/>
  <c r="Q550" i="2" s="1"/>
  <c r="P482" i="2"/>
  <c r="Q482" i="2" s="1"/>
  <c r="P996" i="2"/>
  <c r="Q996" i="2" s="1"/>
  <c r="P992" i="2"/>
  <c r="Q992" i="2" s="1"/>
  <c r="P988" i="2"/>
  <c r="Q988" i="2" s="1"/>
  <c r="P980" i="2"/>
  <c r="Q980" i="2" s="1"/>
  <c r="P976" i="2"/>
  <c r="Q976" i="2" s="1"/>
  <c r="P972" i="2"/>
  <c r="Q972" i="2" s="1"/>
  <c r="P964" i="2"/>
  <c r="Q964" i="2" s="1"/>
  <c r="P960" i="2"/>
  <c r="Q960" i="2"/>
  <c r="P956" i="2"/>
  <c r="Q956" i="2" s="1"/>
  <c r="P948" i="2"/>
  <c r="Q948" i="2" s="1"/>
  <c r="P944" i="2"/>
  <c r="Q944" i="2" s="1"/>
  <c r="P940" i="2"/>
  <c r="Q940" i="2" s="1"/>
  <c r="P932" i="2"/>
  <c r="Q932" i="2" s="1"/>
  <c r="P928" i="2"/>
  <c r="Q928" i="2" s="1"/>
  <c r="P924" i="2"/>
  <c r="Q924" i="2" s="1"/>
  <c r="P916" i="2"/>
  <c r="Q916" i="2" s="1"/>
  <c r="P912" i="2"/>
  <c r="Q912" i="2" s="1"/>
  <c r="P908" i="2"/>
  <c r="Q908" i="2" s="1"/>
  <c r="P900" i="2"/>
  <c r="Q900" i="2" s="1"/>
  <c r="P896" i="2"/>
  <c r="Q896" i="2" s="1"/>
  <c r="P892" i="2"/>
  <c r="Q892" i="2" s="1"/>
  <c r="P884" i="2"/>
  <c r="Q884" i="2"/>
  <c r="P880" i="2"/>
  <c r="Q880" i="2" s="1"/>
  <c r="P876" i="2"/>
  <c r="Q876" i="2" s="1"/>
  <c r="P868" i="2"/>
  <c r="Q868" i="2" s="1"/>
  <c r="P864" i="2"/>
  <c r="Q864" i="2" s="1"/>
  <c r="P860" i="2"/>
  <c r="Q860" i="2" s="1"/>
  <c r="P852" i="2"/>
  <c r="Q852" i="2" s="1"/>
  <c r="P848" i="2"/>
  <c r="Q848" i="2" s="1"/>
  <c r="P844" i="2"/>
  <c r="Q844" i="2" s="1"/>
  <c r="P836" i="2"/>
  <c r="Q836" i="2" s="1"/>
  <c r="P832" i="2"/>
  <c r="Q832" i="2"/>
  <c r="P828" i="2"/>
  <c r="Q828" i="2" s="1"/>
  <c r="P820" i="2"/>
  <c r="Q820" i="2" s="1"/>
  <c r="P816" i="2"/>
  <c r="Q816" i="2" s="1"/>
  <c r="P812" i="2"/>
  <c r="Q812" i="2" s="1"/>
  <c r="P804" i="2"/>
  <c r="Q804" i="2" s="1"/>
  <c r="P800" i="2"/>
  <c r="Q800" i="2" s="1"/>
  <c r="P796" i="2"/>
  <c r="Q796" i="2" s="1"/>
  <c r="P788" i="2"/>
  <c r="Q788" i="2" s="1"/>
  <c r="P784" i="2"/>
  <c r="Q784" i="2" s="1"/>
  <c r="P780" i="2"/>
  <c r="Q780" i="2" s="1"/>
  <c r="P776" i="2"/>
  <c r="Q776" i="2" s="1"/>
  <c r="P772" i="2"/>
  <c r="Q772" i="2"/>
  <c r="P768" i="2"/>
  <c r="Q768" i="2" s="1"/>
  <c r="P760" i="2"/>
  <c r="Q760" i="2" s="1"/>
  <c r="P756" i="2"/>
  <c r="Q756" i="2" s="1"/>
  <c r="P752" i="2"/>
  <c r="Q752" i="2" s="1"/>
  <c r="P748" i="2"/>
  <c r="Q748" i="2" s="1"/>
  <c r="P744" i="2"/>
  <c r="Q744" i="2" s="1"/>
  <c r="P740" i="2"/>
  <c r="Q740" i="2" s="1"/>
  <c r="P732" i="2"/>
  <c r="Q732" i="2" s="1"/>
  <c r="P724" i="2"/>
  <c r="Q724" i="2" s="1"/>
  <c r="P720" i="2"/>
  <c r="Q720" i="2" s="1"/>
  <c r="P716" i="2"/>
  <c r="Q716" i="2" s="1"/>
  <c r="P712" i="2"/>
  <c r="Q712" i="2"/>
  <c r="P708" i="2"/>
  <c r="Q708" i="2" s="1"/>
  <c r="P704" i="2"/>
  <c r="Q704" i="2" s="1"/>
  <c r="P696" i="2"/>
  <c r="Q696" i="2" s="1"/>
  <c r="P692" i="2"/>
  <c r="Q692" i="2" s="1"/>
  <c r="P688" i="2"/>
  <c r="Q688" i="2" s="1"/>
  <c r="P684" i="2"/>
  <c r="Q684" i="2" s="1"/>
  <c r="P680" i="2"/>
  <c r="Q680" i="2" s="1"/>
  <c r="P676" i="2"/>
  <c r="Q676" i="2" s="1"/>
  <c r="P668" i="2"/>
  <c r="Q668" i="2" s="1"/>
  <c r="P660" i="2"/>
  <c r="Q660" i="2" s="1"/>
  <c r="P656" i="2"/>
  <c r="Q656" i="2" s="1"/>
  <c r="P652" i="2"/>
  <c r="Q652" i="2"/>
  <c r="P648" i="2"/>
  <c r="Q648" i="2" s="1"/>
  <c r="P644" i="2"/>
  <c r="Q644" i="2" s="1"/>
  <c r="P640" i="2"/>
  <c r="Q640" i="2" s="1"/>
  <c r="P632" i="2"/>
  <c r="Q632" i="2" s="1"/>
  <c r="P628" i="2"/>
  <c r="Q628" i="2" s="1"/>
  <c r="P624" i="2"/>
  <c r="Q624" i="2" s="1"/>
  <c r="P616" i="2"/>
  <c r="Q616" i="2" s="1"/>
  <c r="P612" i="2"/>
  <c r="Q612" i="2" s="1"/>
  <c r="P608" i="2"/>
  <c r="Q608" i="2" s="1"/>
  <c r="P604" i="2"/>
  <c r="Q604" i="2"/>
  <c r="P600" i="2"/>
  <c r="Q600" i="2" s="1"/>
  <c r="P596" i="2"/>
  <c r="Q596" i="2" s="1"/>
  <c r="P592" i="2"/>
  <c r="Q592" i="2" s="1"/>
  <c r="P584" i="2"/>
  <c r="Q584" i="2" s="1"/>
  <c r="P580" i="2"/>
  <c r="Q580" i="2" s="1"/>
  <c r="P576" i="2"/>
  <c r="Q576" i="2" s="1"/>
  <c r="P572" i="2"/>
  <c r="Q572" i="2" s="1"/>
  <c r="P568" i="2"/>
  <c r="Q568" i="2" s="1"/>
  <c r="P564" i="2"/>
  <c r="Q564" i="2" s="1"/>
  <c r="P560" i="2"/>
  <c r="Q560" i="2" s="1"/>
  <c r="P552" i="2"/>
  <c r="Q552" i="2" s="1"/>
  <c r="P548" i="2"/>
  <c r="Q548" i="2" s="1"/>
  <c r="P544" i="2"/>
  <c r="Q544" i="2" s="1"/>
  <c r="P540" i="2"/>
  <c r="Q540" i="2"/>
  <c r="P536" i="2"/>
  <c r="Q536" i="2" s="1"/>
  <c r="P532" i="2"/>
  <c r="Q532" i="2" s="1"/>
  <c r="P528" i="2"/>
  <c r="Q528" i="2" s="1"/>
  <c r="P520" i="2"/>
  <c r="Q520" i="2" s="1"/>
  <c r="P516" i="2"/>
  <c r="Q516" i="2" s="1"/>
  <c r="P512" i="2"/>
  <c r="Q512" i="2" s="1"/>
  <c r="P508" i="2"/>
  <c r="Q508" i="2" s="1"/>
  <c r="P504" i="2"/>
  <c r="Q504" i="2" s="1"/>
  <c r="P500" i="2"/>
  <c r="Q500" i="2" s="1"/>
  <c r="P496" i="2"/>
  <c r="Q496" i="2"/>
  <c r="P488" i="2"/>
  <c r="Q488" i="2" s="1"/>
  <c r="P484" i="2"/>
  <c r="Q484" i="2" s="1"/>
  <c r="P480" i="2"/>
  <c r="Q480" i="2" s="1"/>
  <c r="P476" i="2"/>
  <c r="Q476" i="2" s="1"/>
  <c r="P472" i="2"/>
  <c r="Q472" i="2" s="1"/>
  <c r="P468" i="2"/>
  <c r="Q468" i="2" s="1"/>
  <c r="P464" i="2"/>
  <c r="Q464" i="2" s="1"/>
  <c r="P456" i="2"/>
  <c r="Q456" i="2" s="1"/>
  <c r="P452" i="2"/>
  <c r="Q452" i="2" s="1"/>
  <c r="P448" i="2"/>
  <c r="Q448" i="2"/>
  <c r="P444" i="2"/>
  <c r="Q444" i="2" s="1"/>
  <c r="P440" i="2"/>
  <c r="Q440" i="2" s="1"/>
  <c r="P436" i="2"/>
  <c r="Q436" i="2" s="1"/>
  <c r="P432" i="2"/>
  <c r="Q432" i="2" s="1"/>
  <c r="P424" i="2"/>
  <c r="Q424" i="2" s="1"/>
  <c r="P420" i="2"/>
  <c r="Q420" i="2" s="1"/>
  <c r="P416" i="2"/>
  <c r="Q416" i="2" s="1"/>
  <c r="P412" i="2"/>
  <c r="Q412" i="2"/>
  <c r="P408" i="2"/>
  <c r="Q408" i="2" s="1"/>
  <c r="P404" i="2"/>
  <c r="Q404" i="2" s="1"/>
  <c r="P400" i="2"/>
  <c r="Q400" i="2" s="1"/>
  <c r="P392" i="2"/>
  <c r="Q392" i="2" s="1"/>
  <c r="P388" i="2"/>
  <c r="Q388" i="2" s="1"/>
  <c r="P384" i="2"/>
  <c r="Q384" i="2"/>
  <c r="P380" i="2"/>
  <c r="Q380" i="2" s="1"/>
  <c r="P376" i="2"/>
  <c r="Q376" i="2" s="1"/>
  <c r="P372" i="2"/>
  <c r="Q372" i="2" s="1"/>
  <c r="P368" i="2"/>
  <c r="Q368" i="2" s="1"/>
  <c r="P360" i="2"/>
  <c r="Q360" i="2" s="1"/>
  <c r="P356" i="2"/>
  <c r="Q356" i="2" s="1"/>
  <c r="P352" i="2"/>
  <c r="Q352" i="2" s="1"/>
  <c r="P348" i="2"/>
  <c r="Q348" i="2" s="1"/>
  <c r="P344" i="2"/>
  <c r="Q344" i="2" s="1"/>
  <c r="P340" i="2"/>
  <c r="Q340" i="2"/>
  <c r="P336" i="2"/>
  <c r="Q336" i="2" s="1"/>
  <c r="P332" i="2"/>
  <c r="Q332" i="2" s="1"/>
  <c r="P328" i="2"/>
  <c r="Q328" i="2" s="1"/>
  <c r="P324" i="2"/>
  <c r="Q324" i="2" s="1"/>
  <c r="P320" i="2"/>
  <c r="Q320" i="2" s="1"/>
  <c r="P316" i="2"/>
  <c r="Q316" i="2" s="1"/>
  <c r="P312" i="2"/>
  <c r="Q312" i="2" s="1"/>
  <c r="P304" i="2"/>
  <c r="Q304" i="2" s="1"/>
  <c r="P300" i="2"/>
  <c r="Q300" i="2" s="1"/>
  <c r="P296" i="2"/>
  <c r="Q296" i="2" s="1"/>
  <c r="P292" i="2"/>
  <c r="Q292" i="2" s="1"/>
  <c r="P288" i="2"/>
  <c r="Q288" i="2" s="1"/>
  <c r="P284" i="2"/>
  <c r="Q284" i="2" s="1"/>
  <c r="P280" i="2"/>
  <c r="Q280" i="2" s="1"/>
  <c r="P276" i="2"/>
  <c r="Q276" i="2" s="1"/>
  <c r="P272" i="2"/>
  <c r="Q272" i="2" s="1"/>
  <c r="P268" i="2"/>
  <c r="Q268" i="2" s="1"/>
  <c r="P264" i="2"/>
  <c r="Q264" i="2" s="1"/>
  <c r="P256" i="2"/>
  <c r="Q256" i="2" s="1"/>
  <c r="P252" i="2"/>
  <c r="Q252" i="2" s="1"/>
  <c r="P248" i="2"/>
  <c r="Q248" i="2" s="1"/>
  <c r="P244" i="2"/>
  <c r="Q244" i="2" s="1"/>
  <c r="P240" i="2"/>
  <c r="Q240" i="2" s="1"/>
  <c r="P236" i="2"/>
  <c r="Q236" i="2"/>
  <c r="P232" i="2"/>
  <c r="Q232" i="2" s="1"/>
  <c r="P228" i="2"/>
  <c r="Q228" i="2" s="1"/>
  <c r="P224" i="2"/>
  <c r="Q224" i="2" s="1"/>
  <c r="P220" i="2"/>
  <c r="Q220" i="2" s="1"/>
  <c r="P216" i="2"/>
  <c r="Q216" i="2" s="1"/>
  <c r="P212" i="2"/>
  <c r="Q212" i="2" s="1"/>
  <c r="P204" i="2"/>
  <c r="Q204" i="2" s="1"/>
  <c r="P200" i="2"/>
  <c r="Q200" i="2" s="1"/>
  <c r="P196" i="2"/>
  <c r="Q196" i="2" s="1"/>
  <c r="P192" i="2"/>
  <c r="Q192" i="2" s="1"/>
  <c r="P188" i="2"/>
  <c r="Q188" i="2" s="1"/>
  <c r="P184" i="2"/>
  <c r="Q184" i="2" s="1"/>
  <c r="P180" i="2"/>
  <c r="Q180" i="2" s="1"/>
  <c r="P176" i="2"/>
  <c r="Q176" i="2" s="1"/>
  <c r="P168" i="2"/>
  <c r="Q168" i="2" s="1"/>
  <c r="P164" i="2"/>
  <c r="Q164" i="2" s="1"/>
  <c r="P156" i="2"/>
  <c r="Q156" i="2" s="1"/>
  <c r="P152" i="2"/>
  <c r="Q152" i="2" s="1"/>
  <c r="P148" i="2"/>
  <c r="Q148" i="2" s="1"/>
  <c r="P144" i="2"/>
  <c r="Q144" i="2" s="1"/>
  <c r="P140" i="2"/>
  <c r="Q140" i="2" s="1"/>
  <c r="P136" i="2"/>
  <c r="Q136" i="2" s="1"/>
  <c r="P132" i="2"/>
  <c r="Q132" i="2" s="1"/>
  <c r="P128" i="2"/>
  <c r="Q128" i="2"/>
  <c r="P120" i="2"/>
  <c r="Q120" i="2" s="1"/>
  <c r="P116" i="2"/>
  <c r="Q116" i="2" s="1"/>
  <c r="P112" i="2"/>
  <c r="Q112" i="2" s="1"/>
  <c r="P108" i="2"/>
  <c r="Q108" i="2" s="1"/>
  <c r="P104" i="2"/>
  <c r="Q104" i="2" s="1"/>
  <c r="P100" i="2"/>
  <c r="Q100" i="2" s="1"/>
  <c r="P96" i="2"/>
  <c r="Q96" i="2" s="1"/>
  <c r="P92" i="2"/>
  <c r="Q92" i="2" s="1"/>
  <c r="P84" i="2"/>
  <c r="Q84" i="2" s="1"/>
  <c r="P80" i="2"/>
  <c r="Q80" i="2" s="1"/>
  <c r="P76" i="2"/>
  <c r="Q76" i="2" s="1"/>
  <c r="P72" i="2"/>
  <c r="Q72" i="2"/>
  <c r="P68" i="2"/>
  <c r="Q68" i="2" s="1"/>
  <c r="P64" i="2"/>
  <c r="Q64" i="2" s="1"/>
  <c r="P60" i="2"/>
  <c r="Q60" i="2" s="1"/>
  <c r="P56" i="2"/>
  <c r="Q56" i="2" s="1"/>
  <c r="P52" i="2"/>
  <c r="Q52" i="2" s="1"/>
  <c r="P48" i="2"/>
  <c r="Q48" i="2" s="1"/>
  <c r="P44" i="2"/>
  <c r="Q44" i="2" s="1"/>
  <c r="P40" i="2"/>
  <c r="Q40" i="2" s="1"/>
  <c r="P36" i="2"/>
  <c r="Q36" i="2" s="1"/>
  <c r="P32" i="2"/>
  <c r="Q32" i="2"/>
  <c r="P28" i="2"/>
  <c r="Q28" i="2" s="1"/>
  <c r="P20" i="2"/>
  <c r="Q20" i="2" s="1"/>
  <c r="P16" i="2"/>
  <c r="Q16" i="2" s="1"/>
  <c r="P12" i="2"/>
  <c r="Q12" i="2" s="1"/>
  <c r="P8" i="2"/>
  <c r="Q8" i="2" s="1"/>
  <c r="P4" i="2"/>
  <c r="Q4" i="2" s="1"/>
  <c r="Q990" i="2"/>
  <c r="Q968" i="2"/>
  <c r="Q947" i="2"/>
  <c r="Q926" i="2"/>
  <c r="Q904" i="2"/>
  <c r="Q883" i="2"/>
  <c r="Q862" i="2"/>
  <c r="Q840" i="2"/>
  <c r="Q819" i="2"/>
  <c r="Q798" i="2"/>
  <c r="Q770" i="2"/>
  <c r="Q706" i="2"/>
  <c r="Q664" i="2"/>
  <c r="Q88" i="2"/>
  <c r="P998" i="2"/>
  <c r="Q998" i="2" s="1"/>
  <c r="P994" i="2"/>
  <c r="Q994" i="2" s="1"/>
  <c r="P982" i="2"/>
  <c r="Q982" i="2" s="1"/>
  <c r="P978" i="2"/>
  <c r="Q978" i="2" s="1"/>
  <c r="P970" i="2"/>
  <c r="Q970" i="2"/>
  <c r="P950" i="2"/>
  <c r="Q950" i="2" s="1"/>
  <c r="P946" i="2"/>
  <c r="Q946" i="2" s="1"/>
  <c r="P938" i="2"/>
  <c r="Q938" i="2" s="1"/>
  <c r="P918" i="2"/>
  <c r="Q918" i="2" s="1"/>
  <c r="P906" i="2"/>
  <c r="Q906" i="2" s="1"/>
  <c r="P898" i="2"/>
  <c r="Q898" i="2" s="1"/>
  <c r="P890" i="2"/>
  <c r="Q890" i="2" s="1"/>
  <c r="P870" i="2"/>
  <c r="Q870" i="2" s="1"/>
  <c r="P858" i="2"/>
  <c r="Q858" i="2" s="1"/>
  <c r="P854" i="2"/>
  <c r="Q854" i="2" s="1"/>
  <c r="P786" i="2"/>
  <c r="Q786" i="2" s="1"/>
  <c r="P694" i="2"/>
  <c r="Q694" i="2" s="1"/>
  <c r="P682" i="2"/>
  <c r="Q682" i="2" s="1"/>
  <c r="P674" i="2"/>
  <c r="Q674" i="2" s="1"/>
  <c r="P666" i="2"/>
  <c r="Q666" i="2" s="1"/>
  <c r="P658" i="2"/>
  <c r="Q658" i="2" s="1"/>
  <c r="P634" i="2"/>
  <c r="Q634" i="2" s="1"/>
  <c r="P622" i="2"/>
  <c r="Q622" i="2" s="1"/>
  <c r="P610" i="2"/>
  <c r="Q610" i="2" s="1"/>
  <c r="P594" i="2"/>
  <c r="Q594" i="2" s="1"/>
  <c r="P486" i="2"/>
  <c r="Q486" i="2" s="1"/>
  <c r="P478" i="2"/>
  <c r="Q478" i="2"/>
  <c r="P999" i="2"/>
  <c r="Q999" i="2" s="1"/>
  <c r="P991" i="2"/>
  <c r="Q991" i="2" s="1"/>
  <c r="P987" i="2"/>
  <c r="Q987" i="2" s="1"/>
  <c r="P983" i="2"/>
  <c r="Q983" i="2" s="1"/>
  <c r="P975" i="2"/>
  <c r="Q975" i="2" s="1"/>
  <c r="P971" i="2"/>
  <c r="Q971" i="2" s="1"/>
  <c r="P967" i="2"/>
  <c r="Q967" i="2" s="1"/>
  <c r="P959" i="2"/>
  <c r="Q959" i="2" s="1"/>
  <c r="P955" i="2"/>
  <c r="Q955" i="2" s="1"/>
  <c r="P951" i="2"/>
  <c r="Q951" i="2" s="1"/>
  <c r="P943" i="2"/>
  <c r="Q943" i="2" s="1"/>
  <c r="P939" i="2"/>
  <c r="Q939" i="2" s="1"/>
  <c r="P935" i="2"/>
  <c r="Q935" i="2" s="1"/>
  <c r="P927" i="2"/>
  <c r="Q927" i="2"/>
  <c r="P923" i="2"/>
  <c r="Q923" i="2" s="1"/>
  <c r="P919" i="2"/>
  <c r="Q919" i="2" s="1"/>
  <c r="P911" i="2"/>
  <c r="Q911" i="2" s="1"/>
  <c r="P907" i="2"/>
  <c r="Q907" i="2" s="1"/>
  <c r="P903" i="2"/>
  <c r="Q903" i="2" s="1"/>
  <c r="P895" i="2"/>
  <c r="Q895" i="2" s="1"/>
  <c r="P891" i="2"/>
  <c r="Q891" i="2" s="1"/>
  <c r="P887" i="2"/>
  <c r="Q887" i="2" s="1"/>
  <c r="P879" i="2"/>
  <c r="Q879" i="2" s="1"/>
  <c r="P875" i="2"/>
  <c r="Q875" i="2" s="1"/>
  <c r="P871" i="2"/>
  <c r="Q871" i="2"/>
  <c r="P863" i="2"/>
  <c r="Q863" i="2" s="1"/>
  <c r="P859" i="2"/>
  <c r="Q859" i="2" s="1"/>
  <c r="P855" i="2"/>
  <c r="Q855" i="2" s="1"/>
  <c r="P847" i="2"/>
  <c r="Q847" i="2" s="1"/>
  <c r="P843" i="2"/>
  <c r="Q843" i="2" s="1"/>
  <c r="P839" i="2"/>
  <c r="Q839" i="2" s="1"/>
  <c r="P831" i="2"/>
  <c r="Q831" i="2" s="1"/>
  <c r="P827" i="2"/>
  <c r="Q827" i="2" s="1"/>
  <c r="P823" i="2"/>
  <c r="Q823" i="2" s="1"/>
  <c r="P815" i="2"/>
  <c r="Q815" i="2" s="1"/>
  <c r="P811" i="2"/>
  <c r="Q811" i="2"/>
  <c r="P807" i="2"/>
  <c r="Q807" i="2" s="1"/>
  <c r="P799" i="2"/>
  <c r="Q799" i="2" s="1"/>
  <c r="P795" i="2"/>
  <c r="Q795" i="2" s="1"/>
  <c r="P791" i="2"/>
  <c r="Q791" i="2"/>
  <c r="P787" i="2"/>
  <c r="Q787" i="2" s="1"/>
  <c r="P783" i="2"/>
  <c r="Q783" i="2" s="1"/>
  <c r="P779" i="2"/>
  <c r="Q779" i="2"/>
  <c r="P775" i="2"/>
  <c r="Q775" i="2" s="1"/>
  <c r="P771" i="2"/>
  <c r="Q771" i="2"/>
  <c r="P767" i="2"/>
  <c r="Q767" i="2" s="1"/>
  <c r="P763" i="2"/>
  <c r="Q763" i="2"/>
  <c r="P759" i="2"/>
  <c r="Q759" i="2" s="1"/>
  <c r="P755" i="2"/>
  <c r="Q755" i="2" s="1"/>
  <c r="P751" i="2"/>
  <c r="Q751" i="2" s="1"/>
  <c r="P747" i="2"/>
  <c r="Q747" i="2" s="1"/>
  <c r="P743" i="2"/>
  <c r="Q743" i="2" s="1"/>
  <c r="P739" i="2"/>
  <c r="Q739" i="2"/>
  <c r="P735" i="2"/>
  <c r="Q735" i="2" s="1"/>
  <c r="P731" i="2"/>
  <c r="Q731" i="2" s="1"/>
  <c r="P727" i="2"/>
  <c r="Q727" i="2" s="1"/>
  <c r="P723" i="2"/>
  <c r="Q723" i="2" s="1"/>
  <c r="P715" i="2"/>
  <c r="Q715" i="2" s="1"/>
  <c r="P711" i="2"/>
  <c r="Q711" i="2" s="1"/>
  <c r="P707" i="2"/>
  <c r="Q707" i="2" s="1"/>
  <c r="P703" i="2"/>
  <c r="Q703" i="2" s="1"/>
  <c r="P699" i="2"/>
  <c r="Q699" i="2" s="1"/>
  <c r="P695" i="2"/>
  <c r="Q695" i="2" s="1"/>
  <c r="P691" i="2"/>
  <c r="Q691" i="2" s="1"/>
  <c r="P687" i="2"/>
  <c r="Q687" i="2" s="1"/>
  <c r="P683" i="2"/>
  <c r="Q683" i="2" s="1"/>
  <c r="P679" i="2"/>
  <c r="Q679" i="2" s="1"/>
  <c r="P675" i="2"/>
  <c r="Q675" i="2" s="1"/>
  <c r="P671" i="2"/>
  <c r="Q671" i="2" s="1"/>
  <c r="P667" i="2"/>
  <c r="Q667" i="2" s="1"/>
  <c r="P663" i="2"/>
  <c r="Q663" i="2" s="1"/>
  <c r="P659" i="2"/>
  <c r="Q659" i="2" s="1"/>
  <c r="P655" i="2"/>
  <c r="Q655" i="2" s="1"/>
  <c r="P651" i="2"/>
  <c r="Q651" i="2" s="1"/>
  <c r="P647" i="2"/>
  <c r="Q647" i="2" s="1"/>
  <c r="P643" i="2"/>
  <c r="Q643" i="2" s="1"/>
  <c r="P639" i="2"/>
  <c r="Q639" i="2"/>
  <c r="P635" i="2"/>
  <c r="Q635" i="2" s="1"/>
  <c r="P631" i="2"/>
  <c r="Q631" i="2" s="1"/>
  <c r="P627" i="2"/>
  <c r="Q627" i="2" s="1"/>
  <c r="P623" i="2"/>
  <c r="Q623" i="2" s="1"/>
  <c r="P619" i="2"/>
  <c r="Q619" i="2" s="1"/>
  <c r="P615" i="2"/>
  <c r="Q615" i="2" s="1"/>
  <c r="P611" i="2"/>
  <c r="Q611" i="2" s="1"/>
  <c r="P607" i="2"/>
  <c r="Q607" i="2" s="1"/>
  <c r="P603" i="2"/>
  <c r="Q603" i="2" s="1"/>
  <c r="P599" i="2"/>
  <c r="Q599" i="2" s="1"/>
  <c r="P595" i="2"/>
  <c r="Q595" i="2" s="1"/>
  <c r="P591" i="2"/>
  <c r="Q591" i="2" s="1"/>
  <c r="P587" i="2"/>
  <c r="Q587" i="2" s="1"/>
  <c r="P583" i="2"/>
  <c r="Q583" i="2" s="1"/>
  <c r="P579" i="2"/>
  <c r="Q579" i="2" s="1"/>
  <c r="P575" i="2"/>
  <c r="Q575" i="2" s="1"/>
  <c r="P571" i="2"/>
  <c r="Q571" i="2" s="1"/>
  <c r="P567" i="2"/>
  <c r="Q567" i="2" s="1"/>
  <c r="P563" i="2"/>
  <c r="Q563" i="2" s="1"/>
  <c r="P559" i="2"/>
  <c r="Q559" i="2" s="1"/>
  <c r="P555" i="2"/>
  <c r="Q555" i="2" s="1"/>
  <c r="P551" i="2"/>
  <c r="Q551" i="2" s="1"/>
  <c r="P547" i="2"/>
  <c r="Q547" i="2" s="1"/>
  <c r="P543" i="2"/>
  <c r="Q543" i="2" s="1"/>
  <c r="P539" i="2"/>
  <c r="Q539" i="2" s="1"/>
  <c r="P535" i="2"/>
  <c r="Q535" i="2" s="1"/>
  <c r="P531" i="2"/>
  <c r="Q531" i="2" s="1"/>
  <c r="P527" i="2"/>
  <c r="Q527" i="2" s="1"/>
  <c r="P523" i="2"/>
  <c r="Q523" i="2" s="1"/>
  <c r="P519" i="2"/>
  <c r="Q519" i="2" s="1"/>
  <c r="P515" i="2"/>
  <c r="Q515" i="2" s="1"/>
  <c r="P511" i="2"/>
  <c r="Q511" i="2" s="1"/>
  <c r="P507" i="2"/>
  <c r="Q507" i="2" s="1"/>
  <c r="P503" i="2"/>
  <c r="Q503" i="2" s="1"/>
  <c r="P499" i="2"/>
  <c r="Q499" i="2" s="1"/>
  <c r="P495" i="2"/>
  <c r="Q495" i="2"/>
  <c r="P491" i="2"/>
  <c r="Q491" i="2" s="1"/>
  <c r="P487" i="2"/>
  <c r="Q487" i="2" s="1"/>
  <c r="P483" i="2"/>
  <c r="Q483" i="2" s="1"/>
  <c r="P479" i="2"/>
  <c r="Q479" i="2" s="1"/>
  <c r="P475" i="2"/>
  <c r="Q475" i="2" s="1"/>
  <c r="P471" i="2"/>
  <c r="Q471" i="2"/>
  <c r="P467" i="2"/>
  <c r="Q467" i="2" s="1"/>
  <c r="P463" i="2"/>
  <c r="Q463" i="2" s="1"/>
  <c r="P459" i="2"/>
  <c r="Q459" i="2" s="1"/>
  <c r="P455" i="2"/>
  <c r="Q455" i="2" s="1"/>
  <c r="P451" i="2"/>
  <c r="Q451" i="2" s="1"/>
  <c r="P447" i="2"/>
  <c r="Q447" i="2" s="1"/>
  <c r="P443" i="2"/>
  <c r="Q443" i="2" s="1"/>
  <c r="P439" i="2"/>
  <c r="Q439" i="2" s="1"/>
  <c r="P435" i="2"/>
  <c r="Q435" i="2" s="1"/>
  <c r="P719" i="2"/>
  <c r="Q719" i="2" s="1"/>
  <c r="P358" i="2"/>
  <c r="Q358" i="2" s="1"/>
  <c r="Q984" i="2"/>
  <c r="Q963" i="2"/>
  <c r="Q942" i="2"/>
  <c r="Q920" i="2"/>
  <c r="Q899" i="2"/>
  <c r="Q878" i="2"/>
  <c r="Q856" i="2"/>
  <c r="Q835" i="2"/>
  <c r="Q814" i="2"/>
  <c r="Q792" i="2"/>
  <c r="Q742" i="2"/>
  <c r="Q728" i="2"/>
  <c r="Q678" i="2"/>
  <c r="Q636" i="2"/>
  <c r="Q260" i="2"/>
  <c r="Q160" i="2"/>
  <c r="P114" i="2"/>
  <c r="Q114" i="2" s="1"/>
  <c r="P110" i="2"/>
  <c r="Q110" i="2" s="1"/>
  <c r="P106" i="2"/>
  <c r="Q106" i="2" s="1"/>
  <c r="P102" i="2"/>
  <c r="Q102" i="2"/>
  <c r="P98" i="2"/>
  <c r="Q98" i="2" s="1"/>
  <c r="P94" i="2"/>
  <c r="Q94" i="2" s="1"/>
  <c r="P90" i="2"/>
  <c r="Q90" i="2" s="1"/>
  <c r="P86" i="2"/>
  <c r="Q86" i="2" s="1"/>
  <c r="P82" i="2"/>
  <c r="Q82" i="2" s="1"/>
  <c r="P78" i="2"/>
  <c r="Q78" i="2"/>
  <c r="P74" i="2"/>
  <c r="Q74" i="2" s="1"/>
  <c r="P70" i="2"/>
  <c r="Q70" i="2" s="1"/>
  <c r="P66" i="2"/>
  <c r="Q66" i="2" s="1"/>
  <c r="P62" i="2"/>
  <c r="Q62" i="2"/>
  <c r="P58" i="2"/>
  <c r="Q58" i="2" s="1"/>
  <c r="P54" i="2"/>
  <c r="Q54" i="2" s="1"/>
  <c r="P50" i="2"/>
  <c r="Q50" i="2" s="1"/>
  <c r="P46" i="2"/>
  <c r="Q46" i="2" s="1"/>
  <c r="P42" i="2"/>
  <c r="Q42" i="2" s="1"/>
  <c r="P38" i="2"/>
  <c r="Q38" i="2"/>
  <c r="P34" i="2"/>
  <c r="Q34" i="2" s="1"/>
  <c r="P30" i="2"/>
  <c r="Q30" i="2" s="1"/>
  <c r="P26" i="2"/>
  <c r="Q26" i="2" s="1"/>
  <c r="P22" i="2"/>
  <c r="Q22" i="2" s="1"/>
  <c r="P18" i="2"/>
  <c r="Q18" i="2" s="1"/>
  <c r="P14" i="2"/>
  <c r="Q14" i="2" s="1"/>
  <c r="P10" i="2"/>
  <c r="Q10" i="2" s="1"/>
  <c r="P6" i="2"/>
  <c r="Q6" i="2"/>
  <c r="P2" i="2"/>
  <c r="Q2" i="2" s="1"/>
  <c r="Q789" i="2"/>
  <c r="Q781" i="2"/>
  <c r="Q753" i="2"/>
  <c r="Q725" i="2"/>
  <c r="Q717" i="2"/>
  <c r="Q689" i="2"/>
  <c r="Q661" i="2"/>
  <c r="Q653" i="2"/>
  <c r="Q625" i="2"/>
  <c r="Q593" i="2"/>
  <c r="Q561" i="2"/>
  <c r="Q529" i="2"/>
  <c r="Q497" i="2"/>
  <c r="Q465" i="2"/>
  <c r="Q433" i="2"/>
  <c r="Q401" i="2"/>
  <c r="Q369" i="2"/>
  <c r="Q273" i="2"/>
  <c r="Q265" i="2"/>
  <c r="Q229" i="2"/>
  <c r="Q193" i="2"/>
  <c r="P1001" i="2"/>
  <c r="Q1001" i="2"/>
  <c r="P997" i="2"/>
  <c r="Q997" i="2" s="1"/>
  <c r="P993" i="2"/>
  <c r="Q993" i="2" s="1"/>
  <c r="P989" i="2"/>
  <c r="Q989" i="2" s="1"/>
  <c r="P985" i="2"/>
  <c r="Q985" i="2" s="1"/>
  <c r="P981" i="2"/>
  <c r="Q981" i="2" s="1"/>
  <c r="P977" i="2"/>
  <c r="Q977" i="2" s="1"/>
  <c r="P973" i="2"/>
  <c r="Q973" i="2" s="1"/>
  <c r="P969" i="2"/>
  <c r="Q969" i="2" s="1"/>
  <c r="P965" i="2"/>
  <c r="Q965" i="2" s="1"/>
  <c r="P961" i="2"/>
  <c r="Q961" i="2" s="1"/>
  <c r="P957" i="2"/>
  <c r="Q957" i="2" s="1"/>
  <c r="P953" i="2"/>
  <c r="Q953" i="2" s="1"/>
  <c r="P949" i="2"/>
  <c r="Q949" i="2" s="1"/>
  <c r="P945" i="2"/>
  <c r="Q945" i="2"/>
  <c r="P941" i="2"/>
  <c r="Q941" i="2" s="1"/>
  <c r="P937" i="2"/>
  <c r="Q937" i="2" s="1"/>
  <c r="P933" i="2"/>
  <c r="Q933" i="2" s="1"/>
  <c r="P929" i="2"/>
  <c r="Q929" i="2" s="1"/>
  <c r="P925" i="2"/>
  <c r="Q925" i="2" s="1"/>
  <c r="P921" i="2"/>
  <c r="Q921" i="2" s="1"/>
  <c r="P917" i="2"/>
  <c r="Q917" i="2" s="1"/>
  <c r="P913" i="2"/>
  <c r="Q913" i="2"/>
  <c r="P909" i="2"/>
  <c r="Q909" i="2" s="1"/>
  <c r="P905" i="2"/>
  <c r="Q905" i="2" s="1"/>
  <c r="P901" i="2"/>
  <c r="Q901" i="2" s="1"/>
  <c r="P897" i="2"/>
  <c r="Q897" i="2" s="1"/>
  <c r="P893" i="2"/>
  <c r="Q893" i="2" s="1"/>
  <c r="P889" i="2"/>
  <c r="Q889" i="2"/>
  <c r="P885" i="2"/>
  <c r="Q885" i="2" s="1"/>
  <c r="P881" i="2"/>
  <c r="Q881" i="2" s="1"/>
  <c r="P877" i="2"/>
  <c r="Q877" i="2" s="1"/>
  <c r="P873" i="2"/>
  <c r="Q873" i="2" s="1"/>
  <c r="P869" i="2"/>
  <c r="Q869" i="2" s="1"/>
  <c r="P865" i="2"/>
  <c r="Q865" i="2" s="1"/>
  <c r="P861" i="2"/>
  <c r="Q861" i="2" s="1"/>
  <c r="P857" i="2"/>
  <c r="Q857" i="2" s="1"/>
  <c r="P853" i="2"/>
  <c r="Q853" i="2" s="1"/>
  <c r="P849" i="2"/>
  <c r="Q849" i="2" s="1"/>
  <c r="P845" i="2"/>
  <c r="Q845" i="2" s="1"/>
  <c r="P841" i="2"/>
  <c r="Q841" i="2" s="1"/>
  <c r="Q837" i="2"/>
  <c r="P833" i="2"/>
  <c r="Q833" i="2" s="1"/>
  <c r="P829" i="2"/>
  <c r="Q829" i="2" s="1"/>
  <c r="P825" i="2"/>
  <c r="Q825" i="2" s="1"/>
  <c r="P821" i="2"/>
  <c r="Q821" i="2" s="1"/>
  <c r="P817" i="2"/>
  <c r="Q817" i="2"/>
  <c r="P813" i="2"/>
  <c r="Q813" i="2" s="1"/>
  <c r="P809" i="2"/>
  <c r="Q809" i="2" s="1"/>
  <c r="Q805" i="2"/>
  <c r="P801" i="2"/>
  <c r="Q801" i="2" s="1"/>
  <c r="P797" i="2"/>
  <c r="Q797" i="2" s="1"/>
  <c r="P793" i="2"/>
  <c r="Q793" i="2" s="1"/>
  <c r="P777" i="2"/>
  <c r="Q777" i="2"/>
  <c r="P761" i="2"/>
  <c r="Q761" i="2" s="1"/>
  <c r="P745" i="2"/>
  <c r="Q745" i="2" s="1"/>
  <c r="P729" i="2"/>
  <c r="Q729" i="2" s="1"/>
  <c r="P713" i="2"/>
  <c r="Q713" i="2"/>
  <c r="P697" i="2"/>
  <c r="Q697" i="2" s="1"/>
  <c r="P681" i="2"/>
  <c r="Q681" i="2" s="1"/>
  <c r="P665" i="2"/>
  <c r="Q665" i="2" s="1"/>
  <c r="P649" i="2"/>
  <c r="Q649" i="2" s="1"/>
  <c r="P633" i="2"/>
  <c r="Q633" i="2" s="1"/>
  <c r="P617" i="2"/>
  <c r="Q617" i="2" s="1"/>
  <c r="P613" i="2"/>
  <c r="Q613" i="2" s="1"/>
  <c r="P601" i="2"/>
  <c r="Q601" i="2" s="1"/>
  <c r="P597" i="2"/>
  <c r="Q597" i="2" s="1"/>
  <c r="P585" i="2"/>
  <c r="Q585" i="2" s="1"/>
  <c r="P581" i="2"/>
  <c r="Q581" i="2" s="1"/>
  <c r="P569" i="2"/>
  <c r="Q569" i="2" s="1"/>
  <c r="P565" i="2"/>
  <c r="Q565" i="2" s="1"/>
  <c r="P553" i="2"/>
  <c r="Q553" i="2" s="1"/>
  <c r="P549" i="2"/>
  <c r="Q549" i="2" s="1"/>
  <c r="P537" i="2"/>
  <c r="Q537" i="2"/>
  <c r="P533" i="2"/>
  <c r="Q533" i="2" s="1"/>
  <c r="P521" i="2"/>
  <c r="Q521" i="2" s="1"/>
  <c r="P517" i="2"/>
  <c r="Q517" i="2" s="1"/>
  <c r="P505" i="2"/>
  <c r="Q505" i="2" s="1"/>
  <c r="P501" i="2"/>
  <c r="Q501" i="2" s="1"/>
  <c r="P489" i="2"/>
  <c r="Q489" i="2" s="1"/>
  <c r="P485" i="2"/>
  <c r="Q485" i="2" s="1"/>
  <c r="P473" i="2"/>
  <c r="Q473" i="2" s="1"/>
  <c r="P469" i="2"/>
  <c r="Q469" i="2" s="1"/>
  <c r="P457" i="2"/>
  <c r="Q457" i="2" s="1"/>
  <c r="P453" i="2"/>
  <c r="Q453" i="2" s="1"/>
  <c r="P441" i="2"/>
  <c r="Q441" i="2" s="1"/>
  <c r="P437" i="2"/>
  <c r="Q437" i="2" s="1"/>
  <c r="P425" i="2"/>
  <c r="Q425" i="2" s="1"/>
  <c r="P421" i="2"/>
  <c r="Q421" i="2" s="1"/>
  <c r="P409" i="2"/>
  <c r="Q409" i="2" s="1"/>
  <c r="P405" i="2"/>
  <c r="Q405" i="2" s="1"/>
  <c r="P393" i="2"/>
  <c r="Q393" i="2" s="1"/>
  <c r="P389" i="2"/>
  <c r="Q389" i="2" s="1"/>
  <c r="P377" i="2"/>
  <c r="Q377" i="2" s="1"/>
  <c r="P373" i="2"/>
  <c r="Q373" i="2" s="1"/>
  <c r="P361" i="2"/>
  <c r="Q361" i="2"/>
  <c r="P357" i="2"/>
  <c r="Q357" i="2" s="1"/>
  <c r="P345" i="2"/>
  <c r="Q345" i="2" s="1"/>
  <c r="P341" i="2"/>
  <c r="Q341" i="2" s="1"/>
  <c r="P333" i="2"/>
  <c r="Q333" i="2" s="1"/>
  <c r="P325" i="2"/>
  <c r="Q325" i="2" s="1"/>
  <c r="P317" i="2"/>
  <c r="Q317" i="2"/>
  <c r="P313" i="2"/>
  <c r="Q313" i="2" s="1"/>
  <c r="P305" i="2"/>
  <c r="Q305" i="2" s="1"/>
  <c r="Q301" i="2"/>
  <c r="P297" i="2"/>
  <c r="Q297" i="2"/>
  <c r="P289" i="2"/>
  <c r="Q289" i="2" s="1"/>
  <c r="P285" i="2"/>
  <c r="Q285" i="2" s="1"/>
  <c r="P277" i="2"/>
  <c r="Q277" i="2" s="1"/>
  <c r="P269" i="2"/>
  <c r="Q269" i="2" s="1"/>
  <c r="P261" i="2"/>
  <c r="Q261" i="2" s="1"/>
  <c r="P253" i="2"/>
  <c r="Q253" i="2"/>
  <c r="P249" i="2"/>
  <c r="Q249" i="2" s="1"/>
  <c r="P241" i="2"/>
  <c r="Q241" i="2" s="1"/>
  <c r="P237" i="2"/>
  <c r="Q237" i="2" s="1"/>
  <c r="P233" i="2"/>
  <c r="Q233" i="2" s="1"/>
  <c r="P225" i="2"/>
  <c r="Q225" i="2" s="1"/>
  <c r="P221" i="2"/>
  <c r="Q221" i="2"/>
  <c r="P213" i="2"/>
  <c r="Q213" i="2" s="1"/>
  <c r="P205" i="2"/>
  <c r="Q205" i="2" s="1"/>
  <c r="P197" i="2"/>
  <c r="Q197" i="2" s="1"/>
  <c r="P189" i="2"/>
  <c r="Q189" i="2"/>
  <c r="P185" i="2"/>
  <c r="Q185" i="2" s="1"/>
  <c r="P177" i="2"/>
  <c r="Q177" i="2" s="1"/>
  <c r="Q173" i="2"/>
  <c r="P169" i="2"/>
  <c r="Q169" i="2" s="1"/>
  <c r="P161" i="2"/>
  <c r="Q161" i="2" s="1"/>
  <c r="P157" i="2"/>
  <c r="Q157" i="2" s="1"/>
  <c r="P149" i="2"/>
  <c r="Q149" i="2"/>
  <c r="P141" i="2"/>
  <c r="Q141" i="2" s="1"/>
  <c r="P133" i="2"/>
  <c r="Q133" i="2" s="1"/>
  <c r="P125" i="2"/>
  <c r="Q125" i="2" s="1"/>
  <c r="P121" i="2"/>
  <c r="Q121" i="2"/>
  <c r="P113" i="2"/>
  <c r="Q113" i="2" s="1"/>
  <c r="P101" i="2"/>
  <c r="Q101" i="2" s="1"/>
  <c r="P93" i="2"/>
  <c r="Q93" i="2" s="1"/>
  <c r="P89" i="2"/>
  <c r="Q89" i="2" s="1"/>
  <c r="P81" i="2"/>
  <c r="Q81" i="2" s="1"/>
  <c r="P69" i="2"/>
  <c r="Q69" i="2"/>
  <c r="P61" i="2"/>
  <c r="Q61" i="2" s="1"/>
  <c r="P57" i="2"/>
  <c r="Q57" i="2" s="1"/>
  <c r="P49" i="2"/>
  <c r="Q49" i="2" s="1"/>
  <c r="P37" i="2"/>
  <c r="Q37" i="2" s="1"/>
  <c r="P29" i="2"/>
  <c r="Q29" i="2" s="1"/>
  <c r="P25" i="2"/>
  <c r="Q25" i="2"/>
  <c r="P17" i="2"/>
  <c r="Q17" i="2" s="1"/>
  <c r="P5" i="2"/>
  <c r="Q5" i="2" s="1"/>
  <c r="Q765" i="2"/>
  <c r="Q737" i="2"/>
  <c r="Q701" i="2"/>
  <c r="Q673" i="2"/>
  <c r="Q645" i="2"/>
  <c r="Q637" i="2"/>
  <c r="Q621" i="2"/>
  <c r="Q589" i="2"/>
  <c r="Q557" i="2"/>
  <c r="Q525" i="2"/>
  <c r="Q493" i="2"/>
  <c r="Q461" i="2"/>
  <c r="Q429" i="2"/>
  <c r="Q397" i="2"/>
  <c r="Q365" i="2"/>
  <c r="Q309" i="2"/>
  <c r="Q209" i="2"/>
  <c r="Q201" i="2"/>
  <c r="Q165" i="2"/>
  <c r="Q73" i="2"/>
  <c r="Q53" i="2"/>
  <c r="Q9" i="2"/>
  <c r="P431" i="2"/>
  <c r="Q431" i="2" s="1"/>
  <c r="P427" i="2"/>
  <c r="Q427" i="2" s="1"/>
  <c r="P423" i="2"/>
  <c r="Q423" i="2"/>
  <c r="P419" i="2"/>
  <c r="Q419" i="2" s="1"/>
  <c r="P415" i="2"/>
  <c r="Q415" i="2" s="1"/>
  <c r="P411" i="2"/>
  <c r="Q411" i="2" s="1"/>
  <c r="P407" i="2"/>
  <c r="Q407" i="2" s="1"/>
  <c r="P403" i="2"/>
  <c r="Q403" i="2" s="1"/>
  <c r="P399" i="2"/>
  <c r="Q399" i="2" s="1"/>
  <c r="P395" i="2"/>
  <c r="Q395" i="2" s="1"/>
  <c r="P391" i="2"/>
  <c r="Q391" i="2" s="1"/>
  <c r="P387" i="2"/>
  <c r="Q387" i="2" s="1"/>
  <c r="P383" i="2"/>
  <c r="Q383" i="2" s="1"/>
  <c r="Q379" i="2"/>
  <c r="P375" i="2"/>
  <c r="Q375" i="2"/>
  <c r="P371" i="2"/>
  <c r="Q371" i="2" s="1"/>
  <c r="P367" i="2"/>
  <c r="Q367" i="2" s="1"/>
  <c r="P363" i="2"/>
  <c r="Q363" i="2" s="1"/>
  <c r="P359" i="2"/>
  <c r="Q359" i="2" s="1"/>
  <c r="P355" i="2"/>
  <c r="Q355" i="2" s="1"/>
  <c r="P351" i="2"/>
  <c r="Q351" i="2" s="1"/>
  <c r="P347" i="2"/>
  <c r="Q347" i="2" s="1"/>
  <c r="P343" i="2"/>
  <c r="Q343" i="2" s="1"/>
  <c r="P339" i="2"/>
  <c r="Q339" i="2" s="1"/>
  <c r="P323" i="2"/>
  <c r="Q323" i="2"/>
  <c r="P307" i="2"/>
  <c r="Q307" i="2" s="1"/>
  <c r="P291" i="2"/>
  <c r="Q291" i="2" s="1"/>
  <c r="P275" i="2"/>
  <c r="Q275" i="2" s="1"/>
  <c r="P259" i="2"/>
  <c r="Q259" i="2" s="1"/>
  <c r="P243" i="2"/>
  <c r="Q243" i="2" s="1"/>
  <c r="P227" i="2"/>
  <c r="Q227" i="2" s="1"/>
  <c r="P211" i="2"/>
  <c r="Q211" i="2" s="1"/>
  <c r="P195" i="2"/>
  <c r="Q195" i="2" s="1"/>
  <c r="P179" i="2"/>
  <c r="Q179" i="2" s="1"/>
  <c r="P163" i="2"/>
  <c r="Q163" i="2"/>
  <c r="P147" i="2"/>
  <c r="Q147" i="2" s="1"/>
  <c r="P131" i="2"/>
  <c r="Q131" i="2" s="1"/>
  <c r="P115" i="2"/>
  <c r="Q115" i="2" s="1"/>
  <c r="P111" i="2"/>
  <c r="Q111" i="2" s="1"/>
  <c r="P107" i="2"/>
  <c r="Q107" i="2" s="1"/>
  <c r="P103" i="2"/>
  <c r="Q103" i="2" s="1"/>
  <c r="P99" i="2"/>
  <c r="Q99" i="2" s="1"/>
  <c r="P95" i="2"/>
  <c r="Q95" i="2" s="1"/>
  <c r="P91" i="2"/>
  <c r="Q91" i="2" s="1"/>
  <c r="P87" i="2"/>
  <c r="Q87" i="2" s="1"/>
  <c r="P83" i="2"/>
  <c r="Q83" i="2" s="1"/>
  <c r="P79" i="2"/>
  <c r="Q79" i="2"/>
  <c r="P75" i="2"/>
  <c r="Q75" i="2" s="1"/>
  <c r="P71" i="2"/>
  <c r="Q71" i="2" s="1"/>
  <c r="P67" i="2"/>
  <c r="Q67" i="2" s="1"/>
  <c r="P63" i="2"/>
  <c r="Q63" i="2" s="1"/>
  <c r="P59" i="2"/>
  <c r="Q59" i="2" s="1"/>
  <c r="P55" i="2"/>
  <c r="Q55" i="2" s="1"/>
  <c r="P51" i="2"/>
  <c r="Q51" i="2" s="1"/>
  <c r="P47" i="2"/>
  <c r="Q47" i="2" s="1"/>
  <c r="P43" i="2"/>
  <c r="Q43" i="2" s="1"/>
  <c r="P39" i="2"/>
  <c r="Q39" i="2"/>
  <c r="P35" i="2"/>
  <c r="Q35" i="2" s="1"/>
  <c r="P31" i="2"/>
  <c r="Q31" i="2" s="1"/>
  <c r="P27" i="2"/>
  <c r="Q27" i="2" s="1"/>
  <c r="P23" i="2"/>
  <c r="Q23" i="2" s="1"/>
  <c r="P19" i="2"/>
  <c r="Q19" i="2" s="1"/>
  <c r="P15" i="2"/>
  <c r="Q15" i="2" s="1"/>
  <c r="P11" i="2"/>
  <c r="Q11" i="2" s="1"/>
  <c r="P7" i="2"/>
  <c r="Q7" i="2" s="1"/>
  <c r="P3" i="2"/>
  <c r="Q3" i="2" s="1"/>
  <c r="Q319" i="2"/>
  <c r="Q311" i="2"/>
  <c r="Q283" i="2"/>
  <c r="Q255" i="2"/>
  <c r="Q247" i="2"/>
  <c r="Q219" i="2"/>
  <c r="Q191" i="2"/>
  <c r="Q183" i="2"/>
  <c r="Q155" i="2"/>
  <c r="Q127" i="2"/>
  <c r="Q11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<sst xmlns="http://schemas.openxmlformats.org/spreadsheetml/2006/main" count="14094" uniqueCount="2480">
  <si>
    <t>Order ID</t>
  </si>
  <si>
    <t>Order Date</t>
  </si>
  <si>
    <t>Product Name</t>
  </si>
  <si>
    <t>Product Category</t>
  </si>
  <si>
    <t>Quantity Sold</t>
  </si>
  <si>
    <t>Unit Price</t>
  </si>
  <si>
    <t>Unit Cost</t>
  </si>
  <si>
    <t>Customer ID</t>
  </si>
  <si>
    <t>Customer Name</t>
  </si>
  <si>
    <t>Shipment Status</t>
  </si>
  <si>
    <t>State</t>
  </si>
  <si>
    <t>comPosTaBLe pLANt poTS</t>
  </si>
  <si>
    <t>CompostabLE PLaNt POTS</t>
  </si>
  <si>
    <t>sOLAr LeD laNtERN</t>
  </si>
  <si>
    <t>eCo CANVaS tOte BAg</t>
  </si>
  <si>
    <t>Eco CANvAS TOtE BAg</t>
  </si>
  <si>
    <t>rEUSabLE bamBoo utEnSIl SeT</t>
  </si>
  <si>
    <t>ReuSaBlE BaMBoo uTENsiL sEt</t>
  </si>
  <si>
    <t>EcO Canvas tOte BaG</t>
  </si>
  <si>
    <t>ReuSAble baMbOO uTENSIL SeT</t>
  </si>
  <si>
    <t>solaR LeD LANtern</t>
  </si>
  <si>
    <t>eCo CAnvaS tote BAg</t>
  </si>
  <si>
    <t>SolaR Led LANTERN</t>
  </si>
  <si>
    <t>SOLar Led LaNtErN</t>
  </si>
  <si>
    <t>ecO cANVAs tote bAg</t>
  </si>
  <si>
    <t>biOdEgradabLE CleANing clOTh</t>
  </si>
  <si>
    <t>BIoDeGrAdABlE cleaniNg ClOTh</t>
  </si>
  <si>
    <t>sOlAR lEd LanTERn</t>
  </si>
  <si>
    <t>REuSaBLE BamBOo UTEnsil Set</t>
  </si>
  <si>
    <t>ECO CanVAS TOte Bag</t>
  </si>
  <si>
    <t>cOmPOsTAbLE PlanT pOts</t>
  </si>
  <si>
    <t>REuSable BAMboo UTENSIl seT</t>
  </si>
  <si>
    <t>soLAR LEd lAntERn</t>
  </si>
  <si>
    <t>CoMpOstaBLE plANt PotS</t>
  </si>
  <si>
    <t>sOlar lED lANTeRn</t>
  </si>
  <si>
    <t>comPOSTable PLaNt pOTS</t>
  </si>
  <si>
    <t>ReuSaBLe BAMBoo uTensil Set</t>
  </si>
  <si>
    <t>coMPoStable PLaNT PoTs</t>
  </si>
  <si>
    <t>bIOdEgRadabLE ClEaNIng CLOTh</t>
  </si>
  <si>
    <t>bIODeGradAbLE CleAnINg clOtH</t>
  </si>
  <si>
    <t>reUsabLe bAmBoO UTENSiL sET</t>
  </si>
  <si>
    <t>COmpostabLe PLANt poTs</t>
  </si>
  <si>
    <t>ecO cANVAS ToTe bAG</t>
  </si>
  <si>
    <t>cOmPoSTablE PlANt potS</t>
  </si>
  <si>
    <t>eco canvas TOTe BaG</t>
  </si>
  <si>
    <t>SOlaR lEd lAntERN</t>
  </si>
  <si>
    <t>BIoDEgrADAble CLeAniNg cLotH</t>
  </si>
  <si>
    <t>ReUSAbLE BaMBoo uteNSiL SET</t>
  </si>
  <si>
    <t>eCo CanvAS TOtE bAG</t>
  </si>
  <si>
    <t>SOLaR LeD lanTeRn</t>
  </si>
  <si>
    <t>SolAR leD LANtErn</t>
  </si>
  <si>
    <t>comPosTable pLANt POts</t>
  </si>
  <si>
    <t>ecO cAnVAs tOTe BAg</t>
  </si>
  <si>
    <t>rEUSAble bAMBOo utENsiL SeT</t>
  </si>
  <si>
    <t>compOstaBlE PlANt pOtS</t>
  </si>
  <si>
    <t>bIoDEgRADaBLE cLEANiNG cloth</t>
  </si>
  <si>
    <t>reUsaBlE bAMBoO utEnSil sEt</t>
  </si>
  <si>
    <t>SOLAr leD LaNTerN</t>
  </si>
  <si>
    <t>rEUSAblE bamboo uTeNSil seT</t>
  </si>
  <si>
    <t>cOMPoStable planT POTs</t>
  </si>
  <si>
    <t>ReUSaBLe BAmbOO UTensil SEt</t>
  </si>
  <si>
    <t>COmpostAbLE plaNt pOts</t>
  </si>
  <si>
    <t>SOlaR LeD lanTERN</t>
  </si>
  <si>
    <t>eCO CANvaS TOTE bAg</t>
  </si>
  <si>
    <t>REusAbLE bAMBoo UTeNSil sET</t>
  </si>
  <si>
    <t>ECo CAnVaS ToTe BAg</t>
  </si>
  <si>
    <t>ECo canVAs ToTe baG</t>
  </si>
  <si>
    <t>ECo canVaS tOtE BaG</t>
  </si>
  <si>
    <t>REUSABlE BambOo UTEnSiL seT</t>
  </si>
  <si>
    <t>COMpOSTAbLe pLANt Pots</t>
  </si>
  <si>
    <t>COmpostaBLe PlAnT pOtS</t>
  </si>
  <si>
    <t>ecO CAnvAs tOtE bag</t>
  </si>
  <si>
    <t>SoLaR LED lANterN</t>
  </si>
  <si>
    <t>reUSaBle BAMboo UtensIl SeT</t>
  </si>
  <si>
    <t>EcO CANVaS Tote bAG</t>
  </si>
  <si>
    <t>rEuSAbLe bAMboo UteNsIl SET</t>
  </si>
  <si>
    <t>bioDEgradAbLe ClEAniNG ClOTh</t>
  </si>
  <si>
    <t>COmPoSTaBLE PLant poTS</t>
  </si>
  <si>
    <t>COMPoStAblE plANT PoTs</t>
  </si>
  <si>
    <t>solAr Led LAntERn</t>
  </si>
  <si>
    <t>solaR lED lANTErn</t>
  </si>
  <si>
    <t>reUSABle bAmbOO UTENSil seT</t>
  </si>
  <si>
    <t>soLaR led LANtERN</t>
  </si>
  <si>
    <t>bIODeGRaDabLE cleAnIng ClotH</t>
  </si>
  <si>
    <t>solar led LaNTERn</t>
  </si>
  <si>
    <t>bIODegRadaBLe cLEAning ClOth</t>
  </si>
  <si>
    <t>cOMpoSTaBle pLAnt poTs</t>
  </si>
  <si>
    <t>rEUSaBlE bambOO UTenSIl Set</t>
  </si>
  <si>
    <t>eCO canVaS tOTE bag</t>
  </si>
  <si>
    <t>coMPOsTAbLE pLant POtS</t>
  </si>
  <si>
    <t>sOLAr lEd laNTeRn</t>
  </si>
  <si>
    <t>CoMpOstabLE plAnT poTS</t>
  </si>
  <si>
    <t>BiOdeGRadaBLE CLEaninG cloth</t>
  </si>
  <si>
    <t>rEUsAbLE bamboo UtENsil sET</t>
  </si>
  <si>
    <t>ReusAble bAMbOo uteNSil sET</t>
  </si>
  <si>
    <t>COmPoStAble planT poTs</t>
  </si>
  <si>
    <t>bIODegRadaBLE clEaNiNG CLOth</t>
  </si>
  <si>
    <t>rEUSable BamboO UtensIL set</t>
  </si>
  <si>
    <t>EcO CANVaS toTe BAG</t>
  </si>
  <si>
    <t>REUsABLe bAmboo UTeNsil seT</t>
  </si>
  <si>
    <t>SOlAR lED LanTeRN</t>
  </si>
  <si>
    <t>reusABLe BamboO utEnsIL sEt</t>
  </si>
  <si>
    <t>ECO caNvas ToTe bAG</t>
  </si>
  <si>
    <t>REuSaBLE BAmBoO UTeNSIl seT</t>
  </si>
  <si>
    <t>BIoDeGrAdABLE CLeANING clOTH</t>
  </si>
  <si>
    <t>eCo cANVAS ToTe BAG</t>
  </si>
  <si>
    <t>eco CANVAS TOTe bAg</t>
  </si>
  <si>
    <t>SOlaR LEd laNtErn</t>
  </si>
  <si>
    <t>soLaR LED laNterN</t>
  </si>
  <si>
    <t>EcO cAnvaS tOTE BAg</t>
  </si>
  <si>
    <t>SolAr leD laNterN</t>
  </si>
  <si>
    <t>reuSabLE BaMBoO utensIL set</t>
  </si>
  <si>
    <t>sOLaR lEd LAnTErN</t>
  </si>
  <si>
    <t>solAr LED lantern</t>
  </si>
  <si>
    <t>bIOdegRAdABLE CLeAninG CloTh</t>
  </si>
  <si>
    <t>SolAR led laNtERN</t>
  </si>
  <si>
    <t>REuSABlE BamBoo utenSil seT</t>
  </si>
  <si>
    <t>sOLAR leD LAnteRn</t>
  </si>
  <si>
    <t>Solar LED laNteRn</t>
  </si>
  <si>
    <t>biodEgRaDABle cLEaninG cLOTH</t>
  </si>
  <si>
    <t>BiODEgradaBLE CLEanING clotH</t>
  </si>
  <si>
    <t>BIODEGrADABlE CleANING ClOTh</t>
  </si>
  <si>
    <t>BIOdegRADABLE CLEAniNg ClotH</t>
  </si>
  <si>
    <t>eco CanVas toTe bAG</t>
  </si>
  <si>
    <t>reUSAblE BaMbOo Utensil set</t>
  </si>
  <si>
    <t>ECO cANvaS TOte bag</t>
  </si>
  <si>
    <t>reusabLE bAmbOo uTensIL set</t>
  </si>
  <si>
    <t>ReuSabLe bamBOO uTEnSiL sEt</t>
  </si>
  <si>
    <t>reusAbLE baMboo uTEnsIl SET</t>
  </si>
  <si>
    <t>reusAble BAMbOo uTEnsIL set</t>
  </si>
  <si>
    <t>BiOdEGRADAble cLEAnINg CLoTH</t>
  </si>
  <si>
    <t>rEUSAblE BambOo UTENsil Set</t>
  </si>
  <si>
    <t>bioDEGRadabLE cLeanINg ClotH</t>
  </si>
  <si>
    <t>SOlAr leD LaNTeRn</t>
  </si>
  <si>
    <t>solAr leD laNteRN</t>
  </si>
  <si>
    <t>eCO caNVaS Tote BAG</t>
  </si>
  <si>
    <t>eCo cANvaS TotE bAg</t>
  </si>
  <si>
    <t>REUsAblE bamboO UtEnsiL seT</t>
  </si>
  <si>
    <t>solar leD LANTERN</t>
  </si>
  <si>
    <t>solaR LeD lANtERN</t>
  </si>
  <si>
    <t>BioDeGRAdablE CleANIng ClOth</t>
  </si>
  <si>
    <t>soLAr leD LaNtern</t>
  </si>
  <si>
    <t>ecO caNVaS toTe BAg</t>
  </si>
  <si>
    <t>reUsablE BaMBoO utensil SET</t>
  </si>
  <si>
    <t>REusable bAMBOO UTENsIL SEt</t>
  </si>
  <si>
    <t>soLaR leD LAnterN</t>
  </si>
  <si>
    <t>ReuSablE bamBOo uteNSil set</t>
  </si>
  <si>
    <t>rEUSAbLe bAMBOo uTENSil SET</t>
  </si>
  <si>
    <t>ECo CANVAS ToTe bAG</t>
  </si>
  <si>
    <t>eco CanvaS tOTe bag</t>
  </si>
  <si>
    <t>biOdEgRADable cLeAniNg cLoTH</t>
  </si>
  <si>
    <t>BIodEGRaDabLE clEANinG cLOth</t>
  </si>
  <si>
    <t>EcO cANvaS ToTe bAg</t>
  </si>
  <si>
    <t>solaR Led LAntERn</t>
  </si>
  <si>
    <t>COmpostaBLE PlaNT POtS</t>
  </si>
  <si>
    <t>SOlar lEd LanTerN</t>
  </si>
  <si>
    <t>REUSaBLE bAMbOo UtEnsIl set</t>
  </si>
  <si>
    <t>ReuSAbLE baMbOo utENSIL sEt</t>
  </si>
  <si>
    <t>EcO CanvAS tOTe BAg</t>
  </si>
  <si>
    <t>comPoSTAbLe PlaNt potS</t>
  </si>
  <si>
    <t>rEUSablE BaMboo UTEnsIl SEt</t>
  </si>
  <si>
    <t>sOlaR LeD lANTERN</t>
  </si>
  <si>
    <t>reUsAble BambOO utenSiL SET</t>
  </si>
  <si>
    <t>ReuSabLE BaMbOO UtENSIl SET</t>
  </si>
  <si>
    <t>reuSaBLe baMbOo UTENSIL set</t>
  </si>
  <si>
    <t>soLAr led LANTerN</t>
  </si>
  <si>
    <t>solar LeD LANTeRN</t>
  </si>
  <si>
    <t>SOlAR LED lAnTERN</t>
  </si>
  <si>
    <t>ECO CANvAs toTe BaG</t>
  </si>
  <si>
    <t>biODEgRaDAbLe ClEAning cloth</t>
  </si>
  <si>
    <t>eCo canVas TOte BAg</t>
  </si>
  <si>
    <t>biODeGrAdAbLe CLEaNInG cloTH</t>
  </si>
  <si>
    <t>SoLaR LeD laNtErn</t>
  </si>
  <si>
    <t>BiodEgradaBLE cleAnInG ClotH</t>
  </si>
  <si>
    <t>REUsaBLe bAmBOo uTENsiL SET</t>
  </si>
  <si>
    <t>ComPOStAbLe plANt potS</t>
  </si>
  <si>
    <t>EcO CanVAs ToTE baG</t>
  </si>
  <si>
    <t>bIoDEgRAdablE ClEanING ClOtH</t>
  </si>
  <si>
    <t>ECo CanvAS tOTe BAG</t>
  </si>
  <si>
    <t>REUsAblE baMBOO uTEnsIl sET</t>
  </si>
  <si>
    <t>cOMpOstAbLe PlAnt POTS</t>
  </si>
  <si>
    <t>biODeGRAdaBle clEAniNG CLotH</t>
  </si>
  <si>
    <t>ECO CANvas TOtE bag</t>
  </si>
  <si>
    <t>Solar lEd LaNTern</t>
  </si>
  <si>
    <t>SOLAR led lantErN</t>
  </si>
  <si>
    <t>coMpoSTaBlE plAnT POTs</t>
  </si>
  <si>
    <t>eco caNVaS TotE bAG</t>
  </si>
  <si>
    <t>eCO cANvAS TOTe bAG</t>
  </si>
  <si>
    <t>ecO CaNVAS tote bag</t>
  </si>
  <si>
    <t>reUSabLE bAmboo UtEnSil seT</t>
  </si>
  <si>
    <t>BIODeGraDaBlE CLEAnINg cLotH</t>
  </si>
  <si>
    <t>CompoSTaBlE PlANt poTs</t>
  </si>
  <si>
    <t>ECo caNvAs ToTE bAg</t>
  </si>
  <si>
    <t>BIODEgraDAble cleAniNg ClOth</t>
  </si>
  <si>
    <t>ECo CanVAS tOTE bAg</t>
  </si>
  <si>
    <t>Solar LED LaNTerN</t>
  </si>
  <si>
    <t>EcO cAnvAS TOTE bAG</t>
  </si>
  <si>
    <t>reUsABlE bAmboO UTENSiL Set</t>
  </si>
  <si>
    <t>ecO cANVaS ToTe bAG</t>
  </si>
  <si>
    <t>reuSAbLE BaMBOo UtenSIL sEt</t>
  </si>
  <si>
    <t>REUsaBlE bAmboo uTeNsil SET</t>
  </si>
  <si>
    <t>SolAr LEd LAnTERN</t>
  </si>
  <si>
    <t>BiODegradABlE CleAnIng cLOtH</t>
  </si>
  <si>
    <t>eCo CaNvas toTe baG</t>
  </si>
  <si>
    <t>eCO caNVAs Tote bag</t>
  </si>
  <si>
    <t>REusAble bAmBOO uTeNsIl SET</t>
  </si>
  <si>
    <t>REUsabLE baMbOo utensIl SET</t>
  </si>
  <si>
    <t>Solar LED lantErN</t>
  </si>
  <si>
    <t>REuSAble BAMBoo utEnSil SeT</t>
  </si>
  <si>
    <t>COmpostABLE PlanT pOTS</t>
  </si>
  <si>
    <t>BIODEgraDaBle CLeAnInG clOtH</t>
  </si>
  <si>
    <t>sOlAr lED lAnTeRN</t>
  </si>
  <si>
    <t>SOLAr LED LANtERN</t>
  </si>
  <si>
    <t>cOmpoSTAbLE PlAnT POTs</t>
  </si>
  <si>
    <t>rEUSAblE BaMBOO uTeNsil set</t>
  </si>
  <si>
    <t>eCo cANvaS tOTe bag</t>
  </si>
  <si>
    <t>soLaR LED LANteRN</t>
  </si>
  <si>
    <t>eCO CANVaS tOTE BAG</t>
  </si>
  <si>
    <t>eCo canVaS TOTE bag</t>
  </si>
  <si>
    <t>eCo CaNVaS tote BAg</t>
  </si>
  <si>
    <t>eCO CAnVAS tOTe BaG</t>
  </si>
  <si>
    <t>biODegRADabLe ClEANING cLoth</t>
  </si>
  <si>
    <t>ECo CAnVaS tOtE bag</t>
  </si>
  <si>
    <t>SOlAr leD lanTern</t>
  </si>
  <si>
    <t>Eco cANvaS totE BAg</t>
  </si>
  <si>
    <t>eCo CAnVAs tOte BAG</t>
  </si>
  <si>
    <t>Eco canVaS Tote Bag</t>
  </si>
  <si>
    <t>cOMPOstABlE pLanT PoTS</t>
  </si>
  <si>
    <t>SoLAR lEd Lantern</t>
  </si>
  <si>
    <t>sOLar leD LANtErN</t>
  </si>
  <si>
    <t>ecO cAnvas tOte baG</t>
  </si>
  <si>
    <t>coMpOsTaBlE PlaNt POTs</t>
  </si>
  <si>
    <t>SOLAr Led LAnTErn</t>
  </si>
  <si>
    <t>rEUSabLE baMbOo uTeNSil sET</t>
  </si>
  <si>
    <t>biODeGRADABlE ClEANIng CLoth</t>
  </si>
  <si>
    <t>bIoDEgradabLe CleAnINg cloTH</t>
  </si>
  <si>
    <t>bIoDEgRaDabLE cLEAnIng cLOTh</t>
  </si>
  <si>
    <t>bIOdEGraDaBLe ClEaning CloTh</t>
  </si>
  <si>
    <t>COMPOSTabLE PlANt POtS</t>
  </si>
  <si>
    <t>cOMpOstABle plANt PoTS</t>
  </si>
  <si>
    <t>SoLaR leD LAnteRn</t>
  </si>
  <si>
    <t>ReUSABlE BamboO utENsil set</t>
  </si>
  <si>
    <t>eco CANVAS tOTE Bag</t>
  </si>
  <si>
    <t>eco CAnvAS TOTe BAg</t>
  </si>
  <si>
    <t>reUsAbLE bAMBOO utensil sEt</t>
  </si>
  <si>
    <t>rEUsABle BamBOO UteNsil set</t>
  </si>
  <si>
    <t>soLAr lEd lanTeRn</t>
  </si>
  <si>
    <t>sOLaR lED LAnTeRN</t>
  </si>
  <si>
    <t>reuSabLE BaMboO uTenSIl set</t>
  </si>
  <si>
    <t>SOlAr lEd lAntERN</t>
  </si>
  <si>
    <t>sOLAR lED laNtERN</t>
  </si>
  <si>
    <t>SolAR leD laNtERN</t>
  </si>
  <si>
    <t>solAr led lanTErn</t>
  </si>
  <si>
    <t>rEusaBLe baMBOo uTensIl sEt</t>
  </si>
  <si>
    <t>REUSABle BAMBoo UtENSil SeT</t>
  </si>
  <si>
    <t>soLAR LED LANTerN</t>
  </si>
  <si>
    <t>eco CanvAS tOTe BaG</t>
  </si>
  <si>
    <t>eCO cANvaS totE BAG</t>
  </si>
  <si>
    <t>SOlAr lEd LAnTern</t>
  </si>
  <si>
    <t>eCo caNvaS tOte baG</t>
  </si>
  <si>
    <t>REUSABlE BamBoO uTENsIl Set</t>
  </si>
  <si>
    <t>COmposTABLe PlANT pOTs</t>
  </si>
  <si>
    <t>biOdegRADaBlE ClEanINg cLOth</t>
  </si>
  <si>
    <t>sOLAr LEd lAnterN</t>
  </si>
  <si>
    <t>rEuSabLe BamBoO uteNSIL SET</t>
  </si>
  <si>
    <t>reUsABlE bAMBOo uTenSIl set</t>
  </si>
  <si>
    <t>ECO cAnVAs TOtE bag</t>
  </si>
  <si>
    <t>sOLar LeD lAntERN</t>
  </si>
  <si>
    <t>BIodEgRAdABLe cLEAnING cloTh</t>
  </si>
  <si>
    <t>COMpostablE PLAnt poTs</t>
  </si>
  <si>
    <t>compoSTABle PlaNT potS</t>
  </si>
  <si>
    <t>BIODEGRAdAbLe cLeaNIng cLOtH</t>
  </si>
  <si>
    <t>comPoStAbLE PLaNT pOtS</t>
  </si>
  <si>
    <t>SoLAR leD lAnTern</t>
  </si>
  <si>
    <t>soLaR leD lAnteRN</t>
  </si>
  <si>
    <t>biodegRadAbLe cLEANiNG cLotH</t>
  </si>
  <si>
    <t>eCo cANVAS toTE bAG</t>
  </si>
  <si>
    <t>REuSABLe bamBoo UTensil Set</t>
  </si>
  <si>
    <t>sOlAR Led LanTERN</t>
  </si>
  <si>
    <t>SOlar lED lAnTern</t>
  </si>
  <si>
    <t>SoLAR LEd LanTeRn</t>
  </si>
  <si>
    <t>bIOdEgradAbLE CleANiNG CLOth</t>
  </si>
  <si>
    <t>BIodegradABLE cLeANing CLOTH</t>
  </si>
  <si>
    <t>REusablE bamboo UTEnSil sEt</t>
  </si>
  <si>
    <t>Eco CAnvAS tOte bAg</t>
  </si>
  <si>
    <t>reuSaBLe BAMBoO uTeNsIL sEt</t>
  </si>
  <si>
    <t>EcO cAnVaS totE bAg</t>
  </si>
  <si>
    <t>REUsaBLe BaMboO UteNSiL set</t>
  </si>
  <si>
    <t>EcO canVas ToTe BAG</t>
  </si>
  <si>
    <t>BiODegraDAblE CLeaninG cloth</t>
  </si>
  <si>
    <t>solAR lED lANtErn</t>
  </si>
  <si>
    <t>BIODeGRAdAbLe clEaniNG ClOth</t>
  </si>
  <si>
    <t>bIODEgraDaBLE CLEanIng cLoth</t>
  </si>
  <si>
    <t>CoMpOsTAbLe PlanT poTs</t>
  </si>
  <si>
    <t>ecO CanVas toTE baG</t>
  </si>
  <si>
    <t>BiodEgraDAbLe CLEANing cLoTH</t>
  </si>
  <si>
    <t>CompoSTaBlE plANt PotS</t>
  </si>
  <si>
    <t>rEUsAble BAMBoO utensiL set</t>
  </si>
  <si>
    <t>soLAr LEd lantERN</t>
  </si>
  <si>
    <t>SoLaR lED lANterN</t>
  </si>
  <si>
    <t>bIodegrADabLe CLeaniNG CLoTh</t>
  </si>
  <si>
    <t>cOMpoSTaBlE PLAnt pOTs</t>
  </si>
  <si>
    <t>SOLar Led LanTerN</t>
  </si>
  <si>
    <t>ReUSablE bAmBoO uTensil seT</t>
  </si>
  <si>
    <t>bIodegRADablE ClEAning cLoth</t>
  </si>
  <si>
    <t>rEuSABlE bamBOO UtEnSiL sET</t>
  </si>
  <si>
    <t>SOlaR LEd LANteRN</t>
  </si>
  <si>
    <t>ECo CaNvAs tote bag</t>
  </si>
  <si>
    <t>bIOdEgraDABle clEANINg clOtH</t>
  </si>
  <si>
    <t>CompoStablE plant poTs</t>
  </si>
  <si>
    <t>Eco CanvaS toTE Bag</t>
  </si>
  <si>
    <t>SolAR led lAnTErn</t>
  </si>
  <si>
    <t>eco CAnvaS toTe bAg</t>
  </si>
  <si>
    <t>sOLaR Led lANTERN</t>
  </si>
  <si>
    <t>sOlAR leD lAnTERn</t>
  </si>
  <si>
    <t>SoLAR lED LAnTerN</t>
  </si>
  <si>
    <t>ReUsAbLe bamBOo UTENSIl seT</t>
  </si>
  <si>
    <t>SOlar led laNTerN</t>
  </si>
  <si>
    <t>COMPoSTAble pLANT POTs</t>
  </si>
  <si>
    <t>BiODeGrADABlE cLEaninG clotH</t>
  </si>
  <si>
    <t>SOLAR LEd LANtErn</t>
  </si>
  <si>
    <t>biODeGRADABLE cLeanIng cloTh</t>
  </si>
  <si>
    <t>SolAr LED lANtErn</t>
  </si>
  <si>
    <t>SOLAR LEd LaNTERN</t>
  </si>
  <si>
    <t>solaR LEd LANtERn</t>
  </si>
  <si>
    <t>sOLaR lEd LAnTerN</t>
  </si>
  <si>
    <t>sOlAR lEd LanTerN</t>
  </si>
  <si>
    <t>soLAr led lANTeRn</t>
  </si>
  <si>
    <t>coMPOSTAble plaNt POTS</t>
  </si>
  <si>
    <t>bIodEgraDAble cLeaNinG cloTh</t>
  </si>
  <si>
    <t>EcO CanVaS TOte bag</t>
  </si>
  <si>
    <t>CoMpOSTaBlE PLaNT pOTs</t>
  </si>
  <si>
    <t>compostaBle PlANT pOTs</t>
  </si>
  <si>
    <t>comPOStAblE pLanT pOtS</t>
  </si>
  <si>
    <t>SoLAr LEd LANTErN</t>
  </si>
  <si>
    <t>sOlAR lEd lANteRN</t>
  </si>
  <si>
    <t>BIOdEGRADablE CLEaNInG cLoTH</t>
  </si>
  <si>
    <t>BiODEgRAdablE cLeANiNg cLoTH</t>
  </si>
  <si>
    <t>ecO Canvas tOtE bag</t>
  </si>
  <si>
    <t>REuSaBLE bAmBoO UTEnSIl SeT</t>
  </si>
  <si>
    <t>ReUsAblE BAmboO uTensiL sEt</t>
  </si>
  <si>
    <t>REuSAbLe bambOO UTeNSIl SET</t>
  </si>
  <si>
    <t>soLaR LeD LanTerN</t>
  </si>
  <si>
    <t>ecO CAnVAs TOtE baG</t>
  </si>
  <si>
    <t>SOLAR led LanterN</t>
  </si>
  <si>
    <t>BiOdeGRadAbLe cleaning cloTH</t>
  </si>
  <si>
    <t>solAr lEd lANTeRn</t>
  </si>
  <si>
    <t>eCo CanvAS tOTE BAG</t>
  </si>
  <si>
    <t>BiodegRadABLE ClEanING CLOth</t>
  </si>
  <si>
    <t>CoMposTaBLE pLANt PotS</t>
  </si>
  <si>
    <t>cOmpOSTable PlaNt POTs</t>
  </si>
  <si>
    <t>solar leD laNtErN</t>
  </si>
  <si>
    <t>REUSABlE baMBOO UTENSiL SEt</t>
  </si>
  <si>
    <t>ecO CANVAs TOTE bAG</t>
  </si>
  <si>
    <t>soLAr LED laNtErN</t>
  </si>
  <si>
    <t>reusable bAMBOo utensil Set</t>
  </si>
  <si>
    <t>BiODEGRAdaBle CleAniNG cloTh</t>
  </si>
  <si>
    <t>EcO cAnVas TOte Bag</t>
  </si>
  <si>
    <t>eco cANvAS toTe bAg</t>
  </si>
  <si>
    <t>eCo cANVas Tote BAG</t>
  </si>
  <si>
    <t>ecO cANvAS TotE bAg</t>
  </si>
  <si>
    <t>BIoDEGradAblE clEaNinG ClOTH</t>
  </si>
  <si>
    <t>BioDegRadABLe ClEANING CLOTH</t>
  </si>
  <si>
    <t>coMpOSTABLe pLaNt POts</t>
  </si>
  <si>
    <t>eco caNvaS TOtE BaG</t>
  </si>
  <si>
    <t>BIoDEGrAdable cleANING ClOth</t>
  </si>
  <si>
    <t>ecO cAnVAs toTE bAG</t>
  </si>
  <si>
    <t>rEUSAblE bambOO UtenSiL SEt</t>
  </si>
  <si>
    <t>SOlaR leD lAnteRn</t>
  </si>
  <si>
    <t>comPoStablE pLaNT pOtS</t>
  </si>
  <si>
    <t>Eco canvAs TOtE BAg</t>
  </si>
  <si>
    <t>ECO CaNVAS toTe bAg</t>
  </si>
  <si>
    <t>CoMposTablE plAnT PotS</t>
  </si>
  <si>
    <t>BiOdegRaDABLe CleaNiNg clOTh</t>
  </si>
  <si>
    <t>sOLaR LeD laNtERN</t>
  </si>
  <si>
    <t>bIoDegRadaBLE cleANING CLoth</t>
  </si>
  <si>
    <t>REUsAbLe BAmBoO UtENsil SEt</t>
  </si>
  <si>
    <t>EcO CanVas tOte Bag</t>
  </si>
  <si>
    <t>cOMpoStAbLE Plant pots</t>
  </si>
  <si>
    <t>ComPosTable plANt Pots</t>
  </si>
  <si>
    <t>BioDeGRaDAbLe CleaniNg cLotH</t>
  </si>
  <si>
    <t>bIoDegRadabLE ClEANiNg ClOTH</t>
  </si>
  <si>
    <t>Eco CAnVAs TOTe BAG</t>
  </si>
  <si>
    <t>REusabLE BambOo UtEnsil set</t>
  </si>
  <si>
    <t>SOlar LeD lANTeRn</t>
  </si>
  <si>
    <t>reuSable BAMBoo UTENSiL sEt</t>
  </si>
  <si>
    <t>COMPOstaBLE PLAnT poTS</t>
  </si>
  <si>
    <t>COmPOStABLe pLaNT POTs</t>
  </si>
  <si>
    <t>composTaBLE plAnt poTs</t>
  </si>
  <si>
    <t>ComPOSTable plAnT POTS</t>
  </si>
  <si>
    <t>comPoStaBlE PLaNT pOts</t>
  </si>
  <si>
    <t>CompOSTable PLAnt POTs</t>
  </si>
  <si>
    <t>cOMPOStaBLe pLAnt pots</t>
  </si>
  <si>
    <t>ECo canvaS tOTE BaG</t>
  </si>
  <si>
    <t>bIODeGrAdabLe CleAnIng CloTh</t>
  </si>
  <si>
    <t>REUSAblE BAmBOO utENSil SET</t>
  </si>
  <si>
    <t>bIoDEgrADaBlE cLeaning CloTH</t>
  </si>
  <si>
    <t>rEUSablE baMbOo uTeNsIL seT</t>
  </si>
  <si>
    <t>biODEgrAdaBLE clEAnINg clOTh</t>
  </si>
  <si>
    <t>cOmPostAblE PlanT Pots</t>
  </si>
  <si>
    <t>COMpOsTaBLe PlAnT POts</t>
  </si>
  <si>
    <t>eCO cAnvaS TOtE bAG</t>
  </si>
  <si>
    <t>Eco cAnvAs tOtE BAG</t>
  </si>
  <si>
    <t>BiodEgRADaBLe cleANInG cLoth</t>
  </si>
  <si>
    <t>COmpoSTaBle PLAnT pOts</t>
  </si>
  <si>
    <t>SOlaR LEd LantERN</t>
  </si>
  <si>
    <t>reUsAblE bAMBOO uTensIl SEt</t>
  </si>
  <si>
    <t>ECO CaNvAS ToTe Bag</t>
  </si>
  <si>
    <t>cOMpOsTABLE PLANt PoTS</t>
  </si>
  <si>
    <t>SOLar led LAntERn</t>
  </si>
  <si>
    <t>ReuSaBlE bAmBoO utEnSil sEt</t>
  </si>
  <si>
    <t>ECo cAnvaS TOte BaG</t>
  </si>
  <si>
    <t>BiODEgradAblE cLEaNing clOtH</t>
  </si>
  <si>
    <t>sOLaR LEd LaNtErn</t>
  </si>
  <si>
    <t>COmpOStAblE PlAnt pOTS</t>
  </si>
  <si>
    <t>ECO caNvAS TOte BAG</t>
  </si>
  <si>
    <t>REUSaBlE bamBOo UtensIL set</t>
  </si>
  <si>
    <t>Eco CANVAS TOtE baG</t>
  </si>
  <si>
    <t>ReUsAblE bAMBOO UtENSIl seT</t>
  </si>
  <si>
    <t>biODEgraDABlE clEanING cLoth</t>
  </si>
  <si>
    <t>ReUsAblE bAmBOo uTEnsiL SET</t>
  </si>
  <si>
    <t>ComPosTAbLE pLANT pOts</t>
  </si>
  <si>
    <t>cOMpoStAble plaNT PotS</t>
  </si>
  <si>
    <t>solaR LeD laNtErN</t>
  </si>
  <si>
    <t>BioDeGRADAblE CLEAnINg CLoTH</t>
  </si>
  <si>
    <t>reUSABLE baMBOO utensIl Set</t>
  </si>
  <si>
    <t>rEuSAble BaMBOO UTensil SeT</t>
  </si>
  <si>
    <t>rEusabLE BaMBOO uteNSiL SeT</t>
  </si>
  <si>
    <t>SoLar LEd LANtErN</t>
  </si>
  <si>
    <t>SOLaR Led LaNteRN</t>
  </si>
  <si>
    <t>compOsTabLE PlAnT POTS</t>
  </si>
  <si>
    <t>SoLaR lEd LaNTerN</t>
  </si>
  <si>
    <t>bIOdeGRadAblE cleANIng CLotH</t>
  </si>
  <si>
    <t>bIODeGRAdabLE cLEANiNG cLoTh</t>
  </si>
  <si>
    <t>ComPOsTabLe plaNT PotS</t>
  </si>
  <si>
    <t>sOLAr leD LAnTERn</t>
  </si>
  <si>
    <t>SoLAR LED LAnTeRn</t>
  </si>
  <si>
    <t>reuSAbLE bAMboo UtEnSil Set</t>
  </si>
  <si>
    <t>COMpoStabLe PLAnt pOtS</t>
  </si>
  <si>
    <t>reUsaBlE bAmBOO UteNSil seT</t>
  </si>
  <si>
    <t>CompOsTabLE PlANt pOts</t>
  </si>
  <si>
    <t>cOmPoSTable PLant Pots</t>
  </si>
  <si>
    <t>EcO CaNvAS ToTe bag</t>
  </si>
  <si>
    <t>bioDegrADabLE clEANinG ClOth</t>
  </si>
  <si>
    <t>COmpOSTablE plaNt poTS</t>
  </si>
  <si>
    <t>reUSAbLe BaMboO utEnsIL SeT</t>
  </si>
  <si>
    <t>BIoDEgRAdAblE CLeAniNG cLOth</t>
  </si>
  <si>
    <t>comPOstable plANt PotS</t>
  </si>
  <si>
    <t>ECO CanVAS toTE BAg</t>
  </si>
  <si>
    <t>SoLar leD LaNteRN</t>
  </si>
  <si>
    <t>ECO CaNVaS Tote Bag</t>
  </si>
  <si>
    <t>SOlar led LaNTeRN</t>
  </si>
  <si>
    <t>rEUsAbLE BAmBOO UTENsIL sEt</t>
  </si>
  <si>
    <t>Eco cAnvaS toTE bag</t>
  </si>
  <si>
    <t>REuSABlE bAMboO UTENSil SET</t>
  </si>
  <si>
    <t>coMpoSTaBLE plAnT PoTs</t>
  </si>
  <si>
    <t>EcO cAnvAS TotE bAG</t>
  </si>
  <si>
    <t>reuSABLE baMBOO UtEnsIL SeT</t>
  </si>
  <si>
    <t>BIoDEGrAdAbLe CleANIng CLOtH</t>
  </si>
  <si>
    <t>eCo canvAS tOTE bAg</t>
  </si>
  <si>
    <t>EcO cAnVAS Tote BAg</t>
  </si>
  <si>
    <t>compOstable PlaNT poTS</t>
  </si>
  <si>
    <t>SOlar lEd LAntERN</t>
  </si>
  <si>
    <t>sOLAr lED lantErN</t>
  </si>
  <si>
    <t>composTABLe PlAnt poTS</t>
  </si>
  <si>
    <t>ReusaBle BAMboo uTEnSIl sET</t>
  </si>
  <si>
    <t>bioDEGraDablE cLEAniNg cLOTh</t>
  </si>
  <si>
    <t>CoMPoStABLe pLANt POtS</t>
  </si>
  <si>
    <t>cOMPoStABle PLAnt potS</t>
  </si>
  <si>
    <t>bIODeGraDABle cLeanInG CLoTh</t>
  </si>
  <si>
    <t>BiodEgrAdAble CleAninG cLOtH</t>
  </si>
  <si>
    <t>sOLAr LEd lanTeRn</t>
  </si>
  <si>
    <t>eCO CANvaS TOTe Bag</t>
  </si>
  <si>
    <t>BIodEGraDabLe CLeANinG cLoth</t>
  </si>
  <si>
    <t>solAr led lantERN</t>
  </si>
  <si>
    <t>eCo CaNvAS TotE BAg</t>
  </si>
  <si>
    <t>cOmpOStable plAnt POts</t>
  </si>
  <si>
    <t>soLAR LEd laNTern</t>
  </si>
  <si>
    <t>rEUSABlE bamboO UtENSIl Set</t>
  </si>
  <si>
    <t>reusABLE bAmbOo UtENSIL sEt</t>
  </si>
  <si>
    <t>sOlaR LED lanTErn</t>
  </si>
  <si>
    <t>REUSablE baMBoO UTEnSIl SET</t>
  </si>
  <si>
    <t>SoLaR LeD LAnterN</t>
  </si>
  <si>
    <t>bIOdEgRaDAbLE cleaNIng ClOth</t>
  </si>
  <si>
    <t>sOlAR lED LANtErN</t>
  </si>
  <si>
    <t>ECO CANVAS Tote BAG</t>
  </si>
  <si>
    <t>REuSabLe BamBOO utENsil SET</t>
  </si>
  <si>
    <t>reusaBlE bamboO UtenSIL Set</t>
  </si>
  <si>
    <t>ReUsaBlE bAmbOO UteNsIl Set</t>
  </si>
  <si>
    <t>REusaBlE BAmBOo utEnsil Set</t>
  </si>
  <si>
    <t>BiOdeGRAdaBlE clEAning clOTH</t>
  </si>
  <si>
    <t>rEusaBlE BamBOo UTEnSIl SET</t>
  </si>
  <si>
    <t>SOlAR lED LAnTeRN</t>
  </si>
  <si>
    <t>ECo caNVas totE baG</t>
  </si>
  <si>
    <t>ReUsABLE bAMboO UteNsil sEt</t>
  </si>
  <si>
    <t>Eco cAnVas TOte bag</t>
  </si>
  <si>
    <t>ECO caNVas TOTE baG</t>
  </si>
  <si>
    <t>SOLAr Led LANTErn</t>
  </si>
  <si>
    <t>ReUsABle bAmbOo uTEnSil SET</t>
  </si>
  <si>
    <t>ECo CANvAs ToTE Bag</t>
  </si>
  <si>
    <t>REusABle BamboO utENSil SET</t>
  </si>
  <si>
    <t>eCO CanvAs tOte BAG</t>
  </si>
  <si>
    <t>rEuSAblE BAMboo UTensil SET</t>
  </si>
  <si>
    <t>eCO canVAs tOTE BAg</t>
  </si>
  <si>
    <t>ECO CaNvAs ToTe Bag</t>
  </si>
  <si>
    <t>rEuSAbLe bamBOO uTENSIl SET</t>
  </si>
  <si>
    <t>COmpOSTABLE pLANT poTS</t>
  </si>
  <si>
    <t>sOlar LEd lanteRN</t>
  </si>
  <si>
    <t>SolaR LED LaNteRN</t>
  </si>
  <si>
    <t>reusabLe bAMboo utenSil SeT</t>
  </si>
  <si>
    <t>SOLaR LEd lAnTern</t>
  </si>
  <si>
    <t>SoLAr leD lANteRn</t>
  </si>
  <si>
    <t>ECo cAnvas tote baG</t>
  </si>
  <si>
    <t>sOlAr LEd lANteRn</t>
  </si>
  <si>
    <t>solAR Led LaNtErN</t>
  </si>
  <si>
    <t>EcO caNVas tOTE Bag</t>
  </si>
  <si>
    <t>coMPosTable PLaNT poTS</t>
  </si>
  <si>
    <t>EcO cANvAs TotE BAg</t>
  </si>
  <si>
    <t>SoLAR LeD LANterN</t>
  </si>
  <si>
    <t>SoLar LED lANTErn</t>
  </si>
  <si>
    <t>ecO CanVAs TotE BaG</t>
  </si>
  <si>
    <t>COmpostaBle PLANT POTs</t>
  </si>
  <si>
    <t>Eco cAnVaS ToTE Bag</t>
  </si>
  <si>
    <t>cOmPOSTaBlE pLant potS</t>
  </si>
  <si>
    <t>reUSable BaMboo UTeNSIl sET</t>
  </si>
  <si>
    <t>BIOdegraDaBLE clEANIng cloth</t>
  </si>
  <si>
    <t>ReusABlE BAMBOO Utensil sET</t>
  </si>
  <si>
    <t>solar LeD laNteRN</t>
  </si>
  <si>
    <t>soLar LeD LaNTerN</t>
  </si>
  <si>
    <t>ecO canvas tOte bAg</t>
  </si>
  <si>
    <t>COmposTablE PLAnt pOtS</t>
  </si>
  <si>
    <t>EcO canVas toTE BAG</t>
  </si>
  <si>
    <t>COMPoSTABle plAnt PoTS</t>
  </si>
  <si>
    <t>SOLAr LeD lANTERn</t>
  </si>
  <si>
    <t>eco CaNvaS Tote baG</t>
  </si>
  <si>
    <t>REusabLe BAMBOO UTEnsIL SET</t>
  </si>
  <si>
    <t>soLar led LAntERN</t>
  </si>
  <si>
    <t>ECo CAnvAS tOTE BaG</t>
  </si>
  <si>
    <t>reusaBLe baMbOo uTENsIl set</t>
  </si>
  <si>
    <t>COMPOSTAbLE pLAnT pOTS</t>
  </si>
  <si>
    <t>cOmPOSTablE pLANt POTs</t>
  </si>
  <si>
    <t>ECO canVas TotE Bag</t>
  </si>
  <si>
    <t>soLar Led lAnterN</t>
  </si>
  <si>
    <t>COMPoSTaBLe PLAnt PoTs</t>
  </si>
  <si>
    <t>sOlaR LED LANtERN</t>
  </si>
  <si>
    <t>CoMpostaBLE pLant POtS</t>
  </si>
  <si>
    <t>eco canVaS tOTE BAG</t>
  </si>
  <si>
    <t>BIodEGraDabLE CLEAninG CLOtH</t>
  </si>
  <si>
    <t>BiOdEGRaDaBLE clEanING cLOth</t>
  </si>
  <si>
    <t>sOLar LED LANTERn</t>
  </si>
  <si>
    <t>reusABle BAmBOO utEnSil set</t>
  </si>
  <si>
    <t>solaR LEd LaNteRn</t>
  </si>
  <si>
    <t>CompOstaBle PLant pots</t>
  </si>
  <si>
    <t>sOlar lEd LantERn</t>
  </si>
  <si>
    <t>reuSABle BAMBOo uTenSil SEt</t>
  </si>
  <si>
    <t>SoLAr lEd lantErN</t>
  </si>
  <si>
    <t>ecO CanvaS tote baG</t>
  </si>
  <si>
    <t>coMpoSTABLe PlaNt pots</t>
  </si>
  <si>
    <t>BIODeGrADablE CLEAnING cLOth</t>
  </si>
  <si>
    <t>bioDEgRaDaBlE clEaNInG clOth</t>
  </si>
  <si>
    <t>eco cAnvaS tOTe bAG</t>
  </si>
  <si>
    <t>ECo cANvAs TOte bAg</t>
  </si>
  <si>
    <t>eCO canVas tOte BaG</t>
  </si>
  <si>
    <t>solAR LEd LANtERN</t>
  </si>
  <si>
    <t>biodegRadabLE CLEanINg cLoTh</t>
  </si>
  <si>
    <t>ecO CANVAS tOTE Bag</t>
  </si>
  <si>
    <t>Eco caNvaS tOtE BaG</t>
  </si>
  <si>
    <t>COMPosTabLE PLaNT poTS</t>
  </si>
  <si>
    <t>cOmpOsTAblE pLANt pOts</t>
  </si>
  <si>
    <t>cOmpOStaBlE PlaNt Pots</t>
  </si>
  <si>
    <t>BiODEgrAdablE CLEANiNG CloTh</t>
  </si>
  <si>
    <t>bIOdEGrAdablE CleaniNG cLoTh</t>
  </si>
  <si>
    <t>reUSaBLe bamBOO uteNsIL SEt</t>
  </si>
  <si>
    <t>eCo CAnVAS Tote Bag</t>
  </si>
  <si>
    <t>COmpOSTabLE plAnT poTS</t>
  </si>
  <si>
    <t>rEUsABLE bamBoO uTEnsIL SEt</t>
  </si>
  <si>
    <t>eCO canVAS TOtE bAg</t>
  </si>
  <si>
    <t>ReUsAblE BAmboo uTENsIl sEt</t>
  </si>
  <si>
    <t>eCO CAnVAs TOte bAg</t>
  </si>
  <si>
    <t>REusAblE bambOo UTENsIL set</t>
  </si>
  <si>
    <t>sOLar lED LANteRN</t>
  </si>
  <si>
    <t>SOlAr led LANtern</t>
  </si>
  <si>
    <t>SOlaR LED LaNterN</t>
  </si>
  <si>
    <t>rEuSABlE BaMboO UteNsil SET</t>
  </si>
  <si>
    <t>SOLaR LeD laNtERN</t>
  </si>
  <si>
    <t>biOdegradablE CLEaNING CloTH</t>
  </si>
  <si>
    <t>BiOdEgrADabLE CLEAnINg CloTh</t>
  </si>
  <si>
    <t>biODEGRAdABLE ClEaNINg Cloth</t>
  </si>
  <si>
    <t>SoLAr Led LAnTErn</t>
  </si>
  <si>
    <t>SolAR LEd laNtern</t>
  </si>
  <si>
    <t>solar LED LAnTern</t>
  </si>
  <si>
    <t>biODEGradaBle CleaNINg CLoTH</t>
  </si>
  <si>
    <t>COmpOstaBlE PLANt PoTS</t>
  </si>
  <si>
    <t>SOlAR LED LANtERN</t>
  </si>
  <si>
    <t>EcO cANvAs tOte bAG</t>
  </si>
  <si>
    <t>ReUsAbLe BaMbOo UtENSil sET</t>
  </si>
  <si>
    <t>ReUsabLE baMBOo UTeNsil set</t>
  </si>
  <si>
    <t>ReUSaBLe BaMBoO UtEnSiL SEt</t>
  </si>
  <si>
    <t>SOlAR LeD lanteRN</t>
  </si>
  <si>
    <t>ReusaBle baMboO UtenSIL sEt</t>
  </si>
  <si>
    <t>EcO canvas tOTe bAG</t>
  </si>
  <si>
    <t>SoLAR leD LanTern</t>
  </si>
  <si>
    <t>cOmPoStablE plANt PoTs</t>
  </si>
  <si>
    <t>cOmPosTABle pLaNT PoTs</t>
  </si>
  <si>
    <t>biOdegradAbLE cLEaNiNg CLOTH</t>
  </si>
  <si>
    <t>CoMpOStAbLe pLAnT pOTS</t>
  </si>
  <si>
    <t>ReUsabLE BAmbOO uTeNsIL SET</t>
  </si>
  <si>
    <t>SolaR LEd lANteRN</t>
  </si>
  <si>
    <t>COMpOsTabLE planT PotS</t>
  </si>
  <si>
    <t>reUsablE BAMBOO UteNSil SET</t>
  </si>
  <si>
    <t>BIOdegRADablE clEANINg cLoTH</t>
  </si>
  <si>
    <t>ecO CanvaS TOTe BAg</t>
  </si>
  <si>
    <t>eCO cANVas TOte bAg</t>
  </si>
  <si>
    <t>SOLaR LED laNtERN</t>
  </si>
  <si>
    <t>BIODeGRadaBle clEANIng CLoth</t>
  </si>
  <si>
    <t>ecO CAnvas TotE bag</t>
  </si>
  <si>
    <t>Eco caNvAS ToTE baG</t>
  </si>
  <si>
    <t>REUSaBlE BamBoO utEnsIl SET</t>
  </si>
  <si>
    <t>REUsABLE bAMBoO uTEnsIl seT</t>
  </si>
  <si>
    <t>eCO CaNVas toTE BAg</t>
  </si>
  <si>
    <t>BIOdegrADaBle cleAnIng CloTh</t>
  </si>
  <si>
    <t>COmPOStAble PlANt poTs</t>
  </si>
  <si>
    <t>BiOdEgrADabLE cLeaniNG cLoTH</t>
  </si>
  <si>
    <t>biOdEgraDaBle cleaniNg cLotH</t>
  </si>
  <si>
    <t>sOLAr Led lAnteRn</t>
  </si>
  <si>
    <t>ECo cANvaS TOte bAG</t>
  </si>
  <si>
    <t>ComPoStAblE pLaNT pOts</t>
  </si>
  <si>
    <t>ECO CAnVAS tOTe BAg</t>
  </si>
  <si>
    <t>BioDEGRADabLE cleAnINg CLotH</t>
  </si>
  <si>
    <t>EcO cAnvaS tOTe BAg</t>
  </si>
  <si>
    <t>ecO CANVAs tOTe bag</t>
  </si>
  <si>
    <t>ComPOsTaBlE plaNT POTS</t>
  </si>
  <si>
    <t>biOdeGradABLE ClEaNiNG CloTH</t>
  </si>
  <si>
    <t>coMPoStaBlE pLanT poTS</t>
  </si>
  <si>
    <t>coMpostABLE Plant POts</t>
  </si>
  <si>
    <t>BiODeGRadaBle CleANIng cloTh</t>
  </si>
  <si>
    <t>BIoDEGRAdABLE cLeaNInG cLOtH</t>
  </si>
  <si>
    <t>Eco cANvAs TOTe Bag</t>
  </si>
  <si>
    <t>SOlaR Led LantErn</t>
  </si>
  <si>
    <t>BiodEGrADAble CLeanING cLOtH</t>
  </si>
  <si>
    <t>COmPOsTAbLe plaNt pOts</t>
  </si>
  <si>
    <t>soLAr lEd LaNterN</t>
  </si>
  <si>
    <t>bIOdegradABlE cLEaNINg cLoTH</t>
  </si>
  <si>
    <t>ecO CanvAs TotE Bag</t>
  </si>
  <si>
    <t>ECO caNVas tOTE BaG</t>
  </si>
  <si>
    <t>reuSaBlE BAmBoo UTeNsIl set</t>
  </si>
  <si>
    <t>EcO cAnVas toTe Bag</t>
  </si>
  <si>
    <t>BIodeGRadAbLe CleAnInG CloTH</t>
  </si>
  <si>
    <t>ECo CanVAs toTE bAG</t>
  </si>
  <si>
    <t>solaR led lANTERn</t>
  </si>
  <si>
    <t>sOLaR leD laNTeRn</t>
  </si>
  <si>
    <t>ecO CaNvaS tOTE BAg</t>
  </si>
  <si>
    <t>rEUsaBLE bamBoo UTenSil Set</t>
  </si>
  <si>
    <t>COmpostAblE PlaNt POTS</t>
  </si>
  <si>
    <t>cOMPostABLe PlanT PotS</t>
  </si>
  <si>
    <t>ECO CAnVAs TOte Bag</t>
  </si>
  <si>
    <t>BiodEgRadaBLE CLeaNING CLoth</t>
  </si>
  <si>
    <t>reusAbLE BAmBoo uTeNSil Set</t>
  </si>
  <si>
    <t>eco cAnVAS tOte bAg</t>
  </si>
  <si>
    <t>ComPosTabLe PlanT POts</t>
  </si>
  <si>
    <t>ReusAbLE BamBOO utENsil SET</t>
  </si>
  <si>
    <t>cOmPoSTable plAnt poTS</t>
  </si>
  <si>
    <t>REuSabLE bamboo utensil SEt</t>
  </si>
  <si>
    <t>cOmPoStable PLant poTS</t>
  </si>
  <si>
    <t>ecO cANvAS tOTe BAg</t>
  </si>
  <si>
    <t>ReUsAble baMbOO utEnsIl set</t>
  </si>
  <si>
    <t>eCo CaNVas TOTe baG</t>
  </si>
  <si>
    <t>solar LeD lANTErn</t>
  </si>
  <si>
    <t>EcO caNvas TOtE baG</t>
  </si>
  <si>
    <t>rEuSable BaMBOo UtEnSIL sET</t>
  </si>
  <si>
    <t>compoStable PLaNt pOts</t>
  </si>
  <si>
    <t>SoLar LED laNTErN</t>
  </si>
  <si>
    <t>COmPOStAblE PlANt PoTS</t>
  </si>
  <si>
    <t>ReUsable BambOo UTENSil Set</t>
  </si>
  <si>
    <t>eco caNVAs toTE BaG</t>
  </si>
  <si>
    <t>COmpoSTAble plant Pots</t>
  </si>
  <si>
    <t>SOlar LEd LaNTERn</t>
  </si>
  <si>
    <t>eCo CanVas tOte bag</t>
  </si>
  <si>
    <t>reUsAbLe BAMBoO UTensiL Set</t>
  </si>
  <si>
    <t>sOLAR lEd LAnterN</t>
  </si>
  <si>
    <t>ecO CANVAS TOTe Bag</t>
  </si>
  <si>
    <t>BiodEgrADABlE cleanInG cLoTh</t>
  </si>
  <si>
    <t>bIOdegrAdABLe CleANing cLOTH</t>
  </si>
  <si>
    <t>SolaR lED lanTERN</t>
  </si>
  <si>
    <t>REuSABlE bAMbOO UtenSIL SeT</t>
  </si>
  <si>
    <t>bIoDEgRADabLE cLEANINg cLoTH</t>
  </si>
  <si>
    <t>ReUsaBLE bAMBOO uTEnSIL Set</t>
  </si>
  <si>
    <t>ReuSABLE bAmBOO utensIL Set</t>
  </si>
  <si>
    <t>sOlAR Led LanTeRn</t>
  </si>
  <si>
    <t>bIodeGrADablE clEAniNg clotH</t>
  </si>
  <si>
    <t>cOMpOstAbLe PLanT poTs</t>
  </si>
  <si>
    <t>SoLar LeD LANtErN</t>
  </si>
  <si>
    <t>SOLar LEd LANTerN</t>
  </si>
  <si>
    <t>BIodegRADaBlE clEANing CloTh</t>
  </si>
  <si>
    <t>ReUSaBlE BAMboO utEnSiL SET</t>
  </si>
  <si>
    <t>rEuSABlE BamBoO UTeNSIl seT</t>
  </si>
  <si>
    <t>rEUsABle BaMBOO UTenSIL SET</t>
  </si>
  <si>
    <t>Reusable BAMBoo uTeNSIL sET</t>
  </si>
  <si>
    <t>SoLar lEd laNTErn</t>
  </si>
  <si>
    <t>compoSTAbLe plaNt pOTs</t>
  </si>
  <si>
    <t>BioDeGRAdaBLE cLeAnING cLoTh</t>
  </si>
  <si>
    <t>rEUSABLE bAmboO utENsIL sET</t>
  </si>
  <si>
    <t>rEusABLE bAmbOo UTENSiL sEt</t>
  </si>
  <si>
    <t>biodeGRADABlE cLEaNING cLoTh</t>
  </si>
  <si>
    <t>BiODegRadAbLe CleanINg clOTh</t>
  </si>
  <si>
    <t>BIoDEgRadAble clEaNiNG cLOtH</t>
  </si>
  <si>
    <t>eCo canVaS tOTe baG</t>
  </si>
  <si>
    <t>coMPOsTaBLe PlaNT POts</t>
  </si>
  <si>
    <t>COmPOstAbLe PlANT POts</t>
  </si>
  <si>
    <t>COMpOstABLE PlaNt Pots</t>
  </si>
  <si>
    <t>SOLar LED laNtern</t>
  </si>
  <si>
    <t>bIODegradaBlE cLEANIng cLOTH</t>
  </si>
  <si>
    <t>soLaR LEd lANTern</t>
  </si>
  <si>
    <t>BIODEgrADABLE cleaNIng cLoth</t>
  </si>
  <si>
    <t>ReUsaBle BamBoO uTensIL set</t>
  </si>
  <si>
    <t>cOMposTAblE PlAnt pOTS</t>
  </si>
  <si>
    <t>eCo caNVAS toTE Bag</t>
  </si>
  <si>
    <t>biOdEgRaDABLE cLEAnINg Cloth</t>
  </si>
  <si>
    <t>ECO CANvaS tOTE baG</t>
  </si>
  <si>
    <t>ReUsablE bamBOO utENsIL Set</t>
  </si>
  <si>
    <t>REusABlE BAmboo UtENsIl set</t>
  </si>
  <si>
    <t>bioDegrADABlE ClEaNIng cLOth</t>
  </si>
  <si>
    <t>SoLaR LeD lAnterN</t>
  </si>
  <si>
    <t>CoMpoSTablE plant POTS</t>
  </si>
  <si>
    <t>ComPoSTaBle PLAnT pOTs</t>
  </si>
  <si>
    <t>SOlAr leD LAnTERN</t>
  </si>
  <si>
    <t>Eco cAnVaS tote bag</t>
  </si>
  <si>
    <t>bIOdEGrAdaBlE CLEaNInG clOtH</t>
  </si>
  <si>
    <t>REuSaBLE baMboo UTenSil SEt</t>
  </si>
  <si>
    <t>sOLAR lEd lANtern</t>
  </si>
  <si>
    <t>REUsABle bAMboO uTeNSIL sEt</t>
  </si>
  <si>
    <t>REUSaBLe BAmbOo UTEnSil SEt</t>
  </si>
  <si>
    <t>eCo canVaS TOtE Bag</t>
  </si>
  <si>
    <t>CoMpOstaBLe plAnt POtS</t>
  </si>
  <si>
    <t>SolAR led LAntErn</t>
  </si>
  <si>
    <t>reUsABle baMboo uTEnSiL sEt</t>
  </si>
  <si>
    <t>COmpoStABle PlANT pOts</t>
  </si>
  <si>
    <t>COMPOsTAbLe PLanT POTs</t>
  </si>
  <si>
    <t>rEUSaBle bamBoo utEnsil seT</t>
  </si>
  <si>
    <t>BioDegradAbLe clEanIng cLOTh</t>
  </si>
  <si>
    <t>eCo CanVaS tOtE bag</t>
  </si>
  <si>
    <t>Eco cAnvaS TOtE bAg</t>
  </si>
  <si>
    <t>EcO CANvaS toTE BAG</t>
  </si>
  <si>
    <t>BioDeGRadABle cLeaNINg Cloth</t>
  </si>
  <si>
    <t>SOlaR led LAnterN</t>
  </si>
  <si>
    <t>ComPOStABlE PlAnt poTs</t>
  </si>
  <si>
    <t>ECO CAnvAs TOtE baG</t>
  </si>
  <si>
    <t>solar LEd LanTERn</t>
  </si>
  <si>
    <t>ecO cAnVAs toTe BAg</t>
  </si>
  <si>
    <t>COMPoStaBle PLaNt Pots</t>
  </si>
  <si>
    <t>biODEGRaDaBLe CLeaniNG cLOth</t>
  </si>
  <si>
    <t>SOLAR LED LANteRN</t>
  </si>
  <si>
    <t>BIODEgRaDaBLE ClEaning CLOtH</t>
  </si>
  <si>
    <t>SoLar lED lAnTERn</t>
  </si>
  <si>
    <t>solAR leD laNtErN</t>
  </si>
  <si>
    <t>COmpoStABle PLAnt pots</t>
  </si>
  <si>
    <t>sOlAR LeD laNterN</t>
  </si>
  <si>
    <t>ReUSAbLe bAMbOO UtEnsIl SeT</t>
  </si>
  <si>
    <t>ECo CANVAs Tote bag</t>
  </si>
  <si>
    <t>biodEGRaDaBle ClEANing ClOth</t>
  </si>
  <si>
    <t>EcO CANvAs tOTE BAg</t>
  </si>
  <si>
    <t>BIoDEgRadabLe CLEanING cLotH</t>
  </si>
  <si>
    <t>biODEGrADaBle CLeaNIng CLOth</t>
  </si>
  <si>
    <t>biOdEGRadAbLe CLEAnIng cLOtH</t>
  </si>
  <si>
    <t>eCO cANVas TOTe bAg</t>
  </si>
  <si>
    <t>BiOdegrADaBle ClEaniNG cLotH</t>
  </si>
  <si>
    <t>eCO CanvaS TOTe bag</t>
  </si>
  <si>
    <t>rEUSABlE BaMboO utENsIL Set</t>
  </si>
  <si>
    <t>reuSaBLe baMboO UtEnsiL set</t>
  </si>
  <si>
    <t>SOLAr LeD lantern</t>
  </si>
  <si>
    <t>COmpOSTAblE plant PoTs</t>
  </si>
  <si>
    <t>EcO caNvaS toTe bAG</t>
  </si>
  <si>
    <t>ecO CAnVAs tOte bAg</t>
  </si>
  <si>
    <t>bIODEGRadaBLE cLeaninG cloTH</t>
  </si>
  <si>
    <t>comPOSTABLe pLaNt Pots</t>
  </si>
  <si>
    <t>eco canvas TotE Bag</t>
  </si>
  <si>
    <t>solAr Led lAnteRn</t>
  </si>
  <si>
    <t>COMpOstabLE plAnt PoTS</t>
  </si>
  <si>
    <t>bIODEGradABle CLeAning cloth</t>
  </si>
  <si>
    <t>solAR Led lANtERN</t>
  </si>
  <si>
    <t>biOdEGRaDaBLE cLeaniNG cloTh</t>
  </si>
  <si>
    <t>bIODEgRaDable cLEANiNG CloTh</t>
  </si>
  <si>
    <t>cOMposTaBLe pLant POTS</t>
  </si>
  <si>
    <t>Eco cANvAS tOTE BaG</t>
  </si>
  <si>
    <t>ECo cANVaS TOte baG</t>
  </si>
  <si>
    <t>biodeGradABLE clEAniNG cLotH</t>
  </si>
  <si>
    <t>BIoDeGRAdabLe CLEanING CLotH</t>
  </si>
  <si>
    <t>reusAbLe BaMboO uTEnSiL SET</t>
  </si>
  <si>
    <t>sOLaR led LAnterN</t>
  </si>
  <si>
    <t>bIODeGrADABLE CleanING ClOth</t>
  </si>
  <si>
    <t>reUsAblE bAmbOO UTenSil seT</t>
  </si>
  <si>
    <t>ECO CANvAS tote baG</t>
  </si>
  <si>
    <t>comPOStABle pLant POts</t>
  </si>
  <si>
    <t>compOstabLe pLant POTs</t>
  </si>
  <si>
    <t>reUSaBLe bAmboO uTENsIL sET</t>
  </si>
  <si>
    <t>sOlar lEd LaNtern</t>
  </si>
  <si>
    <t>BIOdegRaDABle CLeaniNG cLotH</t>
  </si>
  <si>
    <t>SolAR led LAntErN</t>
  </si>
  <si>
    <t>eco canvaS Tote BaG</t>
  </si>
  <si>
    <t>ECo caNvAs totE BAG</t>
  </si>
  <si>
    <t>Eco Canvas TOte bAg</t>
  </si>
  <si>
    <t>Eco Canvas toTE BAg</t>
  </si>
  <si>
    <t>rEuSablE baMbOo uTEnsil SeT</t>
  </si>
  <si>
    <t>REuSablE bAmbOo UtEnsiL Set</t>
  </si>
  <si>
    <t>rEuSABlE BaMBOO UTenSil seT</t>
  </si>
  <si>
    <t>BIODeGradAbLE ClEanINg CLOTH</t>
  </si>
  <si>
    <t>ReUsable bamBOo utENSiL seT</t>
  </si>
  <si>
    <t>COmpoStaBle PLAnT PotS</t>
  </si>
  <si>
    <t>Eco caNVas TOte bAg</t>
  </si>
  <si>
    <t>SOlaR LeD LAntern</t>
  </si>
  <si>
    <t>BIodEgRAdAbLe CLeANiNg CloTH</t>
  </si>
  <si>
    <t>BiODEGrAdabLE ClEaNINg cLoTh</t>
  </si>
  <si>
    <t>REuSABLE bamBOo UteNsIL set</t>
  </si>
  <si>
    <t>BioDeGRadaBle clEAniNg cLOtH</t>
  </si>
  <si>
    <t>soLAr Led LAntErn</t>
  </si>
  <si>
    <t>biODEGradable cleAnINg cloTH</t>
  </si>
  <si>
    <t>reUsABLe Bamboo UTeNsIl SeT</t>
  </si>
  <si>
    <t>cOMPoStABLE PLANt pOtS</t>
  </si>
  <si>
    <t>cOMpostAbLE PlANt pots</t>
  </si>
  <si>
    <t>BiodEGrAdabLe CleanING CLOTH</t>
  </si>
  <si>
    <t>sOLar lED LantERn</t>
  </si>
  <si>
    <t>CoMPoSTAble PLANT pots</t>
  </si>
  <si>
    <t>biOdeGRaDable CLeAninG CloTH</t>
  </si>
  <si>
    <t>biODEgrAdaBlE cLEaniNG cLOTH</t>
  </si>
  <si>
    <t>eCo caNVas TOtE BaG</t>
  </si>
  <si>
    <t>ecO CaNvAS Tote bag</t>
  </si>
  <si>
    <t>bioDegrAdabLE CLeAnIng CLOtH</t>
  </si>
  <si>
    <t>BioDEgrADAbLE cLEaNiNG cLOth</t>
  </si>
  <si>
    <t>rEUSable BAmboo UtENSIl seT</t>
  </si>
  <si>
    <t>COmposTabLe PlanT POTs</t>
  </si>
  <si>
    <t>bIOdEgRadABlE CleANING cLotH</t>
  </si>
  <si>
    <t>biOdEgRADAbLe cLEANiNG Cloth</t>
  </si>
  <si>
    <t>Eco cANVas ToTE BAG</t>
  </si>
  <si>
    <t>BiOdegraDabLE clEAnInG clOtH</t>
  </si>
  <si>
    <t>BIodegraDaBLe CLEANinG CLoTH</t>
  </si>
  <si>
    <t>CompOstAbLe pLanT PoTs</t>
  </si>
  <si>
    <t>EcO caNvAS Tote bag</t>
  </si>
  <si>
    <t>ComposTabLE plaNt pOtS</t>
  </si>
  <si>
    <t>REusabLE baMBOO utENsIl sET</t>
  </si>
  <si>
    <t>BIodEGRadaBlE cLeANInG CLOTh</t>
  </si>
  <si>
    <t>BiodegrAdAbLe ClEaniNG CLOTH</t>
  </si>
  <si>
    <t>BiOdEGRaDablE CLEaninG ClOtH</t>
  </si>
  <si>
    <t>BIODeGraDABlE CleANING clOtH</t>
  </si>
  <si>
    <t>bIODEgrAdabLe CLeAnING CLoTh</t>
  </si>
  <si>
    <t>reuSabLe baMboO UTEnsil sET</t>
  </si>
  <si>
    <t>BIOdegrADABLe CLeaNInG ClotH</t>
  </si>
  <si>
    <t>REUsablE bAmBoo Utensil seT</t>
  </si>
  <si>
    <t>sOLar led LAnTERn</t>
  </si>
  <si>
    <t>REusaBle baMBOo utENSiL SeT</t>
  </si>
  <si>
    <t>eco cAnvAS TotE bAG</t>
  </si>
  <si>
    <t>eco cANvAS toTe baG</t>
  </si>
  <si>
    <t>SoLaR led LaNTern</t>
  </si>
  <si>
    <t>eCo CanVAs ToTE BAG</t>
  </si>
  <si>
    <t>ecO CANVAS tOte BAG</t>
  </si>
  <si>
    <t>eco CANVAS tOTe Bag</t>
  </si>
  <si>
    <t>ecO CaNvAs toTE BAG</t>
  </si>
  <si>
    <t>ReUsabLE Bamboo utENSiL Set</t>
  </si>
  <si>
    <t>biOdEgrADaBLE cLeANiNg CLOTh</t>
  </si>
  <si>
    <t>coMpOstabLE plANT PotS</t>
  </si>
  <si>
    <t>REusABLE BamBOO uTeNSIL SET</t>
  </si>
  <si>
    <t>BIOdEGRaDaBle cLeaNinG cloTH</t>
  </si>
  <si>
    <t>cOMpOSTABlE PLAnT POTs</t>
  </si>
  <si>
    <t>CoMPOstABle plANT pots</t>
  </si>
  <si>
    <t>ReusABlE baMbOO uTEnSiL sET</t>
  </si>
  <si>
    <t>ECo canVas totE BaG</t>
  </si>
  <si>
    <t>cOmpOsTABle PLanT PoTs</t>
  </si>
  <si>
    <t>bIOdegradaBLE CLeaniNg cLOtH</t>
  </si>
  <si>
    <t>ReUSABLe BAMboo UTEnsiL SeT</t>
  </si>
  <si>
    <t>ecO cAnVas TOTe bag</t>
  </si>
  <si>
    <t>ReuSaBle BambOo uTeNsIl set</t>
  </si>
  <si>
    <t>soLaR LEd lanTErN</t>
  </si>
  <si>
    <t>ecO CanVaS TOTe BAg</t>
  </si>
  <si>
    <t>SoLAR Led LantERn</t>
  </si>
  <si>
    <t>rEusABle bambOO UTEnSil seT</t>
  </si>
  <si>
    <t>solaR led laNTeRn</t>
  </si>
  <si>
    <t>Eco CanVAS toTe BAG</t>
  </si>
  <si>
    <t>SolAR LED LAntErn</t>
  </si>
  <si>
    <t>ECO cANVaS tOTE BAG</t>
  </si>
  <si>
    <t>reusaBLE BAMBOO Utensil set</t>
  </si>
  <si>
    <t>SolAr Led lanTeRn</t>
  </si>
  <si>
    <t>eCo cANVaS tOtE bAg</t>
  </si>
  <si>
    <t>COMpostaBLe PLaNt poTs</t>
  </si>
  <si>
    <t>rEUsAblE BAmbOO uTeNSil seT</t>
  </si>
  <si>
    <t>COmPOstABLe PlanT POTS</t>
  </si>
  <si>
    <t>biOdegraDaBle ClEanInG cLoTH</t>
  </si>
  <si>
    <t>soLaR leD lAnteRn</t>
  </si>
  <si>
    <t>SoLar leD LAntErN</t>
  </si>
  <si>
    <t>cOmposTABLe PLAnT POTS</t>
  </si>
  <si>
    <t>biOdEGRadable ClEAnIng CLotH</t>
  </si>
  <si>
    <t>Compostable plANt POTs</t>
  </si>
  <si>
    <t>ReuSABLe baMboo UtenSIL sEt</t>
  </si>
  <si>
    <t>REusABLE BaMbOo uteNSIL SEt</t>
  </si>
  <si>
    <t>Solar lEd laNTERn</t>
  </si>
  <si>
    <t>Solar Led lANTERN</t>
  </si>
  <si>
    <t>ECo caNvas toTe baG</t>
  </si>
  <si>
    <t>SOlAR led LanTERn</t>
  </si>
  <si>
    <t>coMPOsTABle pLaNT pots</t>
  </si>
  <si>
    <t>SoLAr Led laNterN</t>
  </si>
  <si>
    <t>sOLAR Led laNTeRN</t>
  </si>
  <si>
    <t>sOlaR LED LANTERn</t>
  </si>
  <si>
    <t>CoMPOStABle plaNT pOtS</t>
  </si>
  <si>
    <t>compostAblE PLaNt pOTs</t>
  </si>
  <si>
    <t>SOlaR LEd lantERN</t>
  </si>
  <si>
    <t>SOLaR lED LanTERn</t>
  </si>
  <si>
    <t>ReUsabLE baMBOO utENSIL Set</t>
  </si>
  <si>
    <t>eco CaNvAS TOTE BAG</t>
  </si>
  <si>
    <t>COmposTABLE PLAnt PoTS</t>
  </si>
  <si>
    <t>rEUSABle bAMBOO UtensIl set</t>
  </si>
  <si>
    <t>SOLaR lED LANteRN</t>
  </si>
  <si>
    <t>ReusabLE BaMBoO UTeNsIl SET</t>
  </si>
  <si>
    <t>bIODegRaDAbLe cleANInG cLOth</t>
  </si>
  <si>
    <t>ECO cAnvas tote bAg</t>
  </si>
  <si>
    <t>bIodeGRadaBLE cLeaNInG CLotH</t>
  </si>
  <si>
    <t>CoMpostablE PlaNt PoTS</t>
  </si>
  <si>
    <t>comPOSTABlE pLAnt POtS</t>
  </si>
  <si>
    <t>bIOdEGraDABLe CLeanIng ClOth</t>
  </si>
  <si>
    <t>biodeGRadaBle CLEaNiNg cloTH</t>
  </si>
  <si>
    <t>soLAR lEd LanteRN</t>
  </si>
  <si>
    <t>cOmPOstABLe planT POts</t>
  </si>
  <si>
    <t>COmPoSTaBLe Plant POTS</t>
  </si>
  <si>
    <t>eCO canvAS TOtE bAG</t>
  </si>
  <si>
    <t>ecO caNVas TotE baG</t>
  </si>
  <si>
    <t>CoMPoStaBLE PLanT pots</t>
  </si>
  <si>
    <t>soLar leD LanterN</t>
  </si>
  <si>
    <t>SoLAR led laNTERn</t>
  </si>
  <si>
    <t>cOMpostaBLe pLAnT pOTS</t>
  </si>
  <si>
    <t>SOlAR LEd LANTeRN</t>
  </si>
  <si>
    <t>SoLAR LEd lANteRn</t>
  </si>
  <si>
    <t>reuSable bAMboO UteNsIL Set</t>
  </si>
  <si>
    <t>COmpOSTaBLE planT PoTs</t>
  </si>
  <si>
    <t>Solar leD lANTeRn</t>
  </si>
  <si>
    <t>SolAr led Lantern</t>
  </si>
  <si>
    <t>ECO CanVAs tOTE bag</t>
  </si>
  <si>
    <t>COMposTaBLe plAnt pOts</t>
  </si>
  <si>
    <t>soLAr lEd lantERn</t>
  </si>
  <si>
    <t>reusABle bAMboO uTenSIl sET</t>
  </si>
  <si>
    <t>SoLaR led LANteRN</t>
  </si>
  <si>
    <t>solAr Led lantERn</t>
  </si>
  <si>
    <t>solAR lEd LAnTerN</t>
  </si>
  <si>
    <t>coMPOSTAble PlAnT POts</t>
  </si>
  <si>
    <t>coMpoStABlE PlAnT POTS</t>
  </si>
  <si>
    <t>cOMPoStable plAnt POtS</t>
  </si>
  <si>
    <t>soLAR lED LANTERN</t>
  </si>
  <si>
    <t>rEUSablE bAmBoo uTENSIL SEt</t>
  </si>
  <si>
    <t>SOlAr Led lanTeRn</t>
  </si>
  <si>
    <t>sOlAr LeD LAntern</t>
  </si>
  <si>
    <t>sOlAR led lAnterN</t>
  </si>
  <si>
    <t>ReuSabLE BamboO uteNsil SEt</t>
  </si>
  <si>
    <t>BIoDegRAdabLe ClEaNInG CLOTh</t>
  </si>
  <si>
    <t>BIODEGRAdaBLe cLeAnIng cLOTH</t>
  </si>
  <si>
    <t>COMPoStAble Plant pOtS</t>
  </si>
  <si>
    <t>eco CaNvAS TOtE bag</t>
  </si>
  <si>
    <t>biodegRAdablE CleANIng ClOtH</t>
  </si>
  <si>
    <t>BIODeGradAble clEANiNG CLOth</t>
  </si>
  <si>
    <t>eCo canvAS tOTE Bag</t>
  </si>
  <si>
    <t>COMPOSTAblE PlaNT Pots</t>
  </si>
  <si>
    <t>solaR leD LANTERn</t>
  </si>
  <si>
    <t>BIODegrADablE cLEANinG cLOth</t>
  </si>
  <si>
    <t>SoLaR lED lanteRN</t>
  </si>
  <si>
    <t>eco canvas tOte BaG</t>
  </si>
  <si>
    <t>cOmpOSTAblE PLANT PotS</t>
  </si>
  <si>
    <t>EcO CaNvas tOte Bag</t>
  </si>
  <si>
    <t>rEUSAbLe BAMboo uteNsil Set</t>
  </si>
  <si>
    <t>SOlAr leD laNtern</t>
  </si>
  <si>
    <t>eCO canvas tote bAg</t>
  </si>
  <si>
    <t>BIoDeGraDAble clEAninG ClOTH</t>
  </si>
  <si>
    <t>eco cAnVaS tOtE BAg</t>
  </si>
  <si>
    <t>ComPOstable pLANT PotS</t>
  </si>
  <si>
    <t>REUSabLe bAmboo uTENSiL sEt</t>
  </si>
  <si>
    <t>eCo cANvAs totE BAG</t>
  </si>
  <si>
    <t>REusablE BambOo uTEnsIL sEt</t>
  </si>
  <si>
    <t>cOMPostAble plAnT POTs</t>
  </si>
  <si>
    <t>reusabLe BAMBoo UtEnSIl SET</t>
  </si>
  <si>
    <t>COmposTABlE pLAnT POTs</t>
  </si>
  <si>
    <t>ECO CAnVAS tote bag</t>
  </si>
  <si>
    <t>bIOdEGrADAblE ClEaninG cLOTH</t>
  </si>
  <si>
    <t>coMpOstAbLE plaNT Pots</t>
  </si>
  <si>
    <t>COMPostable plAnt POtS</t>
  </si>
  <si>
    <t>ReUsable baMboO uteNSil sET</t>
  </si>
  <si>
    <t>REuSablE baMBoO UTensiL set</t>
  </si>
  <si>
    <t>Eco cAnVaS tOtE bAg</t>
  </si>
  <si>
    <t>COmpOSTaBlE PlaNT PoTS</t>
  </si>
  <si>
    <t>EcO CANVaS Tote bag</t>
  </si>
  <si>
    <t>BIoDegradAble clEAninG cLoth</t>
  </si>
  <si>
    <t>bIoDEgradaBLe ClEaning CLOTH</t>
  </si>
  <si>
    <t>SOlaR LEd lanTErn</t>
  </si>
  <si>
    <t>solAR lED lanteRn</t>
  </si>
  <si>
    <t>ecO CaNVas tOtE BaG</t>
  </si>
  <si>
    <t>sOLAr LEd LAnteRN</t>
  </si>
  <si>
    <t>ECo CaNVaS Tote baG</t>
  </si>
  <si>
    <t>SOlAr LeD laNTErN</t>
  </si>
  <si>
    <t>soLaR lED lANTerN</t>
  </si>
  <si>
    <t>EcO caNvAs totE bAG</t>
  </si>
  <si>
    <t>REusaBlE bAMBOO uTENsIL Set</t>
  </si>
  <si>
    <t>SolAR LED LanterN</t>
  </si>
  <si>
    <t>BiODEGradABlE CleanInG cLotH</t>
  </si>
  <si>
    <t>bIODeGRAdAble cleaNiNg CLOTh</t>
  </si>
  <si>
    <t>EcO caNvaS totE Bag</t>
  </si>
  <si>
    <t>bIOdegRAdABlE cLEaNING CLoTH</t>
  </si>
  <si>
    <t>Eco caNVas tOTE bag</t>
  </si>
  <si>
    <t>SOLAr Led laNtERn</t>
  </si>
  <si>
    <t>SoLAR led laNterN</t>
  </si>
  <si>
    <t>BIODEgraDAblE cLEaNING cLOth</t>
  </si>
  <si>
    <t>ecO CANvas TOTE Bag</t>
  </si>
  <si>
    <t>Eco cANvas tote Bag</t>
  </si>
  <si>
    <t>BIOdegRAdABlE cleanInG ClotH</t>
  </si>
  <si>
    <t>coMPOStAble plANT PoTS</t>
  </si>
  <si>
    <t>eCO caNVas tOTe BaG</t>
  </si>
  <si>
    <t>ECo cANVaS ToTe bag</t>
  </si>
  <si>
    <t>ReUSABle bAmBOo UTENsIl sEt</t>
  </si>
  <si>
    <t>bIODEgraDAbLe cLeAniNG ClOTH</t>
  </si>
  <si>
    <t>Gardening</t>
  </si>
  <si>
    <t>Lighting</t>
  </si>
  <si>
    <t>Bags</t>
  </si>
  <si>
    <t>Kitchenware</t>
  </si>
  <si>
    <t>Cleaning</t>
  </si>
  <si>
    <t>C0165</t>
  </si>
  <si>
    <t>C0189</t>
  </si>
  <si>
    <t>C0123</t>
  </si>
  <si>
    <t>C0144</t>
  </si>
  <si>
    <t>C0023</t>
  </si>
  <si>
    <t>C0088</t>
  </si>
  <si>
    <t>C0154</t>
  </si>
  <si>
    <t>C0069</t>
  </si>
  <si>
    <t>C0187</t>
  </si>
  <si>
    <t>C0122</t>
  </si>
  <si>
    <t>C0051</t>
  </si>
  <si>
    <t>C0055</t>
  </si>
  <si>
    <t>C0102</t>
  </si>
  <si>
    <t>C0039</t>
  </si>
  <si>
    <t>C0110</t>
  </si>
  <si>
    <t>C0104</t>
  </si>
  <si>
    <t>C0003</t>
  </si>
  <si>
    <t>C0029</t>
  </si>
  <si>
    <t>C0103</t>
  </si>
  <si>
    <t>C0012</t>
  </si>
  <si>
    <t>C0058</t>
  </si>
  <si>
    <t>C0049</t>
  </si>
  <si>
    <t>C0142</t>
  </si>
  <si>
    <t>C0076</t>
  </si>
  <si>
    <t>C0034</t>
  </si>
  <si>
    <t>C0008</t>
  </si>
  <si>
    <t>C0050</t>
  </si>
  <si>
    <t>C0162</t>
  </si>
  <si>
    <t>C0145</t>
  </si>
  <si>
    <t>C0089</t>
  </si>
  <si>
    <t>C0147</t>
  </si>
  <si>
    <t>C0052</t>
  </si>
  <si>
    <t>C0195</t>
  </si>
  <si>
    <t>C0150</t>
  </si>
  <si>
    <t>C0014</t>
  </si>
  <si>
    <t>C0133</t>
  </si>
  <si>
    <t>C0030</t>
  </si>
  <si>
    <t>C0072</t>
  </si>
  <si>
    <t>C0096</t>
  </si>
  <si>
    <t>C0125</t>
  </si>
  <si>
    <t>C0038</t>
  </si>
  <si>
    <t>C0025</t>
  </si>
  <si>
    <t>C0137</t>
  </si>
  <si>
    <t>C0116</t>
  </si>
  <si>
    <t>C0164</t>
  </si>
  <si>
    <t>C0188</t>
  </si>
  <si>
    <t>C0083</t>
  </si>
  <si>
    <t>C0019</t>
  </si>
  <si>
    <t>C0036</t>
  </si>
  <si>
    <t>C0198</t>
  </si>
  <si>
    <t>C0191</t>
  </si>
  <si>
    <t>C0114</t>
  </si>
  <si>
    <t>C0141</t>
  </si>
  <si>
    <t>C0183</t>
  </si>
  <si>
    <t>C0139</t>
  </si>
  <si>
    <t>C0157</t>
  </si>
  <si>
    <t>C0152</t>
  </si>
  <si>
    <t>C0001</t>
  </si>
  <si>
    <t>C0158</t>
  </si>
  <si>
    <t>C0078</t>
  </si>
  <si>
    <t>C0120</t>
  </si>
  <si>
    <t>C0197</t>
  </si>
  <si>
    <t>C0131</t>
  </si>
  <si>
    <t>C0185</t>
  </si>
  <si>
    <t>C0200</t>
  </si>
  <si>
    <t>C0075</t>
  </si>
  <si>
    <t>C0168</t>
  </si>
  <si>
    <t>C0169</t>
  </si>
  <si>
    <t>C0180</t>
  </si>
  <si>
    <t>C0092</t>
  </si>
  <si>
    <t>C0138</t>
  </si>
  <si>
    <t>C0045</t>
  </si>
  <si>
    <t>C0026</t>
  </si>
  <si>
    <t>C0146</t>
  </si>
  <si>
    <t>C0084</t>
  </si>
  <si>
    <t>C0005</t>
  </si>
  <si>
    <t>C0015</t>
  </si>
  <si>
    <t>C0182</t>
  </si>
  <si>
    <t>C0044</t>
  </si>
  <si>
    <t>C0057</t>
  </si>
  <si>
    <t>C0107</t>
  </si>
  <si>
    <t>C0048</t>
  </si>
  <si>
    <t>C0127</t>
  </si>
  <si>
    <t>C0081</t>
  </si>
  <si>
    <t>C0196</t>
  </si>
  <si>
    <t>C0155</t>
  </si>
  <si>
    <t>C0004</t>
  </si>
  <si>
    <t>C0065</t>
  </si>
  <si>
    <t>C0073</t>
  </si>
  <si>
    <t>C0136</t>
  </si>
  <si>
    <t>C0163</t>
  </si>
  <si>
    <t>C0017</t>
  </si>
  <si>
    <t>C0175</t>
  </si>
  <si>
    <t>C0126</t>
  </si>
  <si>
    <t>C0064</t>
  </si>
  <si>
    <t>C0161</t>
  </si>
  <si>
    <t>C0033</t>
  </si>
  <si>
    <t>C0112</t>
  </si>
  <si>
    <t>C0128</t>
  </si>
  <si>
    <t>C0194</t>
  </si>
  <si>
    <t>C0013</t>
  </si>
  <si>
    <t>C0186</t>
  </si>
  <si>
    <t>C0042</t>
  </si>
  <si>
    <t>C0091</t>
  </si>
  <si>
    <t>C0184</t>
  </si>
  <si>
    <t>C0190</t>
  </si>
  <si>
    <t>C0031</t>
  </si>
  <si>
    <t>C0059</t>
  </si>
  <si>
    <t>C0111</t>
  </si>
  <si>
    <t>C0018</t>
  </si>
  <si>
    <t>C0085</t>
  </si>
  <si>
    <t>C0077</t>
  </si>
  <si>
    <t>C0009</t>
  </si>
  <si>
    <t>C0007</t>
  </si>
  <si>
    <t>C0070</t>
  </si>
  <si>
    <t>C0063</t>
  </si>
  <si>
    <t>C0021</t>
  </si>
  <si>
    <t>C0156</t>
  </si>
  <si>
    <t>C0071</t>
  </si>
  <si>
    <t>C0093</t>
  </si>
  <si>
    <t>C0100</t>
  </si>
  <si>
    <t>C0124</t>
  </si>
  <si>
    <t>C0166</t>
  </si>
  <si>
    <t>C0176</t>
  </si>
  <si>
    <t>C0006</t>
  </si>
  <si>
    <t>C0074</t>
  </si>
  <si>
    <t>C0178</t>
  </si>
  <si>
    <t>C0193</t>
  </si>
  <si>
    <t>C0037</t>
  </si>
  <si>
    <t>C0020</t>
  </si>
  <si>
    <t>C0118</t>
  </si>
  <si>
    <t>C0082</t>
  </si>
  <si>
    <t>C0179</t>
  </si>
  <si>
    <t>C0086</t>
  </si>
  <si>
    <t>C0171</t>
  </si>
  <si>
    <t>C0098</t>
  </si>
  <si>
    <t>C0109</t>
  </si>
  <si>
    <t>C0068</t>
  </si>
  <si>
    <t>C0199</t>
  </si>
  <si>
    <t>C0032</t>
  </si>
  <si>
    <t>C0174</t>
  </si>
  <si>
    <t>C0119</t>
  </si>
  <si>
    <t>C0134</t>
  </si>
  <si>
    <t>C0149</t>
  </si>
  <si>
    <t>C0087</t>
  </si>
  <si>
    <t>C0105</t>
  </si>
  <si>
    <t>C0097</t>
  </si>
  <si>
    <t>C0130</t>
  </si>
  <si>
    <t>C0132</t>
  </si>
  <si>
    <t>C0041</t>
  </si>
  <si>
    <t>C0181</t>
  </si>
  <si>
    <t>C0094</t>
  </si>
  <si>
    <t>C0108</t>
  </si>
  <si>
    <t>C0121</t>
  </si>
  <si>
    <t>C0167</t>
  </si>
  <si>
    <t>C0148</t>
  </si>
  <si>
    <t>C0022</t>
  </si>
  <si>
    <t>C0027</t>
  </si>
  <si>
    <t>C0090</t>
  </si>
  <si>
    <t>C0170</t>
  </si>
  <si>
    <t>C0002</t>
  </si>
  <si>
    <t>C0151</t>
  </si>
  <si>
    <t>C0028</t>
  </si>
  <si>
    <t>C0079</t>
  </si>
  <si>
    <t>C0040</t>
  </si>
  <si>
    <t>C0192</t>
  </si>
  <si>
    <t>C0177</t>
  </si>
  <si>
    <t>C0043</t>
  </si>
  <si>
    <t>C0099</t>
  </si>
  <si>
    <t>C0160</t>
  </si>
  <si>
    <t>C0106</t>
  </si>
  <si>
    <t>C0060</t>
  </si>
  <si>
    <t>C0053</t>
  </si>
  <si>
    <t>C0101</t>
  </si>
  <si>
    <t>C0066</t>
  </si>
  <si>
    <t>C0024</t>
  </si>
  <si>
    <t>C0173</t>
  </si>
  <si>
    <t>C0135</t>
  </si>
  <si>
    <t>C0011</t>
  </si>
  <si>
    <t>C0115</t>
  </si>
  <si>
    <t>C0061</t>
  </si>
  <si>
    <t>C0067</t>
  </si>
  <si>
    <t>C0047</t>
  </si>
  <si>
    <t>C0016</t>
  </si>
  <si>
    <t>C0143</t>
  </si>
  <si>
    <t>C0113</t>
  </si>
  <si>
    <t>C0140</t>
  </si>
  <si>
    <t>C0080</t>
  </si>
  <si>
    <t>C0095</t>
  </si>
  <si>
    <t>C0172</t>
  </si>
  <si>
    <t>C0054</t>
  </si>
  <si>
    <t>C0159</t>
  </si>
  <si>
    <t>C0035</t>
  </si>
  <si>
    <t>C0046</t>
  </si>
  <si>
    <t>C0129</t>
  </si>
  <si>
    <t>C0062</t>
  </si>
  <si>
    <t>C0117</t>
  </si>
  <si>
    <t>C0056</t>
  </si>
  <si>
    <t>C0010</t>
  </si>
  <si>
    <t>haRper dAVIs</t>
  </si>
  <si>
    <t>mIa milLeR</t>
  </si>
  <si>
    <t>olIvIa DAVis</t>
  </si>
  <si>
    <t>lIAM jOneS</t>
  </si>
  <si>
    <t>nOAH gARciA</t>
  </si>
  <si>
    <t>lIAm GaRciA</t>
  </si>
  <si>
    <t>lIAm jOhnsOn</t>
  </si>
  <si>
    <t>LiaM GarCia</t>
  </si>
  <si>
    <t>avA rODRIgUeZ</t>
  </si>
  <si>
    <t>aIDeN DAVIS</t>
  </si>
  <si>
    <t>EvELyn MarTinez</t>
  </si>
  <si>
    <t>lucaS RoDRIguez</t>
  </si>
  <si>
    <t>Liam bROwn</t>
  </si>
  <si>
    <t>mAsoN joHnSon</t>
  </si>
  <si>
    <t>olIVIa garCIa</t>
  </si>
  <si>
    <t>mAsOn roDRiguez</t>
  </si>
  <si>
    <t>SOpHia GaRcIa</t>
  </si>
  <si>
    <t>hARpER MARtIneZ</t>
  </si>
  <si>
    <t>lIam garCia</t>
  </si>
  <si>
    <t>OLIVIA MaRTinEZ</t>
  </si>
  <si>
    <t>aMElIA johNson</t>
  </si>
  <si>
    <t>AmElIA jOHNSon</t>
  </si>
  <si>
    <t>haRpeR GArCiA</t>
  </si>
  <si>
    <t>mIa JONeS</t>
  </si>
  <si>
    <t>EtHan RodrIgUEz</t>
  </si>
  <si>
    <t>NoAh wiLLiaMs</t>
  </si>
  <si>
    <t>amelia JohnSON</t>
  </si>
  <si>
    <t>Ethan mILLeR</t>
  </si>
  <si>
    <t>SoPHiA brown</t>
  </si>
  <si>
    <t>LiAM DavIs</t>
  </si>
  <si>
    <t>LuCaS williAmS</t>
  </si>
  <si>
    <t>Mia joHnSon</t>
  </si>
  <si>
    <t>MASoN dAVis</t>
  </si>
  <si>
    <t>NOAh roDrigUEz</t>
  </si>
  <si>
    <t>CHARlOtTe GArCIA</t>
  </si>
  <si>
    <t>HarPER Jones</t>
  </si>
  <si>
    <t>cHARLoTTe DAvIs</t>
  </si>
  <si>
    <t>EVeLYn GarcIa</t>
  </si>
  <si>
    <t>EthAn joHnSoN</t>
  </si>
  <si>
    <t>lucas BrowN</t>
  </si>
  <si>
    <t>Noah MARtINez</t>
  </si>
  <si>
    <t>isABeLlA garcIa</t>
  </si>
  <si>
    <t>loGAn smitH</t>
  </si>
  <si>
    <t>liAM jONes</t>
  </si>
  <si>
    <t>ChArLotTE daviS</t>
  </si>
  <si>
    <t>LUCAS wiLlIaMS</t>
  </si>
  <si>
    <t>jAmEs bRown</t>
  </si>
  <si>
    <t>AIDeN MArtIneZ</t>
  </si>
  <si>
    <t>iSaBElLA MILLER</t>
  </si>
  <si>
    <t>ELiJAH jOneS</t>
  </si>
  <si>
    <t>lIaM roDrIGUEZ</t>
  </si>
  <si>
    <t>cHARlottE Jones</t>
  </si>
  <si>
    <t>eVeLYn mARtiNez</t>
  </si>
  <si>
    <t>AIDEN davIS</t>
  </si>
  <si>
    <t>AmELIa GARCIa</t>
  </si>
  <si>
    <t>oLivIa jOHNsON</t>
  </si>
  <si>
    <t>ETHAn GArCIa</t>
  </si>
  <si>
    <t>nOAH SmITH</t>
  </si>
  <si>
    <t>isABElla jOneS</t>
  </si>
  <si>
    <t>olIvEr jOHnson</t>
  </si>
  <si>
    <t>HARper SmiTh</t>
  </si>
  <si>
    <t>noah wIlliaMS</t>
  </si>
  <si>
    <t>eliJaH MarTIneZ</t>
  </si>
  <si>
    <t>haRper sMITH</t>
  </si>
  <si>
    <t>mASON JOhNSoN</t>
  </si>
  <si>
    <t>jaMes brOwn</t>
  </si>
  <si>
    <t>mIa broWn</t>
  </si>
  <si>
    <t>MaSOn DaVIs</t>
  </si>
  <si>
    <t>lUCAS BROwN</t>
  </si>
  <si>
    <t>HarPEr GARCIa</t>
  </si>
  <si>
    <t>jAMeS WIlliaMS</t>
  </si>
  <si>
    <t>lIaM smith</t>
  </si>
  <si>
    <t>eVeLYn BroWn</t>
  </si>
  <si>
    <t>isAbeLla GARCia</t>
  </si>
  <si>
    <t>EtHaN jOnES</t>
  </si>
  <si>
    <t>eLiJAH garCiA</t>
  </si>
  <si>
    <t>Emma bROwN</t>
  </si>
  <si>
    <t>AVA MilLEr</t>
  </si>
  <si>
    <t>soPHiA DaVIs</t>
  </si>
  <si>
    <t>EvElyn MiLLeR</t>
  </si>
  <si>
    <t>MAson DAVIs</t>
  </si>
  <si>
    <t>ELIJah bROwn</t>
  </si>
  <si>
    <t>NOAH MArtiNEZ</t>
  </si>
  <si>
    <t>MasoN mILLeR</t>
  </si>
  <si>
    <t>mia MILLER</t>
  </si>
  <si>
    <t>jAmEs MIlLeR</t>
  </si>
  <si>
    <t>AIDEn GArcia</t>
  </si>
  <si>
    <t>avA rodRiGUEz</t>
  </si>
  <si>
    <t>HarPEr bRowN</t>
  </si>
  <si>
    <t>luCAS smITH</t>
  </si>
  <si>
    <t>aidEN sMIth</t>
  </si>
  <si>
    <t>LIAM rODRIgueZ</t>
  </si>
  <si>
    <t>Aiden RoDrIGUEz</t>
  </si>
  <si>
    <t>lUcas SMitH</t>
  </si>
  <si>
    <t>sOPHia mARtinEZ</t>
  </si>
  <si>
    <t>CHARlOttE gArCiA</t>
  </si>
  <si>
    <t>miA roDriGuez</t>
  </si>
  <si>
    <t>eLijAh wIlLIAMs</t>
  </si>
  <si>
    <t>jamEs wILLIAmS</t>
  </si>
  <si>
    <t>NoaH bROWn</t>
  </si>
  <si>
    <t>eVelYN martiNEZ</t>
  </si>
  <si>
    <t>ISabellA bRoWN</t>
  </si>
  <si>
    <t>jamES BrOwn</t>
  </si>
  <si>
    <t>aIDen WIlliAMs</t>
  </si>
  <si>
    <t>IsAbELla JohNSoN</t>
  </si>
  <si>
    <t>mASON WILliaMS</t>
  </si>
  <si>
    <t>harpEr rOdrIguEz</t>
  </si>
  <si>
    <t>LOGaN rODrIgUEz</t>
  </si>
  <si>
    <t>emMA dAVIs</t>
  </si>
  <si>
    <t>miA brOWn</t>
  </si>
  <si>
    <t>eThan mARTIneZ</t>
  </si>
  <si>
    <t>MaSon WillIAMs</t>
  </si>
  <si>
    <t>eThAN WIlLIamS</t>
  </si>
  <si>
    <t>ava BRoWN</t>
  </si>
  <si>
    <t>sOPHIa JOHNSOn</t>
  </si>
  <si>
    <t>oliVer MilLeR</t>
  </si>
  <si>
    <t>isABelLA RoDriGUEZ</t>
  </si>
  <si>
    <t>cHARlottE GArciA</t>
  </si>
  <si>
    <t>AvA mARTINeZ</t>
  </si>
  <si>
    <t>NoAh RODrIguEz</t>
  </si>
  <si>
    <t>logAn sMItH</t>
  </si>
  <si>
    <t>hArper MIllEr</t>
  </si>
  <si>
    <t>NOAh wIlLIamS</t>
  </si>
  <si>
    <t>oLiver Miller</t>
  </si>
  <si>
    <t>oliVEr smiTh</t>
  </si>
  <si>
    <t>EMMa garcIA</t>
  </si>
  <si>
    <t>LucAS gARCia</t>
  </si>
  <si>
    <t>aVA SmIth</t>
  </si>
  <si>
    <t>AVa dAVIs</t>
  </si>
  <si>
    <t>JAmES joNeS</t>
  </si>
  <si>
    <t>loGAn martInEZ</t>
  </si>
  <si>
    <t>avA joNEs</t>
  </si>
  <si>
    <t>OLiViA mIlLEr</t>
  </si>
  <si>
    <t>OlIVER johnsOn</t>
  </si>
  <si>
    <t>MiA DAvis</t>
  </si>
  <si>
    <t>IsAbElLA brOWn</t>
  </si>
  <si>
    <t>amEliA jOHNSOn</t>
  </si>
  <si>
    <t>LOGan jOhNson</t>
  </si>
  <si>
    <t>oLIvIA MILLEr</t>
  </si>
  <si>
    <t>olIVER JONes</t>
  </si>
  <si>
    <t>mASOn JOHNSon</t>
  </si>
  <si>
    <t>mAson ROdrigUEz</t>
  </si>
  <si>
    <t>JAmeS BROWn</t>
  </si>
  <si>
    <t>soPhiA rODriGuEZ</t>
  </si>
  <si>
    <t>emmA DaviS</t>
  </si>
  <si>
    <t>elIjah DavIS</t>
  </si>
  <si>
    <t>OlIVIa GarCIA</t>
  </si>
  <si>
    <t>avA rOdrIGueZ</t>
  </si>
  <si>
    <t>amEliA JonEs</t>
  </si>
  <si>
    <t>Elijah DAVis</t>
  </si>
  <si>
    <t>OlIvIA GARcia</t>
  </si>
  <si>
    <t>aIDen jones</t>
  </si>
  <si>
    <t>HarpEr MILLeR</t>
  </si>
  <si>
    <t>aideN jOneS</t>
  </si>
  <si>
    <t>aidEN bROWn</t>
  </si>
  <si>
    <t>aVA RODrIGUEZ</t>
  </si>
  <si>
    <t>jAmES sMiTH</t>
  </si>
  <si>
    <t>harpER jOneS</t>
  </si>
  <si>
    <t>masOn jOnes</t>
  </si>
  <si>
    <t>avA rOdRIguEZ</t>
  </si>
  <si>
    <t>SOpHia BrowN</t>
  </si>
  <si>
    <t>Emma SMITh</t>
  </si>
  <si>
    <t>Lucas JoNEs</t>
  </si>
  <si>
    <t>OlIVIA willIams</t>
  </si>
  <si>
    <t>amELia milLer</t>
  </si>
  <si>
    <t>charLoTtE jOhnsON</t>
  </si>
  <si>
    <t>MIa MaRtInez</t>
  </si>
  <si>
    <t>logan roDRIgUEZ</t>
  </si>
  <si>
    <t>AIDen rOdRIgUEz</t>
  </si>
  <si>
    <t>LucAs gaRcia</t>
  </si>
  <si>
    <t>aVA MartINez</t>
  </si>
  <si>
    <t>liaM jONES</t>
  </si>
  <si>
    <t>mIa JOhnsON</t>
  </si>
  <si>
    <t>lIam GArCiA</t>
  </si>
  <si>
    <t>JaMeS garcIA</t>
  </si>
  <si>
    <t>IsAbELla WILLiamS</t>
  </si>
  <si>
    <t>aMEliA MaRTiNez</t>
  </si>
  <si>
    <t>HArPeR DavIs</t>
  </si>
  <si>
    <t>jaMEs wilLIAMs</t>
  </si>
  <si>
    <t>AvA GarCIA</t>
  </si>
  <si>
    <t>AiDEn miLleR</t>
  </si>
  <si>
    <t>lOGan SMITh</t>
  </si>
  <si>
    <t>oLiver jOHNSoN</t>
  </si>
  <si>
    <t>charLOtTE jONeS</t>
  </si>
  <si>
    <t>jAmEs mIllER</t>
  </si>
  <si>
    <t>EVElYn smitH</t>
  </si>
  <si>
    <t>AIdeN SMiTh</t>
  </si>
  <si>
    <t>EVELYN martinEZ</t>
  </si>
  <si>
    <t>hARPeR rODrIGueZ</t>
  </si>
  <si>
    <t>loGAN mIlLeR</t>
  </si>
  <si>
    <t>IsabELLA RoDRIgUEz</t>
  </si>
  <si>
    <t>LoGAn martineZ</t>
  </si>
  <si>
    <t>EVeLyN marTinez</t>
  </si>
  <si>
    <t>elIJah SMItH</t>
  </si>
  <si>
    <t>lIaM mIller</t>
  </si>
  <si>
    <t>emma dAviS</t>
  </si>
  <si>
    <t>lOGan JoNEs</t>
  </si>
  <si>
    <t>olIvia jonES</t>
  </si>
  <si>
    <t>nOAH GaRCIa</t>
  </si>
  <si>
    <t>Delivered</t>
  </si>
  <si>
    <t>Pending</t>
  </si>
  <si>
    <t>Shipped</t>
  </si>
  <si>
    <t>Returned</t>
  </si>
  <si>
    <t>Michigan</t>
  </si>
  <si>
    <t>Florida</t>
  </si>
  <si>
    <t>North Carolina</t>
  </si>
  <si>
    <t>Pennsylvania</t>
  </si>
  <si>
    <t>Ohio</t>
  </si>
  <si>
    <t>New York</t>
  </si>
  <si>
    <t>Texas</t>
  </si>
  <si>
    <t>Illinois</t>
  </si>
  <si>
    <t>Georgia</t>
  </si>
  <si>
    <t>California</t>
  </si>
  <si>
    <t>OR0001</t>
  </si>
  <si>
    <t>OR0002</t>
  </si>
  <si>
    <t>OR0003</t>
  </si>
  <si>
    <t>OR0004</t>
  </si>
  <si>
    <t>OR0005</t>
  </si>
  <si>
    <t>OR0006</t>
  </si>
  <si>
    <t>OR0007</t>
  </si>
  <si>
    <t>OR0008</t>
  </si>
  <si>
    <t>OR0009</t>
  </si>
  <si>
    <t>OR0010</t>
  </si>
  <si>
    <t>OR0011</t>
  </si>
  <si>
    <t>OR0012</t>
  </si>
  <si>
    <t>OR0013</t>
  </si>
  <si>
    <t>OR0014</t>
  </si>
  <si>
    <t>OR0015</t>
  </si>
  <si>
    <t>OR0016</t>
  </si>
  <si>
    <t>OR0017</t>
  </si>
  <si>
    <t>OR0018</t>
  </si>
  <si>
    <t>OR0019</t>
  </si>
  <si>
    <t>OR0020</t>
  </si>
  <si>
    <t>OR0021</t>
  </si>
  <si>
    <t>OR0022</t>
  </si>
  <si>
    <t>OR0023</t>
  </si>
  <si>
    <t>OR0024</t>
  </si>
  <si>
    <t>OR0025</t>
  </si>
  <si>
    <t>OR0026</t>
  </si>
  <si>
    <t>OR0027</t>
  </si>
  <si>
    <t>OR0028</t>
  </si>
  <si>
    <t>OR0029</t>
  </si>
  <si>
    <t>OR0030</t>
  </si>
  <si>
    <t>OR0031</t>
  </si>
  <si>
    <t>OR0032</t>
  </si>
  <si>
    <t>OR0033</t>
  </si>
  <si>
    <t>OR0034</t>
  </si>
  <si>
    <t>OR0035</t>
  </si>
  <si>
    <t>OR0036</t>
  </si>
  <si>
    <t>OR0037</t>
  </si>
  <si>
    <t>OR0038</t>
  </si>
  <si>
    <t>OR0039</t>
  </si>
  <si>
    <t>OR0040</t>
  </si>
  <si>
    <t>OR0041</t>
  </si>
  <si>
    <t>OR0042</t>
  </si>
  <si>
    <t>OR0043</t>
  </si>
  <si>
    <t>OR0044</t>
  </si>
  <si>
    <t>OR0045</t>
  </si>
  <si>
    <t>OR0046</t>
  </si>
  <si>
    <t>OR0047</t>
  </si>
  <si>
    <t>OR0048</t>
  </si>
  <si>
    <t>OR0049</t>
  </si>
  <si>
    <t>OR0050</t>
  </si>
  <si>
    <t>OR0051</t>
  </si>
  <si>
    <t>OR0052</t>
  </si>
  <si>
    <t>OR0053</t>
  </si>
  <si>
    <t>OR0054</t>
  </si>
  <si>
    <t>OR0055</t>
  </si>
  <si>
    <t>OR0056</t>
  </si>
  <si>
    <t>OR0057</t>
  </si>
  <si>
    <t>OR0058</t>
  </si>
  <si>
    <t>OR0059</t>
  </si>
  <si>
    <t>OR0060</t>
  </si>
  <si>
    <t>OR0061</t>
  </si>
  <si>
    <t>OR0062</t>
  </si>
  <si>
    <t>OR0063</t>
  </si>
  <si>
    <t>OR0064</t>
  </si>
  <si>
    <t>OR0065</t>
  </si>
  <si>
    <t>OR0066</t>
  </si>
  <si>
    <t>OR0067</t>
  </si>
  <si>
    <t>OR0068</t>
  </si>
  <si>
    <t>OR0069</t>
  </si>
  <si>
    <t>OR0070</t>
  </si>
  <si>
    <t>OR0071</t>
  </si>
  <si>
    <t>OR0072</t>
  </si>
  <si>
    <t>OR0073</t>
  </si>
  <si>
    <t>OR0074</t>
  </si>
  <si>
    <t>OR0075</t>
  </si>
  <si>
    <t>OR0076</t>
  </si>
  <si>
    <t>OR0077</t>
  </si>
  <si>
    <t>OR0078</t>
  </si>
  <si>
    <t>OR0079</t>
  </si>
  <si>
    <t>OR0080</t>
  </si>
  <si>
    <t>OR0081</t>
  </si>
  <si>
    <t>OR0082</t>
  </si>
  <si>
    <t>OR0083</t>
  </si>
  <si>
    <t>OR0084</t>
  </si>
  <si>
    <t>OR0085</t>
  </si>
  <si>
    <t>OR0086</t>
  </si>
  <si>
    <t>OR0087</t>
  </si>
  <si>
    <t>OR0088</t>
  </si>
  <si>
    <t>OR0089</t>
  </si>
  <si>
    <t>OR0090</t>
  </si>
  <si>
    <t>OR0091</t>
  </si>
  <si>
    <t>OR0092</t>
  </si>
  <si>
    <t>OR0093</t>
  </si>
  <si>
    <t>OR0094</t>
  </si>
  <si>
    <t>OR0095</t>
  </si>
  <si>
    <t>OR0096</t>
  </si>
  <si>
    <t>OR0097</t>
  </si>
  <si>
    <t>OR0098</t>
  </si>
  <si>
    <t>OR0099</t>
  </si>
  <si>
    <t>OR0100</t>
  </si>
  <si>
    <t>OR0101</t>
  </si>
  <si>
    <t>OR0102</t>
  </si>
  <si>
    <t>OR0103</t>
  </si>
  <si>
    <t>OR0104</t>
  </si>
  <si>
    <t>OR0105</t>
  </si>
  <si>
    <t>OR0106</t>
  </si>
  <si>
    <t>OR0107</t>
  </si>
  <si>
    <t>OR0108</t>
  </si>
  <si>
    <t>OR0109</t>
  </si>
  <si>
    <t>OR0110</t>
  </si>
  <si>
    <t>OR0111</t>
  </si>
  <si>
    <t>OR0112</t>
  </si>
  <si>
    <t>OR0113</t>
  </si>
  <si>
    <t>OR0114</t>
  </si>
  <si>
    <t>OR0115</t>
  </si>
  <si>
    <t>OR0116</t>
  </si>
  <si>
    <t>OR0117</t>
  </si>
  <si>
    <t>OR0118</t>
  </si>
  <si>
    <t>OR0119</t>
  </si>
  <si>
    <t>OR0120</t>
  </si>
  <si>
    <t>OR0121</t>
  </si>
  <si>
    <t>OR0122</t>
  </si>
  <si>
    <t>OR0123</t>
  </si>
  <si>
    <t>OR0124</t>
  </si>
  <si>
    <t>OR0125</t>
  </si>
  <si>
    <t>OR0126</t>
  </si>
  <si>
    <t>OR0127</t>
  </si>
  <si>
    <t>OR0128</t>
  </si>
  <si>
    <t>OR0129</t>
  </si>
  <si>
    <t>OR0130</t>
  </si>
  <si>
    <t>OR0131</t>
  </si>
  <si>
    <t>OR0132</t>
  </si>
  <si>
    <t>OR0133</t>
  </si>
  <si>
    <t>OR0134</t>
  </si>
  <si>
    <t>OR0135</t>
  </si>
  <si>
    <t>OR0136</t>
  </si>
  <si>
    <t>OR0137</t>
  </si>
  <si>
    <t>OR0138</t>
  </si>
  <si>
    <t>OR0139</t>
  </si>
  <si>
    <t>OR0140</t>
  </si>
  <si>
    <t>OR0141</t>
  </si>
  <si>
    <t>OR0142</t>
  </si>
  <si>
    <t>OR0143</t>
  </si>
  <si>
    <t>OR0144</t>
  </si>
  <si>
    <t>OR0145</t>
  </si>
  <si>
    <t>OR0146</t>
  </si>
  <si>
    <t>OR0147</t>
  </si>
  <si>
    <t>OR0148</t>
  </si>
  <si>
    <t>OR0149</t>
  </si>
  <si>
    <t>OR0150</t>
  </si>
  <si>
    <t>OR0151</t>
  </si>
  <si>
    <t>OR0152</t>
  </si>
  <si>
    <t>OR0153</t>
  </si>
  <si>
    <t>OR0154</t>
  </si>
  <si>
    <t>OR0155</t>
  </si>
  <si>
    <t>OR0156</t>
  </si>
  <si>
    <t>OR0157</t>
  </si>
  <si>
    <t>OR0158</t>
  </si>
  <si>
    <t>OR0159</t>
  </si>
  <si>
    <t>OR0160</t>
  </si>
  <si>
    <t>OR0161</t>
  </si>
  <si>
    <t>OR0162</t>
  </si>
  <si>
    <t>OR0163</t>
  </si>
  <si>
    <t>OR0164</t>
  </si>
  <si>
    <t>OR0165</t>
  </si>
  <si>
    <t>OR0166</t>
  </si>
  <si>
    <t>OR0167</t>
  </si>
  <si>
    <t>OR0168</t>
  </si>
  <si>
    <t>OR0169</t>
  </si>
  <si>
    <t>OR0170</t>
  </si>
  <si>
    <t>OR0171</t>
  </si>
  <si>
    <t>OR0172</t>
  </si>
  <si>
    <t>OR0173</t>
  </si>
  <si>
    <t>OR0174</t>
  </si>
  <si>
    <t>OR0175</t>
  </si>
  <si>
    <t>OR0176</t>
  </si>
  <si>
    <t>OR0177</t>
  </si>
  <si>
    <t>OR0178</t>
  </si>
  <si>
    <t>OR0179</t>
  </si>
  <si>
    <t>OR0180</t>
  </si>
  <si>
    <t>OR0181</t>
  </si>
  <si>
    <t>OR0182</t>
  </si>
  <si>
    <t>OR0183</t>
  </si>
  <si>
    <t>OR0184</t>
  </si>
  <si>
    <t>OR0185</t>
  </si>
  <si>
    <t>OR0186</t>
  </si>
  <si>
    <t>OR0187</t>
  </si>
  <si>
    <t>OR0188</t>
  </si>
  <si>
    <t>OR0189</t>
  </si>
  <si>
    <t>OR0190</t>
  </si>
  <si>
    <t>OR0191</t>
  </si>
  <si>
    <t>OR0192</t>
  </si>
  <si>
    <t>OR0193</t>
  </si>
  <si>
    <t>OR0194</t>
  </si>
  <si>
    <t>OR0195</t>
  </si>
  <si>
    <t>OR0196</t>
  </si>
  <si>
    <t>OR0197</t>
  </si>
  <si>
    <t>OR0198</t>
  </si>
  <si>
    <t>OR0199</t>
  </si>
  <si>
    <t>OR0200</t>
  </si>
  <si>
    <t>OR0201</t>
  </si>
  <si>
    <t>OR0202</t>
  </si>
  <si>
    <t>OR0203</t>
  </si>
  <si>
    <t>OR0204</t>
  </si>
  <si>
    <t>OR0205</t>
  </si>
  <si>
    <t>OR0206</t>
  </si>
  <si>
    <t>OR0207</t>
  </si>
  <si>
    <t>OR0208</t>
  </si>
  <si>
    <t>OR0209</t>
  </si>
  <si>
    <t>OR0210</t>
  </si>
  <si>
    <t>OR0211</t>
  </si>
  <si>
    <t>OR0212</t>
  </si>
  <si>
    <t>OR0213</t>
  </si>
  <si>
    <t>OR0214</t>
  </si>
  <si>
    <t>OR0215</t>
  </si>
  <si>
    <t>OR0216</t>
  </si>
  <si>
    <t>OR0217</t>
  </si>
  <si>
    <t>OR0218</t>
  </si>
  <si>
    <t>OR0219</t>
  </si>
  <si>
    <t>OR0220</t>
  </si>
  <si>
    <t>OR0221</t>
  </si>
  <si>
    <t>OR0222</t>
  </si>
  <si>
    <t>OR0223</t>
  </si>
  <si>
    <t>OR0224</t>
  </si>
  <si>
    <t>OR0225</t>
  </si>
  <si>
    <t>OR0226</t>
  </si>
  <si>
    <t>OR0227</t>
  </si>
  <si>
    <t>OR0228</t>
  </si>
  <si>
    <t>OR0229</t>
  </si>
  <si>
    <t>OR0230</t>
  </si>
  <si>
    <t>OR0231</t>
  </si>
  <si>
    <t>OR0232</t>
  </si>
  <si>
    <t>OR0233</t>
  </si>
  <si>
    <t>OR0234</t>
  </si>
  <si>
    <t>OR0235</t>
  </si>
  <si>
    <t>OR0236</t>
  </si>
  <si>
    <t>OR0237</t>
  </si>
  <si>
    <t>OR0238</t>
  </si>
  <si>
    <t>OR0239</t>
  </si>
  <si>
    <t>OR0240</t>
  </si>
  <si>
    <t>OR0241</t>
  </si>
  <si>
    <t>OR0242</t>
  </si>
  <si>
    <t>OR0243</t>
  </si>
  <si>
    <t>OR0244</t>
  </si>
  <si>
    <t>OR0245</t>
  </si>
  <si>
    <t>OR0246</t>
  </si>
  <si>
    <t>OR0247</t>
  </si>
  <si>
    <t>OR0248</t>
  </si>
  <si>
    <t>OR0249</t>
  </si>
  <si>
    <t>OR0250</t>
  </si>
  <si>
    <t>OR0251</t>
  </si>
  <si>
    <t>OR0252</t>
  </si>
  <si>
    <t>OR0253</t>
  </si>
  <si>
    <t>OR0254</t>
  </si>
  <si>
    <t>OR0255</t>
  </si>
  <si>
    <t>OR0256</t>
  </si>
  <si>
    <t>OR0257</t>
  </si>
  <si>
    <t>OR0258</t>
  </si>
  <si>
    <t>OR0259</t>
  </si>
  <si>
    <t>OR0260</t>
  </si>
  <si>
    <t>OR0261</t>
  </si>
  <si>
    <t>OR0262</t>
  </si>
  <si>
    <t>OR0263</t>
  </si>
  <si>
    <t>OR0264</t>
  </si>
  <si>
    <t>OR0265</t>
  </si>
  <si>
    <t>OR0266</t>
  </si>
  <si>
    <t>OR0267</t>
  </si>
  <si>
    <t>OR0268</t>
  </si>
  <si>
    <t>OR0269</t>
  </si>
  <si>
    <t>OR0270</t>
  </si>
  <si>
    <t>OR0271</t>
  </si>
  <si>
    <t>OR0272</t>
  </si>
  <si>
    <t>OR0273</t>
  </si>
  <si>
    <t>OR0274</t>
  </si>
  <si>
    <t>OR0275</t>
  </si>
  <si>
    <t>OR0276</t>
  </si>
  <si>
    <t>OR0277</t>
  </si>
  <si>
    <t>OR0278</t>
  </si>
  <si>
    <t>OR0279</t>
  </si>
  <si>
    <t>OR0280</t>
  </si>
  <si>
    <t>OR0281</t>
  </si>
  <si>
    <t>OR0282</t>
  </si>
  <si>
    <t>OR0283</t>
  </si>
  <si>
    <t>OR0284</t>
  </si>
  <si>
    <t>OR0285</t>
  </si>
  <si>
    <t>OR0286</t>
  </si>
  <si>
    <t>OR0287</t>
  </si>
  <si>
    <t>OR0288</t>
  </si>
  <si>
    <t>OR0289</t>
  </si>
  <si>
    <t>OR0290</t>
  </si>
  <si>
    <t>OR0291</t>
  </si>
  <si>
    <t>OR0292</t>
  </si>
  <si>
    <t>OR0293</t>
  </si>
  <si>
    <t>OR0294</t>
  </si>
  <si>
    <t>OR0295</t>
  </si>
  <si>
    <t>OR0296</t>
  </si>
  <si>
    <t>OR0297</t>
  </si>
  <si>
    <t>OR0298</t>
  </si>
  <si>
    <t>OR0299</t>
  </si>
  <si>
    <t>OR0300</t>
  </si>
  <si>
    <t>OR0301</t>
  </si>
  <si>
    <t>OR0302</t>
  </si>
  <si>
    <t>OR0303</t>
  </si>
  <si>
    <t>OR0304</t>
  </si>
  <si>
    <t>OR0305</t>
  </si>
  <si>
    <t>OR0306</t>
  </si>
  <si>
    <t>OR0307</t>
  </si>
  <si>
    <t>OR0308</t>
  </si>
  <si>
    <t>OR0309</t>
  </si>
  <si>
    <t>OR0310</t>
  </si>
  <si>
    <t>OR0311</t>
  </si>
  <si>
    <t>OR0312</t>
  </si>
  <si>
    <t>OR0313</t>
  </si>
  <si>
    <t>OR0314</t>
  </si>
  <si>
    <t>OR0315</t>
  </si>
  <si>
    <t>OR0316</t>
  </si>
  <si>
    <t>OR0317</t>
  </si>
  <si>
    <t>OR0318</t>
  </si>
  <si>
    <t>OR0319</t>
  </si>
  <si>
    <t>OR0320</t>
  </si>
  <si>
    <t>OR0321</t>
  </si>
  <si>
    <t>OR0322</t>
  </si>
  <si>
    <t>OR0323</t>
  </si>
  <si>
    <t>OR0324</t>
  </si>
  <si>
    <t>OR0325</t>
  </si>
  <si>
    <t>OR0326</t>
  </si>
  <si>
    <t>OR0327</t>
  </si>
  <si>
    <t>OR0328</t>
  </si>
  <si>
    <t>OR0329</t>
  </si>
  <si>
    <t>OR0330</t>
  </si>
  <si>
    <t>OR0331</t>
  </si>
  <si>
    <t>OR0332</t>
  </si>
  <si>
    <t>OR0333</t>
  </si>
  <si>
    <t>OR0334</t>
  </si>
  <si>
    <t>OR0335</t>
  </si>
  <si>
    <t>OR0336</t>
  </si>
  <si>
    <t>OR0337</t>
  </si>
  <si>
    <t>OR0338</t>
  </si>
  <si>
    <t>OR0339</t>
  </si>
  <si>
    <t>OR0340</t>
  </si>
  <si>
    <t>OR0341</t>
  </si>
  <si>
    <t>OR0342</t>
  </si>
  <si>
    <t>OR0343</t>
  </si>
  <si>
    <t>OR0344</t>
  </si>
  <si>
    <t>OR0345</t>
  </si>
  <si>
    <t>OR0346</t>
  </si>
  <si>
    <t>OR0347</t>
  </si>
  <si>
    <t>OR0348</t>
  </si>
  <si>
    <t>OR0349</t>
  </si>
  <si>
    <t>OR0350</t>
  </si>
  <si>
    <t>OR0351</t>
  </si>
  <si>
    <t>OR0352</t>
  </si>
  <si>
    <t>OR0353</t>
  </si>
  <si>
    <t>OR0354</t>
  </si>
  <si>
    <t>OR0355</t>
  </si>
  <si>
    <t>OR0356</t>
  </si>
  <si>
    <t>OR0357</t>
  </si>
  <si>
    <t>OR0358</t>
  </si>
  <si>
    <t>OR0359</t>
  </si>
  <si>
    <t>OR0360</t>
  </si>
  <si>
    <t>OR0361</t>
  </si>
  <si>
    <t>OR0362</t>
  </si>
  <si>
    <t>OR0363</t>
  </si>
  <si>
    <t>OR0364</t>
  </si>
  <si>
    <t>OR0365</t>
  </si>
  <si>
    <t>OR0366</t>
  </si>
  <si>
    <t>OR0367</t>
  </si>
  <si>
    <t>OR0368</t>
  </si>
  <si>
    <t>OR0369</t>
  </si>
  <si>
    <t>OR0370</t>
  </si>
  <si>
    <t>OR0371</t>
  </si>
  <si>
    <t>OR0372</t>
  </si>
  <si>
    <t>OR0373</t>
  </si>
  <si>
    <t>OR0374</t>
  </si>
  <si>
    <t>OR0375</t>
  </si>
  <si>
    <t>OR0376</t>
  </si>
  <si>
    <t>OR0377</t>
  </si>
  <si>
    <t>OR0378</t>
  </si>
  <si>
    <t>OR0379</t>
  </si>
  <si>
    <t>OR0380</t>
  </si>
  <si>
    <t>OR0381</t>
  </si>
  <si>
    <t>OR0382</t>
  </si>
  <si>
    <t>OR0383</t>
  </si>
  <si>
    <t>OR0384</t>
  </si>
  <si>
    <t>OR0385</t>
  </si>
  <si>
    <t>OR0386</t>
  </si>
  <si>
    <t>OR0387</t>
  </si>
  <si>
    <t>OR0388</t>
  </si>
  <si>
    <t>OR0389</t>
  </si>
  <si>
    <t>OR0390</t>
  </si>
  <si>
    <t>OR0391</t>
  </si>
  <si>
    <t>OR0392</t>
  </si>
  <si>
    <t>OR0393</t>
  </si>
  <si>
    <t>OR0394</t>
  </si>
  <si>
    <t>OR0395</t>
  </si>
  <si>
    <t>OR0396</t>
  </si>
  <si>
    <t>OR0397</t>
  </si>
  <si>
    <t>OR0398</t>
  </si>
  <si>
    <t>OR0399</t>
  </si>
  <si>
    <t>OR0400</t>
  </si>
  <si>
    <t>OR0401</t>
  </si>
  <si>
    <t>OR0402</t>
  </si>
  <si>
    <t>OR0403</t>
  </si>
  <si>
    <t>OR0404</t>
  </si>
  <si>
    <t>OR0405</t>
  </si>
  <si>
    <t>OR0406</t>
  </si>
  <si>
    <t>OR0407</t>
  </si>
  <si>
    <t>OR0408</t>
  </si>
  <si>
    <t>OR0409</t>
  </si>
  <si>
    <t>OR0410</t>
  </si>
  <si>
    <t>OR0411</t>
  </si>
  <si>
    <t>OR0412</t>
  </si>
  <si>
    <t>OR0413</t>
  </si>
  <si>
    <t>OR0414</t>
  </si>
  <si>
    <t>OR0415</t>
  </si>
  <si>
    <t>OR0416</t>
  </si>
  <si>
    <t>OR0417</t>
  </si>
  <si>
    <t>OR0418</t>
  </si>
  <si>
    <t>OR0419</t>
  </si>
  <si>
    <t>OR0420</t>
  </si>
  <si>
    <t>OR0421</t>
  </si>
  <si>
    <t>OR0422</t>
  </si>
  <si>
    <t>OR0423</t>
  </si>
  <si>
    <t>OR0424</t>
  </si>
  <si>
    <t>OR0425</t>
  </si>
  <si>
    <t>OR0426</t>
  </si>
  <si>
    <t>OR0427</t>
  </si>
  <si>
    <t>OR0428</t>
  </si>
  <si>
    <t>OR0429</t>
  </si>
  <si>
    <t>OR0430</t>
  </si>
  <si>
    <t>OR0431</t>
  </si>
  <si>
    <t>OR0432</t>
  </si>
  <si>
    <t>OR0433</t>
  </si>
  <si>
    <t>OR0434</t>
  </si>
  <si>
    <t>OR0435</t>
  </si>
  <si>
    <t>OR0436</t>
  </si>
  <si>
    <t>OR0437</t>
  </si>
  <si>
    <t>OR0438</t>
  </si>
  <si>
    <t>OR0439</t>
  </si>
  <si>
    <t>OR0440</t>
  </si>
  <si>
    <t>OR0441</t>
  </si>
  <si>
    <t>OR0442</t>
  </si>
  <si>
    <t>OR0443</t>
  </si>
  <si>
    <t>OR0444</t>
  </si>
  <si>
    <t>OR0445</t>
  </si>
  <si>
    <t>OR0446</t>
  </si>
  <si>
    <t>OR0447</t>
  </si>
  <si>
    <t>OR0448</t>
  </si>
  <si>
    <t>OR0449</t>
  </si>
  <si>
    <t>OR0450</t>
  </si>
  <si>
    <t>OR0451</t>
  </si>
  <si>
    <t>OR0452</t>
  </si>
  <si>
    <t>OR0453</t>
  </si>
  <si>
    <t>OR0454</t>
  </si>
  <si>
    <t>OR0455</t>
  </si>
  <si>
    <t>OR0456</t>
  </si>
  <si>
    <t>OR0457</t>
  </si>
  <si>
    <t>OR0458</t>
  </si>
  <si>
    <t>OR0459</t>
  </si>
  <si>
    <t>OR0460</t>
  </si>
  <si>
    <t>OR0461</t>
  </si>
  <si>
    <t>OR0462</t>
  </si>
  <si>
    <t>OR0463</t>
  </si>
  <si>
    <t>OR0464</t>
  </si>
  <si>
    <t>OR0465</t>
  </si>
  <si>
    <t>OR0466</t>
  </si>
  <si>
    <t>OR0467</t>
  </si>
  <si>
    <t>OR0468</t>
  </si>
  <si>
    <t>OR0469</t>
  </si>
  <si>
    <t>OR0470</t>
  </si>
  <si>
    <t>OR0471</t>
  </si>
  <si>
    <t>OR0472</t>
  </si>
  <si>
    <t>OR0473</t>
  </si>
  <si>
    <t>OR0474</t>
  </si>
  <si>
    <t>OR0475</t>
  </si>
  <si>
    <t>OR0476</t>
  </si>
  <si>
    <t>OR0477</t>
  </si>
  <si>
    <t>OR0478</t>
  </si>
  <si>
    <t>OR0479</t>
  </si>
  <si>
    <t>OR0480</t>
  </si>
  <si>
    <t>OR0481</t>
  </si>
  <si>
    <t>OR0482</t>
  </si>
  <si>
    <t>OR0483</t>
  </si>
  <si>
    <t>OR0484</t>
  </si>
  <si>
    <t>OR0485</t>
  </si>
  <si>
    <t>OR0486</t>
  </si>
  <si>
    <t>OR0487</t>
  </si>
  <si>
    <t>OR0488</t>
  </si>
  <si>
    <t>OR0489</t>
  </si>
  <si>
    <t>OR0490</t>
  </si>
  <si>
    <t>OR0491</t>
  </si>
  <si>
    <t>OR0492</t>
  </si>
  <si>
    <t>OR0493</t>
  </si>
  <si>
    <t>OR0494</t>
  </si>
  <si>
    <t>OR0495</t>
  </si>
  <si>
    <t>OR0496</t>
  </si>
  <si>
    <t>OR0497</t>
  </si>
  <si>
    <t>OR0498</t>
  </si>
  <si>
    <t>OR0499</t>
  </si>
  <si>
    <t>OR0500</t>
  </si>
  <si>
    <t>OR0501</t>
  </si>
  <si>
    <t>OR0502</t>
  </si>
  <si>
    <t>OR0503</t>
  </si>
  <si>
    <t>OR0504</t>
  </si>
  <si>
    <t>OR0505</t>
  </si>
  <si>
    <t>OR0506</t>
  </si>
  <si>
    <t>OR0507</t>
  </si>
  <si>
    <t>OR0508</t>
  </si>
  <si>
    <t>OR0509</t>
  </si>
  <si>
    <t>OR0510</t>
  </si>
  <si>
    <t>OR0511</t>
  </si>
  <si>
    <t>OR0512</t>
  </si>
  <si>
    <t>OR0513</t>
  </si>
  <si>
    <t>OR0514</t>
  </si>
  <si>
    <t>OR0515</t>
  </si>
  <si>
    <t>OR0516</t>
  </si>
  <si>
    <t>OR0517</t>
  </si>
  <si>
    <t>OR0518</t>
  </si>
  <si>
    <t>OR0519</t>
  </si>
  <si>
    <t>OR0520</t>
  </si>
  <si>
    <t>OR0521</t>
  </si>
  <si>
    <t>OR0522</t>
  </si>
  <si>
    <t>OR0523</t>
  </si>
  <si>
    <t>OR0524</t>
  </si>
  <si>
    <t>OR0525</t>
  </si>
  <si>
    <t>OR0526</t>
  </si>
  <si>
    <t>OR0527</t>
  </si>
  <si>
    <t>OR0528</t>
  </si>
  <si>
    <t>OR0529</t>
  </si>
  <si>
    <t>OR0530</t>
  </si>
  <si>
    <t>OR0531</t>
  </si>
  <si>
    <t>OR0532</t>
  </si>
  <si>
    <t>OR0533</t>
  </si>
  <si>
    <t>OR0534</t>
  </si>
  <si>
    <t>OR0535</t>
  </si>
  <si>
    <t>OR0536</t>
  </si>
  <si>
    <t>OR0537</t>
  </si>
  <si>
    <t>OR0538</t>
  </si>
  <si>
    <t>OR0539</t>
  </si>
  <si>
    <t>OR0540</t>
  </si>
  <si>
    <t>OR0541</t>
  </si>
  <si>
    <t>OR0542</t>
  </si>
  <si>
    <t>OR0543</t>
  </si>
  <si>
    <t>OR0544</t>
  </si>
  <si>
    <t>OR0545</t>
  </si>
  <si>
    <t>OR0546</t>
  </si>
  <si>
    <t>OR0547</t>
  </si>
  <si>
    <t>OR0548</t>
  </si>
  <si>
    <t>OR0549</t>
  </si>
  <si>
    <t>OR0550</t>
  </si>
  <si>
    <t>OR0551</t>
  </si>
  <si>
    <t>OR0552</t>
  </si>
  <si>
    <t>OR0553</t>
  </si>
  <si>
    <t>OR0554</t>
  </si>
  <si>
    <t>OR0555</t>
  </si>
  <si>
    <t>OR0556</t>
  </si>
  <si>
    <t>OR0557</t>
  </si>
  <si>
    <t>OR0558</t>
  </si>
  <si>
    <t>OR0559</t>
  </si>
  <si>
    <t>OR0560</t>
  </si>
  <si>
    <t>OR0561</t>
  </si>
  <si>
    <t>OR0562</t>
  </si>
  <si>
    <t>OR0563</t>
  </si>
  <si>
    <t>OR0564</t>
  </si>
  <si>
    <t>OR0565</t>
  </si>
  <si>
    <t>OR0566</t>
  </si>
  <si>
    <t>OR0567</t>
  </si>
  <si>
    <t>OR0568</t>
  </si>
  <si>
    <t>OR0569</t>
  </si>
  <si>
    <t>OR0570</t>
  </si>
  <si>
    <t>OR0571</t>
  </si>
  <si>
    <t>OR0572</t>
  </si>
  <si>
    <t>OR0573</t>
  </si>
  <si>
    <t>OR0574</t>
  </si>
  <si>
    <t>OR0575</t>
  </si>
  <si>
    <t>OR0576</t>
  </si>
  <si>
    <t>OR0577</t>
  </si>
  <si>
    <t>OR0578</t>
  </si>
  <si>
    <t>OR0579</t>
  </si>
  <si>
    <t>OR0580</t>
  </si>
  <si>
    <t>OR0581</t>
  </si>
  <si>
    <t>OR0582</t>
  </si>
  <si>
    <t>OR0583</t>
  </si>
  <si>
    <t>OR0584</t>
  </si>
  <si>
    <t>OR0585</t>
  </si>
  <si>
    <t>OR0586</t>
  </si>
  <si>
    <t>OR0587</t>
  </si>
  <si>
    <t>OR0588</t>
  </si>
  <si>
    <t>OR0589</t>
  </si>
  <si>
    <t>OR0590</t>
  </si>
  <si>
    <t>OR0591</t>
  </si>
  <si>
    <t>OR0592</t>
  </si>
  <si>
    <t>OR0593</t>
  </si>
  <si>
    <t>OR0594</t>
  </si>
  <si>
    <t>OR0595</t>
  </si>
  <si>
    <t>OR0596</t>
  </si>
  <si>
    <t>OR0597</t>
  </si>
  <si>
    <t>OR0598</t>
  </si>
  <si>
    <t>OR0599</t>
  </si>
  <si>
    <t>OR0600</t>
  </si>
  <si>
    <t>OR0601</t>
  </si>
  <si>
    <t>OR0602</t>
  </si>
  <si>
    <t>OR0603</t>
  </si>
  <si>
    <t>OR0604</t>
  </si>
  <si>
    <t>OR0605</t>
  </si>
  <si>
    <t>OR0606</t>
  </si>
  <si>
    <t>OR0607</t>
  </si>
  <si>
    <t>OR0608</t>
  </si>
  <si>
    <t>OR0609</t>
  </si>
  <si>
    <t>OR0610</t>
  </si>
  <si>
    <t>OR0611</t>
  </si>
  <si>
    <t>OR0612</t>
  </si>
  <si>
    <t>OR0613</t>
  </si>
  <si>
    <t>OR0614</t>
  </si>
  <si>
    <t>OR0615</t>
  </si>
  <si>
    <t>OR0616</t>
  </si>
  <si>
    <t>OR0617</t>
  </si>
  <si>
    <t>OR0618</t>
  </si>
  <si>
    <t>OR0619</t>
  </si>
  <si>
    <t>OR0620</t>
  </si>
  <si>
    <t>OR0621</t>
  </si>
  <si>
    <t>OR0622</t>
  </si>
  <si>
    <t>OR0623</t>
  </si>
  <si>
    <t>OR0624</t>
  </si>
  <si>
    <t>OR0625</t>
  </si>
  <si>
    <t>OR0626</t>
  </si>
  <si>
    <t>OR0627</t>
  </si>
  <si>
    <t>OR0628</t>
  </si>
  <si>
    <t>OR0629</t>
  </si>
  <si>
    <t>OR0630</t>
  </si>
  <si>
    <t>OR0631</t>
  </si>
  <si>
    <t>OR0632</t>
  </si>
  <si>
    <t>OR0633</t>
  </si>
  <si>
    <t>OR0634</t>
  </si>
  <si>
    <t>OR0635</t>
  </si>
  <si>
    <t>OR0636</t>
  </si>
  <si>
    <t>OR0637</t>
  </si>
  <si>
    <t>OR0638</t>
  </si>
  <si>
    <t>OR0639</t>
  </si>
  <si>
    <t>OR0640</t>
  </si>
  <si>
    <t>OR0641</t>
  </si>
  <si>
    <t>OR0642</t>
  </si>
  <si>
    <t>OR0643</t>
  </si>
  <si>
    <t>OR0644</t>
  </si>
  <si>
    <t>OR0645</t>
  </si>
  <si>
    <t>OR0646</t>
  </si>
  <si>
    <t>OR0647</t>
  </si>
  <si>
    <t>OR0648</t>
  </si>
  <si>
    <t>OR0649</t>
  </si>
  <si>
    <t>OR0650</t>
  </si>
  <si>
    <t>OR0651</t>
  </si>
  <si>
    <t>OR0652</t>
  </si>
  <si>
    <t>OR0653</t>
  </si>
  <si>
    <t>OR0654</t>
  </si>
  <si>
    <t>OR0655</t>
  </si>
  <si>
    <t>OR0656</t>
  </si>
  <si>
    <t>OR0657</t>
  </si>
  <si>
    <t>OR0658</t>
  </si>
  <si>
    <t>OR0659</t>
  </si>
  <si>
    <t>OR0660</t>
  </si>
  <si>
    <t>OR0661</t>
  </si>
  <si>
    <t>OR0662</t>
  </si>
  <si>
    <t>OR0663</t>
  </si>
  <si>
    <t>OR0664</t>
  </si>
  <si>
    <t>OR0665</t>
  </si>
  <si>
    <t>OR0666</t>
  </si>
  <si>
    <t>OR0667</t>
  </si>
  <si>
    <t>OR0668</t>
  </si>
  <si>
    <t>OR0669</t>
  </si>
  <si>
    <t>OR0670</t>
  </si>
  <si>
    <t>OR0671</t>
  </si>
  <si>
    <t>OR0672</t>
  </si>
  <si>
    <t>OR0673</t>
  </si>
  <si>
    <t>OR0674</t>
  </si>
  <si>
    <t>OR0675</t>
  </si>
  <si>
    <t>OR0676</t>
  </si>
  <si>
    <t>OR0677</t>
  </si>
  <si>
    <t>OR0678</t>
  </si>
  <si>
    <t>OR0679</t>
  </si>
  <si>
    <t>OR0680</t>
  </si>
  <si>
    <t>OR0681</t>
  </si>
  <si>
    <t>OR0682</t>
  </si>
  <si>
    <t>OR0683</t>
  </si>
  <si>
    <t>OR0684</t>
  </si>
  <si>
    <t>OR0685</t>
  </si>
  <si>
    <t>OR0686</t>
  </si>
  <si>
    <t>OR0687</t>
  </si>
  <si>
    <t>OR0688</t>
  </si>
  <si>
    <t>OR0689</t>
  </si>
  <si>
    <t>OR0690</t>
  </si>
  <si>
    <t>OR0691</t>
  </si>
  <si>
    <t>OR0692</t>
  </si>
  <si>
    <t>OR0693</t>
  </si>
  <si>
    <t>OR0694</t>
  </si>
  <si>
    <t>OR0695</t>
  </si>
  <si>
    <t>OR0696</t>
  </si>
  <si>
    <t>OR0697</t>
  </si>
  <si>
    <t>OR0698</t>
  </si>
  <si>
    <t>OR0699</t>
  </si>
  <si>
    <t>OR0700</t>
  </si>
  <si>
    <t>OR0701</t>
  </si>
  <si>
    <t>OR0702</t>
  </si>
  <si>
    <t>OR0703</t>
  </si>
  <si>
    <t>OR0704</t>
  </si>
  <si>
    <t>OR0705</t>
  </si>
  <si>
    <t>OR0706</t>
  </si>
  <si>
    <t>OR0707</t>
  </si>
  <si>
    <t>OR0708</t>
  </si>
  <si>
    <t>OR0709</t>
  </si>
  <si>
    <t>OR0710</t>
  </si>
  <si>
    <t>OR0711</t>
  </si>
  <si>
    <t>OR0712</t>
  </si>
  <si>
    <t>OR0713</t>
  </si>
  <si>
    <t>OR0714</t>
  </si>
  <si>
    <t>OR0715</t>
  </si>
  <si>
    <t>OR0716</t>
  </si>
  <si>
    <t>OR0717</t>
  </si>
  <si>
    <t>OR0718</t>
  </si>
  <si>
    <t>OR0719</t>
  </si>
  <si>
    <t>OR0720</t>
  </si>
  <si>
    <t>OR0721</t>
  </si>
  <si>
    <t>OR0722</t>
  </si>
  <si>
    <t>OR0723</t>
  </si>
  <si>
    <t>OR0724</t>
  </si>
  <si>
    <t>OR0725</t>
  </si>
  <si>
    <t>OR0726</t>
  </si>
  <si>
    <t>OR0727</t>
  </si>
  <si>
    <t>OR0728</t>
  </si>
  <si>
    <t>OR0729</t>
  </si>
  <si>
    <t>OR0730</t>
  </si>
  <si>
    <t>OR0731</t>
  </si>
  <si>
    <t>OR0732</t>
  </si>
  <si>
    <t>OR0733</t>
  </si>
  <si>
    <t>OR0734</t>
  </si>
  <si>
    <t>OR0735</t>
  </si>
  <si>
    <t>OR0736</t>
  </si>
  <si>
    <t>OR0737</t>
  </si>
  <si>
    <t>OR0738</t>
  </si>
  <si>
    <t>OR0739</t>
  </si>
  <si>
    <t>OR0740</t>
  </si>
  <si>
    <t>OR0741</t>
  </si>
  <si>
    <t>OR0742</t>
  </si>
  <si>
    <t>OR0743</t>
  </si>
  <si>
    <t>OR0744</t>
  </si>
  <si>
    <t>OR0745</t>
  </si>
  <si>
    <t>OR0746</t>
  </si>
  <si>
    <t>OR0747</t>
  </si>
  <si>
    <t>OR0748</t>
  </si>
  <si>
    <t>OR0749</t>
  </si>
  <si>
    <t>OR0750</t>
  </si>
  <si>
    <t>OR0751</t>
  </si>
  <si>
    <t>OR0752</t>
  </si>
  <si>
    <t>OR0753</t>
  </si>
  <si>
    <t>OR0754</t>
  </si>
  <si>
    <t>OR0755</t>
  </si>
  <si>
    <t>OR0756</t>
  </si>
  <si>
    <t>OR0757</t>
  </si>
  <si>
    <t>OR0758</t>
  </si>
  <si>
    <t>OR0759</t>
  </si>
  <si>
    <t>OR0760</t>
  </si>
  <si>
    <t>OR0761</t>
  </si>
  <si>
    <t>OR0762</t>
  </si>
  <si>
    <t>OR0763</t>
  </si>
  <si>
    <t>OR0764</t>
  </si>
  <si>
    <t>OR0765</t>
  </si>
  <si>
    <t>OR0766</t>
  </si>
  <si>
    <t>OR0767</t>
  </si>
  <si>
    <t>OR0768</t>
  </si>
  <si>
    <t>OR0769</t>
  </si>
  <si>
    <t>OR0770</t>
  </si>
  <si>
    <t>OR0771</t>
  </si>
  <si>
    <t>OR0772</t>
  </si>
  <si>
    <t>OR0773</t>
  </si>
  <si>
    <t>OR0774</t>
  </si>
  <si>
    <t>OR0775</t>
  </si>
  <si>
    <t>OR0776</t>
  </si>
  <si>
    <t>OR0777</t>
  </si>
  <si>
    <t>OR0778</t>
  </si>
  <si>
    <t>OR0779</t>
  </si>
  <si>
    <t>OR0780</t>
  </si>
  <si>
    <t>OR0781</t>
  </si>
  <si>
    <t>OR0782</t>
  </si>
  <si>
    <t>OR0783</t>
  </si>
  <si>
    <t>OR0784</t>
  </si>
  <si>
    <t>OR0785</t>
  </si>
  <si>
    <t>OR0786</t>
  </si>
  <si>
    <t>OR0787</t>
  </si>
  <si>
    <t>OR0788</t>
  </si>
  <si>
    <t>OR0789</t>
  </si>
  <si>
    <t>OR0790</t>
  </si>
  <si>
    <t>OR0791</t>
  </si>
  <si>
    <t>OR0792</t>
  </si>
  <si>
    <t>OR0793</t>
  </si>
  <si>
    <t>OR0794</t>
  </si>
  <si>
    <t>OR0795</t>
  </si>
  <si>
    <t>OR0796</t>
  </si>
  <si>
    <t>OR0797</t>
  </si>
  <si>
    <t>OR0798</t>
  </si>
  <si>
    <t>OR0799</t>
  </si>
  <si>
    <t>OR0800</t>
  </si>
  <si>
    <t>OR0801</t>
  </si>
  <si>
    <t>OR0802</t>
  </si>
  <si>
    <t>OR0803</t>
  </si>
  <si>
    <t>OR0804</t>
  </si>
  <si>
    <t>OR0805</t>
  </si>
  <si>
    <t>OR0806</t>
  </si>
  <si>
    <t>OR0807</t>
  </si>
  <si>
    <t>OR0808</t>
  </si>
  <si>
    <t>OR0809</t>
  </si>
  <si>
    <t>OR0810</t>
  </si>
  <si>
    <t>OR0811</t>
  </si>
  <si>
    <t>OR0812</t>
  </si>
  <si>
    <t>OR0813</t>
  </si>
  <si>
    <t>OR0814</t>
  </si>
  <si>
    <t>OR0815</t>
  </si>
  <si>
    <t>OR0816</t>
  </si>
  <si>
    <t>OR0817</t>
  </si>
  <si>
    <t>OR0818</t>
  </si>
  <si>
    <t>OR0819</t>
  </si>
  <si>
    <t>OR0820</t>
  </si>
  <si>
    <t>OR0821</t>
  </si>
  <si>
    <t>OR0822</t>
  </si>
  <si>
    <t>OR0823</t>
  </si>
  <si>
    <t>OR0824</t>
  </si>
  <si>
    <t>OR0825</t>
  </si>
  <si>
    <t>OR0826</t>
  </si>
  <si>
    <t>OR0827</t>
  </si>
  <si>
    <t>OR0828</t>
  </si>
  <si>
    <t>OR0829</t>
  </si>
  <si>
    <t>OR0830</t>
  </si>
  <si>
    <t>OR0831</t>
  </si>
  <si>
    <t>OR0832</t>
  </si>
  <si>
    <t>OR0833</t>
  </si>
  <si>
    <t>OR0834</t>
  </si>
  <si>
    <t>OR0835</t>
  </si>
  <si>
    <t>OR0836</t>
  </si>
  <si>
    <t>OR0837</t>
  </si>
  <si>
    <t>OR0838</t>
  </si>
  <si>
    <t>OR0839</t>
  </si>
  <si>
    <t>OR0840</t>
  </si>
  <si>
    <t>OR0841</t>
  </si>
  <si>
    <t>OR0842</t>
  </si>
  <si>
    <t>OR0843</t>
  </si>
  <si>
    <t>OR0844</t>
  </si>
  <si>
    <t>OR0845</t>
  </si>
  <si>
    <t>OR0846</t>
  </si>
  <si>
    <t>OR0847</t>
  </si>
  <si>
    <t>OR0848</t>
  </si>
  <si>
    <t>OR0849</t>
  </si>
  <si>
    <t>OR0850</t>
  </si>
  <si>
    <t>OR0851</t>
  </si>
  <si>
    <t>OR0852</t>
  </si>
  <si>
    <t>OR0853</t>
  </si>
  <si>
    <t>OR0854</t>
  </si>
  <si>
    <t>OR0855</t>
  </si>
  <si>
    <t>OR0856</t>
  </si>
  <si>
    <t>OR0857</t>
  </si>
  <si>
    <t>OR0858</t>
  </si>
  <si>
    <t>OR0859</t>
  </si>
  <si>
    <t>OR0860</t>
  </si>
  <si>
    <t>OR0861</t>
  </si>
  <si>
    <t>OR0862</t>
  </si>
  <si>
    <t>OR0863</t>
  </si>
  <si>
    <t>OR0864</t>
  </si>
  <si>
    <t>OR0865</t>
  </si>
  <si>
    <t>OR0866</t>
  </si>
  <si>
    <t>OR0867</t>
  </si>
  <si>
    <t>OR0868</t>
  </si>
  <si>
    <t>OR0869</t>
  </si>
  <si>
    <t>OR0870</t>
  </si>
  <si>
    <t>OR0871</t>
  </si>
  <si>
    <t>OR0872</t>
  </si>
  <si>
    <t>OR0873</t>
  </si>
  <si>
    <t>OR0874</t>
  </si>
  <si>
    <t>OR0875</t>
  </si>
  <si>
    <t>OR0876</t>
  </si>
  <si>
    <t>OR0877</t>
  </si>
  <si>
    <t>OR0878</t>
  </si>
  <si>
    <t>OR0879</t>
  </si>
  <si>
    <t>OR0880</t>
  </si>
  <si>
    <t>OR0881</t>
  </si>
  <si>
    <t>OR0882</t>
  </si>
  <si>
    <t>OR0883</t>
  </si>
  <si>
    <t>OR0884</t>
  </si>
  <si>
    <t>OR0885</t>
  </si>
  <si>
    <t>OR0886</t>
  </si>
  <si>
    <t>OR0887</t>
  </si>
  <si>
    <t>OR0888</t>
  </si>
  <si>
    <t>OR0889</t>
  </si>
  <si>
    <t>OR0890</t>
  </si>
  <si>
    <t>OR0891</t>
  </si>
  <si>
    <t>OR0892</t>
  </si>
  <si>
    <t>OR0893</t>
  </si>
  <si>
    <t>OR0894</t>
  </si>
  <si>
    <t>OR0895</t>
  </si>
  <si>
    <t>OR0896</t>
  </si>
  <si>
    <t>OR0897</t>
  </si>
  <si>
    <t>OR0898</t>
  </si>
  <si>
    <t>OR0899</t>
  </si>
  <si>
    <t>OR0900</t>
  </si>
  <si>
    <t>OR0901</t>
  </si>
  <si>
    <t>OR0902</t>
  </si>
  <si>
    <t>OR0903</t>
  </si>
  <si>
    <t>OR0904</t>
  </si>
  <si>
    <t>OR0905</t>
  </si>
  <si>
    <t>OR0906</t>
  </si>
  <si>
    <t>OR0907</t>
  </si>
  <si>
    <t>OR0908</t>
  </si>
  <si>
    <t>OR0909</t>
  </si>
  <si>
    <t>OR0910</t>
  </si>
  <si>
    <t>OR0911</t>
  </si>
  <si>
    <t>OR0912</t>
  </si>
  <si>
    <t>OR0913</t>
  </si>
  <si>
    <t>OR0914</t>
  </si>
  <si>
    <t>OR0915</t>
  </si>
  <si>
    <t>OR0916</t>
  </si>
  <si>
    <t>OR0917</t>
  </si>
  <si>
    <t>OR0918</t>
  </si>
  <si>
    <t>OR0919</t>
  </si>
  <si>
    <t>OR0920</t>
  </si>
  <si>
    <t>OR0921</t>
  </si>
  <si>
    <t>OR0922</t>
  </si>
  <si>
    <t>OR0923</t>
  </si>
  <si>
    <t>OR0924</t>
  </si>
  <si>
    <t>OR0925</t>
  </si>
  <si>
    <t>OR0926</t>
  </si>
  <si>
    <t>OR0927</t>
  </si>
  <si>
    <t>OR0928</t>
  </si>
  <si>
    <t>OR0929</t>
  </si>
  <si>
    <t>OR0930</t>
  </si>
  <si>
    <t>OR0931</t>
  </si>
  <si>
    <t>OR0932</t>
  </si>
  <si>
    <t>OR0933</t>
  </si>
  <si>
    <t>OR0934</t>
  </si>
  <si>
    <t>OR0935</t>
  </si>
  <si>
    <t>OR0936</t>
  </si>
  <si>
    <t>OR0937</t>
  </si>
  <si>
    <t>OR0938</t>
  </si>
  <si>
    <t>OR0939</t>
  </si>
  <si>
    <t>OR0940</t>
  </si>
  <si>
    <t>OR0941</t>
  </si>
  <si>
    <t>OR0942</t>
  </si>
  <si>
    <t>OR0943</t>
  </si>
  <si>
    <t>OR0944</t>
  </si>
  <si>
    <t>OR0945</t>
  </si>
  <si>
    <t>OR0946</t>
  </si>
  <si>
    <t>OR0947</t>
  </si>
  <si>
    <t>OR0948</t>
  </si>
  <si>
    <t>OR0949</t>
  </si>
  <si>
    <t>OR0950</t>
  </si>
  <si>
    <t>OR0951</t>
  </si>
  <si>
    <t>OR0952</t>
  </si>
  <si>
    <t>OR0953</t>
  </si>
  <si>
    <t>OR0954</t>
  </si>
  <si>
    <t>OR0955</t>
  </si>
  <si>
    <t>OR0956</t>
  </si>
  <si>
    <t>OR0957</t>
  </si>
  <si>
    <t>OR0958</t>
  </si>
  <si>
    <t>OR0959</t>
  </si>
  <si>
    <t>OR0960</t>
  </si>
  <si>
    <t>OR0961</t>
  </si>
  <si>
    <t>OR0962</t>
  </si>
  <si>
    <t>OR0963</t>
  </si>
  <si>
    <t>OR0964</t>
  </si>
  <si>
    <t>OR0965</t>
  </si>
  <si>
    <t>OR0966</t>
  </si>
  <si>
    <t>OR0967</t>
  </si>
  <si>
    <t>OR0968</t>
  </si>
  <si>
    <t>OR0969</t>
  </si>
  <si>
    <t>OR0970</t>
  </si>
  <si>
    <t>OR0971</t>
  </si>
  <si>
    <t>OR0972</t>
  </si>
  <si>
    <t>OR0973</t>
  </si>
  <si>
    <t>OR0974</t>
  </si>
  <si>
    <t>OR0975</t>
  </si>
  <si>
    <t>OR0976</t>
  </si>
  <si>
    <t>OR0977</t>
  </si>
  <si>
    <t>OR0978</t>
  </si>
  <si>
    <t>OR0979</t>
  </si>
  <si>
    <t>OR0980</t>
  </si>
  <si>
    <t>OR0981</t>
  </si>
  <si>
    <t>OR0982</t>
  </si>
  <si>
    <t>OR0983</t>
  </si>
  <si>
    <t>OR0984</t>
  </si>
  <si>
    <t>OR0985</t>
  </si>
  <si>
    <t>OR0986</t>
  </si>
  <si>
    <t>OR0987</t>
  </si>
  <si>
    <t>OR0988</t>
  </si>
  <si>
    <t>OR0989</t>
  </si>
  <si>
    <t>OR0990</t>
  </si>
  <si>
    <t>OR0991</t>
  </si>
  <si>
    <t>OR0992</t>
  </si>
  <si>
    <t>OR0993</t>
  </si>
  <si>
    <t>OR0994</t>
  </si>
  <si>
    <t>OR0995</t>
  </si>
  <si>
    <t>OR0996</t>
  </si>
  <si>
    <t>OR0997</t>
  </si>
  <si>
    <t>OR0998</t>
  </si>
  <si>
    <t>OR0999</t>
  </si>
  <si>
    <t>OR1000</t>
  </si>
  <si>
    <t xml:space="preserve">Cleaned Customer Name </t>
  </si>
  <si>
    <t>Cleaned Product Name</t>
  </si>
  <si>
    <t>Cleaned Product Category</t>
  </si>
  <si>
    <t>cleaning</t>
  </si>
  <si>
    <t>Cleaned Unit Price</t>
  </si>
  <si>
    <t>Revenue</t>
  </si>
  <si>
    <t>Cost</t>
  </si>
  <si>
    <t>Profit</t>
  </si>
  <si>
    <t>Profit Margin</t>
  </si>
  <si>
    <t>Month</t>
  </si>
  <si>
    <t>Month Number</t>
  </si>
  <si>
    <t>Year</t>
  </si>
  <si>
    <t>Total Revenue</t>
  </si>
  <si>
    <t>Total Profit</t>
  </si>
  <si>
    <t>Avg Order Value (AOV)</t>
  </si>
  <si>
    <t>Delivery Rate</t>
  </si>
  <si>
    <t>Return Rate</t>
  </si>
  <si>
    <t>Avg Profit Margin</t>
  </si>
  <si>
    <t>Total Customers</t>
  </si>
  <si>
    <t>Total Orders (Distinct)</t>
  </si>
  <si>
    <t>Delivered Orders</t>
  </si>
  <si>
    <t>Returned Orders</t>
  </si>
  <si>
    <t>Monthly Revenue (Dynamic)</t>
  </si>
  <si>
    <t>Row Labels</t>
  </si>
  <si>
    <t>Jan</t>
  </si>
  <si>
    <t>Feb</t>
  </si>
  <si>
    <t>Mar</t>
  </si>
  <si>
    <t>Apr</t>
  </si>
  <si>
    <t>May</t>
  </si>
  <si>
    <t>Jun</t>
  </si>
  <si>
    <t>Jul</t>
  </si>
  <si>
    <t>Aug</t>
  </si>
  <si>
    <t>Sep</t>
  </si>
  <si>
    <t>Oct</t>
  </si>
  <si>
    <t>Nov</t>
  </si>
  <si>
    <t>Dec</t>
  </si>
  <si>
    <t>Grand Total</t>
  </si>
  <si>
    <t>Sum of Revenue</t>
  </si>
  <si>
    <t>Sum of Profit</t>
  </si>
  <si>
    <t>Count of Order ID</t>
  </si>
  <si>
    <t>Amelia Johnson</t>
  </si>
  <si>
    <t>Ava Rodriguez</t>
  </si>
  <si>
    <t>Charlotte Garcia</t>
  </si>
  <si>
    <t>Evelyn Martinez</t>
  </si>
  <si>
    <t>James Brown</t>
  </si>
  <si>
    <t>Lucas Williams</t>
  </si>
  <si>
    <t>Mia Johnson</t>
  </si>
  <si>
    <t>Noah Williams</t>
  </si>
  <si>
    <t>Oliver Johnson</t>
  </si>
  <si>
    <t>Olivia Garcia</t>
  </si>
  <si>
    <t>GreenLeaf Stores — Sales Performance Dashboard (2024)</t>
  </si>
  <si>
    <t>Average Order Value (AOV)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</si>
</sst>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m/d/yyyy;@"/>
    <numFmt numFmtId="166" formatCode="m/d;@"/>
  </numFmts>
  <fonts count="5" x14ac:knownFonts="1">
    <font>
      <sz val="11"/>
      <color theme="1"/>
      <name val="Tw Cen MT"/>
      <family val="2"/>
      <scheme val="minor"/>
    </font>
    <font>
      <b/>
      <sz val="11"/>
      <color theme="1"/>
      <name val="Tw Cen MT"/>
      <family val="2"/>
      <scheme val="minor"/>
    </font>
    <font>
      <sz val="8"/>
      <name val="Tw Cen MT"/>
      <family val="2"/>
      <scheme val="minor"/>
    </font>
    <font>
      <sz val="11"/>
      <color theme="1"/>
      <name val="Tw Cen MT"/>
      <family val="2"/>
      <scheme val="minor"/>
    </font>
    <font>
      <b/>
      <sz val="20"/>
      <color theme="0" tint="-4.9989318521683403E-2"/>
      <name val="Tw Cen MT"/>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3"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4" fontId="3" fillId="0" borderId="0" applyFont="0" applyFill="0" applyBorder="0" applyAlignment="0" applyProtection="0"/>
    <xf numFmtId="0" fontId="3" fillId="2" borderId="0" applyNumberFormat="0" applyBorder="0" applyAlignment="0" applyProtection="0"/>
    <xf numFmtId="0" fontId="3" fillId="3" borderId="0" applyNumberFormat="0" applyBorder="0" applyAlignment="0" applyProtection="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165" fontId="0" fillId="0" borderId="0" xfId="0" applyNumberFormat="1"/>
    <xf numFmtId="166" fontId="1" fillId="0" borderId="2" xfId="0" applyNumberFormat="1" applyFont="1" applyBorder="1" applyAlignment="1">
      <alignment horizontal="center" vertical="top"/>
    </xf>
    <xf numFmtId="166"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2" fontId="0" fillId="0" borderId="0" xfId="0" applyNumberFormat="1"/>
    <xf numFmtId="44" fontId="1" fillId="0" borderId="2" xfId="1" applyFont="1" applyBorder="1" applyAlignment="1">
      <alignment horizontal="center" vertical="top"/>
    </xf>
    <xf numFmtId="44" fontId="0" fillId="0" borderId="0" xfId="1" applyFont="1"/>
    <xf numFmtId="44" fontId="0" fillId="0" borderId="0" xfId="0" applyNumberFormat="1" applyAlignment="1"/>
    <xf numFmtId="44" fontId="1" fillId="0" borderId="0" xfId="0" applyNumberFormat="1" applyFont="1" applyAlignment="1"/>
    <xf numFmtId="0" fontId="3" fillId="3" borderId="3" xfId="3" applyBorder="1" applyAlignment="1"/>
    <xf numFmtId="0" fontId="1" fillId="0" borderId="0" xfId="0" applyFont="1" applyAlignment="1">
      <alignment horizontal="center"/>
    </xf>
    <xf numFmtId="0" fontId="3" fillId="2" borderId="4" xfId="2" applyBorder="1" applyAlignment="1">
      <alignment horizontal="center"/>
    </xf>
    <xf numFmtId="0" fontId="3" fillId="2" borderId="5" xfId="2" applyBorder="1" applyAlignment="1">
      <alignment horizontal="center"/>
    </xf>
    <xf numFmtId="0" fontId="3" fillId="3" borderId="4" xfId="3" applyBorder="1" applyAlignment="1">
      <alignment horizontal="center"/>
    </xf>
    <xf numFmtId="0" fontId="3" fillId="3" borderId="5" xfId="3" applyBorder="1" applyAlignment="1">
      <alignment horizontal="center"/>
    </xf>
    <xf numFmtId="0" fontId="4" fillId="4" borderId="0" xfId="0" applyFont="1" applyFill="1" applyAlignment="1">
      <alignment horizontal="center" vertical="center"/>
    </xf>
  </cellXfs>
  <cellStyles count="4">
    <cellStyle name="20% - Accent1" xfId="2" builtinId="30"/>
    <cellStyle name="40% - Accent1" xfId="3" builtinId="31"/>
    <cellStyle name="Currency" xfId="1" builtinId="4"/>
    <cellStyle name="Normal" xfId="0" builtinId="0"/>
  </cellStyles>
  <dxfs count="13">
    <dxf>
      <font>
        <b/>
        <i val="0"/>
        <strike val="0"/>
        <condense val="0"/>
        <extend val="0"/>
        <outline val="0"/>
        <shadow val="0"/>
        <u val="none"/>
        <vertAlign val="baseline"/>
        <sz val="11"/>
        <color theme="1"/>
        <name val="Tw Cen MT"/>
        <family val="2"/>
        <scheme val="minor"/>
      </font>
    </dxf>
    <dxf>
      <font>
        <b/>
        <i val="0"/>
        <strike val="0"/>
        <condense val="0"/>
        <extend val="0"/>
        <outline val="0"/>
        <shadow val="0"/>
        <u val="none"/>
        <vertAlign val="baseline"/>
        <sz val="11"/>
        <color theme="1"/>
        <name val="Tw Cen MT"/>
        <family val="2"/>
        <scheme val="minor"/>
      </font>
    </dxf>
    <dxf>
      <numFmt numFmtId="0" formatCode="General"/>
    </dxf>
    <dxf>
      <numFmt numFmtId="2" formatCode="0.00"/>
    </dxf>
    <dxf>
      <numFmt numFmtId="0" formatCode="General"/>
    </dxf>
    <dxf>
      <numFmt numFmtId="0" formatCode="General"/>
    </dxf>
    <dxf>
      <numFmt numFmtId="166" formatCode="m/d;@"/>
    </dxf>
    <dxf>
      <numFmt numFmtId="166" formatCode="m/d;@"/>
    </dxf>
    <dxf>
      <numFmt numFmtId="164" formatCode="yyyy\-mm\-dd"/>
    </dxf>
    <dxf>
      <numFmt numFmtId="165"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Tw Cen MT"/>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Capstone Project - Pivot table &amp;  Dashboard.xlsx]Pivot_Tables_And_Charts!PivotTable2</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Trend (2024)</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Pivot_Tables_And_Charts!$B$1</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cat>
            <c:strRef>
              <c:f>Pivot_Tables_And_Charts!$A$2:$A$14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Pivot_Tables_And_Charts!$B$2:$B$14</c:f>
              <c:numCache>
                <c:formatCode>General</c:formatCode>
                <c:ptCount val="12"/>
                <c:pt idx="0">
                  <c:v>12522</c:v>
                </c:pt>
                <c:pt idx="1">
                  <c:v>9126</c:v>
                </c:pt>
                <c:pt idx="2">
                  <c:v>10068</c:v>
                </c:pt>
                <c:pt idx="3">
                  <c:v>11214</c:v>
                </c:pt>
                <c:pt idx="4">
                  <c:v>11006</c:v>
                </c:pt>
                <c:pt idx="5">
                  <c:v>7062</c:v>
                </c:pt>
                <c:pt idx="6">
                  <c:v>9817</c:v>
                </c:pt>
                <c:pt idx="7">
                  <c:v>9506</c:v>
                </c:pt>
                <c:pt idx="8">
                  <c:v>7099</c:v>
                </c:pt>
                <c:pt idx="9">
                  <c:v>11384</c:v>
                </c:pt>
                <c:pt idx="10">
                  <c:v>8308</c:v>
                </c:pt>
                <c:pt idx="11">
                  <c:v>10166</c:v>
                </c:pt>
              </c:numCache>
            </c:numRef>
          </c:val>
          <c:extLst>
            <c:ext xmlns:c16="http://schemas.microsoft.com/office/drawing/2014/chart" uri="{C3380CC4-5D6E-409C-BE32-E72D297353CC}">
              <c16:uniqueId val="{00000000-413B-42B0-9484-98F2428E2CF9}"/>
            </c:ext>
          </c:extLst>
        </c:ser>
        <c:dLbls>
          <c:showLegendKey val="0"/>
          <c:showVal val="0"/>
          <c:showCatName val="0"/>
          <c:showSerName val="0"/>
          <c:showPercent val="0"/>
          <c:showBubbleSize val="0"/>
        </c:dLbls>
        <c:axId val="1840399855"/>
        <c:axId val="1840391215"/>
      </c:areaChart>
      <c:catAx>
        <c:axId val="18403998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391215"/>
        <c:crosses val="autoZero"/>
        <c:auto val="1"/>
        <c:lblAlgn val="ctr"/>
        <c:lblOffset val="100"/>
        <c:noMultiLvlLbl val="0"/>
      </c:catAx>
      <c:valAx>
        <c:axId val="184039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3998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Capstone Project - Pivot table &amp;  Dashboard.xlsx]Pivot_Tables_And_Charts!PivotTable3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&amp; Profit by Product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Pivot_Tables_And_Charts!$B$20</c:f>
              <c:strCache>
                <c:ptCount val="1"/>
                <c:pt idx="0">
                  <c:v>Sum of Revenue</c:v>
                </c:pt>
              </c:strCache>
            </c:strRef>
          </c:tx>
          <c:spPr>
            <a:solidFill>
              <a:schemeClr val="accent1"/>
            </a:solidFill>
            <a:ln>
              <a:noFill/>
            </a:ln>
            <a:effectLst/>
            <a:sp3d/>
          </c:spPr>
          <c:invertIfNegative val="0"/>
          <c:cat>
            <c:strRef>
              <c:f>Pivot_Tables_And_Charts!$A$21:$A$26</c:f>
              <c:strCache>
                <c:ptCount val="5"/>
                <c:pt idx="0">
                  <c:v>Bags</c:v>
                </c:pt>
                <c:pt idx="1">
                  <c:v>cleaning</c:v>
                </c:pt>
                <c:pt idx="2">
                  <c:v>Gardening</c:v>
                </c:pt>
                <c:pt idx="3">
                  <c:v>Kitchenware</c:v>
                </c:pt>
                <c:pt idx="4">
                  <c:v>Lighting</c:v>
                </c:pt>
              </c:strCache>
            </c:strRef>
          </c:cat>
          <c:val>
            <c:numRef>
              <c:f>Pivot_Tables_And_Charts!$B$21:$B$26</c:f>
              <c:numCache>
                <c:formatCode>General</c:formatCode>
                <c:ptCount val="5"/>
                <c:pt idx="0">
                  <c:v>28700</c:v>
                </c:pt>
                <c:pt idx="1">
                  <c:v>10320</c:v>
                </c:pt>
                <c:pt idx="2">
                  <c:v>11268</c:v>
                </c:pt>
                <c:pt idx="3">
                  <c:v>16590</c:v>
                </c:pt>
                <c:pt idx="4">
                  <c:v>50400</c:v>
                </c:pt>
              </c:numCache>
            </c:numRef>
          </c:val>
          <c:extLst>
            <c:ext xmlns:c16="http://schemas.microsoft.com/office/drawing/2014/chart" uri="{C3380CC4-5D6E-409C-BE32-E72D297353CC}">
              <c16:uniqueId val="{00000000-BCFF-4BAE-89AF-3DD30F7B0B72}"/>
            </c:ext>
          </c:extLst>
        </c:ser>
        <c:ser>
          <c:idx val="1"/>
          <c:order val="1"/>
          <c:tx>
            <c:strRef>
              <c:f>Pivot_Tables_And_Charts!$C$20</c:f>
              <c:strCache>
                <c:ptCount val="1"/>
                <c:pt idx="0">
                  <c:v>Sum of Profit</c:v>
                </c:pt>
              </c:strCache>
            </c:strRef>
          </c:tx>
          <c:spPr>
            <a:solidFill>
              <a:schemeClr val="accent2"/>
            </a:solidFill>
            <a:ln>
              <a:noFill/>
            </a:ln>
            <a:effectLst/>
            <a:sp3d/>
          </c:spPr>
          <c:invertIfNegative val="0"/>
          <c:cat>
            <c:strRef>
              <c:f>Pivot_Tables_And_Charts!$A$21:$A$26</c:f>
              <c:strCache>
                <c:ptCount val="5"/>
                <c:pt idx="0">
                  <c:v>Bags</c:v>
                </c:pt>
                <c:pt idx="1">
                  <c:v>cleaning</c:v>
                </c:pt>
                <c:pt idx="2">
                  <c:v>Gardening</c:v>
                </c:pt>
                <c:pt idx="3">
                  <c:v>Kitchenware</c:v>
                </c:pt>
                <c:pt idx="4">
                  <c:v>Lighting</c:v>
                </c:pt>
              </c:strCache>
            </c:strRef>
          </c:cat>
          <c:val>
            <c:numRef>
              <c:f>Pivot_Tables_And_Charts!$C$21:$C$26</c:f>
              <c:numCache>
                <c:formatCode>General</c:formatCode>
                <c:ptCount val="5"/>
                <c:pt idx="0">
                  <c:v>20008.09</c:v>
                </c:pt>
                <c:pt idx="1">
                  <c:v>7240.4499999999989</c:v>
                </c:pt>
                <c:pt idx="2">
                  <c:v>7813.3499999999976</c:v>
                </c:pt>
                <c:pt idx="3">
                  <c:v>11561.21</c:v>
                </c:pt>
                <c:pt idx="4">
                  <c:v>35230.37999999999</c:v>
                </c:pt>
              </c:numCache>
            </c:numRef>
          </c:val>
          <c:extLst>
            <c:ext xmlns:c16="http://schemas.microsoft.com/office/drawing/2014/chart" uri="{C3380CC4-5D6E-409C-BE32-E72D297353CC}">
              <c16:uniqueId val="{00000001-BCFF-4BAE-89AF-3DD30F7B0B72}"/>
            </c:ext>
          </c:extLst>
        </c:ser>
        <c:dLbls>
          <c:showLegendKey val="0"/>
          <c:showVal val="0"/>
          <c:showCatName val="0"/>
          <c:showSerName val="0"/>
          <c:showPercent val="0"/>
          <c:showBubbleSize val="0"/>
        </c:dLbls>
        <c:gapWidth val="150"/>
        <c:shape val="box"/>
        <c:axId val="1840423855"/>
        <c:axId val="1840427695"/>
        <c:axId val="0"/>
      </c:bar3DChart>
      <c:catAx>
        <c:axId val="1840423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427695"/>
        <c:crosses val="autoZero"/>
        <c:auto val="1"/>
        <c:lblAlgn val="ctr"/>
        <c:lblOffset val="100"/>
        <c:noMultiLvlLbl val="0"/>
      </c:catAx>
      <c:valAx>
        <c:axId val="18404276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42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Capstone Project - Pivot table &amp;  Dashboard.xlsx]Pivot_Tables_And_Charts!PivotTable4</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 Shipment Status Distribution</a:t>
            </a:r>
          </a:p>
        </c:rich>
      </c:tx>
      <c:layout>
        <c:manualLayout>
          <c:xMode val="edge"/>
          <c:yMode val="edge"/>
          <c:x val="0.29247222222222224"/>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Pivot_Tables_And_Charts!$O$5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CD6-4B41-B311-715E3CCD546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CD6-4B41-B311-715E3CCD546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CD6-4B41-B311-715E3CCD546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CD6-4B41-B311-715E3CCD54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Pivot_Tables_And_Charts!$N$6:$N$10</c:f>
              <c:strCache>
                <c:ptCount val="4"/>
                <c:pt idx="0">
                  <c:v>Delivered</c:v>
                </c:pt>
                <c:pt idx="1">
                  <c:v>Pending</c:v>
                </c:pt>
                <c:pt idx="2">
                  <c:v>Returned</c:v>
                </c:pt>
                <c:pt idx="3">
                  <c:v>Shipped</c:v>
                </c:pt>
              </c:strCache>
            </c:strRef>
          </c:cat>
          <c:val>
            <c:numRef>
              <c:f>Pivot_Tables_And_Charts!$O$6:$O$10</c:f>
              <c:numCache>
                <c:formatCode>General</c:formatCode>
                <c:ptCount val="4"/>
                <c:pt idx="0">
                  <c:v>602</c:v>
                </c:pt>
                <c:pt idx="1">
                  <c:v>91</c:v>
                </c:pt>
                <c:pt idx="2">
                  <c:v>72</c:v>
                </c:pt>
                <c:pt idx="3">
                  <c:v>235</c:v>
                </c:pt>
              </c:numCache>
            </c:numRef>
          </c:val>
          <c:extLst>
            <c:ext xmlns:c16="http://schemas.microsoft.com/office/drawing/2014/chart" uri="{C3380CC4-5D6E-409C-BE32-E72D297353CC}">
              <c16:uniqueId val="{00000000-20BF-497E-8093-54EB5CB051E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Capstone Project - Pivot table &amp;  Dashboard.xlsx]Pivot_Tables_And_Charts!PivotTable5</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Customers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Pivot_Tables_And_Charts!$C$38</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Pivot_Tables_And_Charts!$B$39:$B$49</c:f>
              <c:strCache>
                <c:ptCount val="10"/>
                <c:pt idx="0">
                  <c:v>Olivia Garcia</c:v>
                </c:pt>
                <c:pt idx="1">
                  <c:v>Oliver Johnson</c:v>
                </c:pt>
                <c:pt idx="2">
                  <c:v>Noah Williams</c:v>
                </c:pt>
                <c:pt idx="3">
                  <c:v>Mia Johnson</c:v>
                </c:pt>
                <c:pt idx="4">
                  <c:v>Lucas Williams</c:v>
                </c:pt>
                <c:pt idx="5">
                  <c:v>James Brown</c:v>
                </c:pt>
                <c:pt idx="6">
                  <c:v>Evelyn Martinez</c:v>
                </c:pt>
                <c:pt idx="7">
                  <c:v>Charlotte Garcia</c:v>
                </c:pt>
                <c:pt idx="8">
                  <c:v>Ava Rodriguez</c:v>
                </c:pt>
                <c:pt idx="9">
                  <c:v>Amelia Johnson</c:v>
                </c:pt>
              </c:strCache>
            </c:strRef>
          </c:cat>
          <c:val>
            <c:numRef>
              <c:f>Pivot_Tables_And_Charts!$C$39:$C$49</c:f>
              <c:numCache>
                <c:formatCode>General</c:formatCode>
                <c:ptCount val="10"/>
                <c:pt idx="0">
                  <c:v>2374</c:v>
                </c:pt>
                <c:pt idx="1">
                  <c:v>2808</c:v>
                </c:pt>
                <c:pt idx="2">
                  <c:v>2283</c:v>
                </c:pt>
                <c:pt idx="3">
                  <c:v>2077</c:v>
                </c:pt>
                <c:pt idx="4">
                  <c:v>2490</c:v>
                </c:pt>
                <c:pt idx="5">
                  <c:v>2050</c:v>
                </c:pt>
                <c:pt idx="6">
                  <c:v>3215</c:v>
                </c:pt>
                <c:pt idx="7">
                  <c:v>2230</c:v>
                </c:pt>
                <c:pt idx="8">
                  <c:v>2496</c:v>
                </c:pt>
                <c:pt idx="9">
                  <c:v>2588</c:v>
                </c:pt>
              </c:numCache>
            </c:numRef>
          </c:val>
          <c:extLst>
            <c:ext xmlns:c16="http://schemas.microsoft.com/office/drawing/2014/chart" uri="{C3380CC4-5D6E-409C-BE32-E72D297353CC}">
              <c16:uniqueId val="{00000000-C0C2-4888-ABB7-561D62457D44}"/>
            </c:ext>
          </c:extLst>
        </c:ser>
        <c:dLbls>
          <c:showLegendKey val="0"/>
          <c:showVal val="0"/>
          <c:showCatName val="0"/>
          <c:showSerName val="0"/>
          <c:showPercent val="0"/>
          <c:showBubbleSize val="0"/>
        </c:dLbls>
        <c:gapWidth val="150"/>
        <c:shape val="box"/>
        <c:axId val="1840418575"/>
        <c:axId val="1840435375"/>
        <c:axId val="0"/>
      </c:bar3DChart>
      <c:catAx>
        <c:axId val="18404185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435375"/>
        <c:crosses val="autoZero"/>
        <c:auto val="1"/>
        <c:lblAlgn val="ctr"/>
        <c:lblOffset val="100"/>
        <c:noMultiLvlLbl val="0"/>
      </c:catAx>
      <c:valAx>
        <c:axId val="1840435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41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Capstone Project - Pivot table &amp;  Dashboard.xlsx]Pivot_Tables_And_Charts!PivotTable2</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Trend (2024)</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Pivot_Tables_And_Charts!$B$1</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cat>
            <c:strRef>
              <c:f>Pivot_Tables_And_Charts!$A$2:$A$14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Pivot_Tables_And_Charts!$B$2:$B$14</c:f>
              <c:numCache>
                <c:formatCode>General</c:formatCode>
                <c:ptCount val="12"/>
                <c:pt idx="0">
                  <c:v>12522</c:v>
                </c:pt>
                <c:pt idx="1">
                  <c:v>9126</c:v>
                </c:pt>
                <c:pt idx="2">
                  <c:v>10068</c:v>
                </c:pt>
                <c:pt idx="3">
                  <c:v>11214</c:v>
                </c:pt>
                <c:pt idx="4">
                  <c:v>11006</c:v>
                </c:pt>
                <c:pt idx="5">
                  <c:v>7062</c:v>
                </c:pt>
                <c:pt idx="6">
                  <c:v>9817</c:v>
                </c:pt>
                <c:pt idx="7">
                  <c:v>9506</c:v>
                </c:pt>
                <c:pt idx="8">
                  <c:v>7099</c:v>
                </c:pt>
                <c:pt idx="9">
                  <c:v>11384</c:v>
                </c:pt>
                <c:pt idx="10">
                  <c:v>8308</c:v>
                </c:pt>
                <c:pt idx="11">
                  <c:v>10166</c:v>
                </c:pt>
              </c:numCache>
            </c:numRef>
          </c:val>
          <c:extLst>
            <c:ext xmlns:c16="http://schemas.microsoft.com/office/drawing/2014/chart" uri="{C3380CC4-5D6E-409C-BE32-E72D297353CC}">
              <c16:uniqueId val="{00000000-DF14-4711-A222-FC6AA7D7E780}"/>
            </c:ext>
          </c:extLst>
        </c:ser>
        <c:dLbls>
          <c:showLegendKey val="0"/>
          <c:showVal val="0"/>
          <c:showCatName val="0"/>
          <c:showSerName val="0"/>
          <c:showPercent val="0"/>
          <c:showBubbleSize val="0"/>
        </c:dLbls>
        <c:axId val="1840399855"/>
        <c:axId val="1840391215"/>
      </c:areaChart>
      <c:catAx>
        <c:axId val="18403998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391215"/>
        <c:crosses val="autoZero"/>
        <c:auto val="1"/>
        <c:lblAlgn val="ctr"/>
        <c:lblOffset val="100"/>
        <c:noMultiLvlLbl val="0"/>
      </c:catAx>
      <c:valAx>
        <c:axId val="184039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3998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Capstone Project - Pivot table &amp;  Dashboard.xlsx]Pivot_Tables_And_Charts!PivotTable3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&amp; Profit by Product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Pivot_Tables_And_Charts!$B$20</c:f>
              <c:strCache>
                <c:ptCount val="1"/>
                <c:pt idx="0">
                  <c:v>Sum of Revenue</c:v>
                </c:pt>
              </c:strCache>
            </c:strRef>
          </c:tx>
          <c:spPr>
            <a:solidFill>
              <a:schemeClr val="accent1"/>
            </a:solidFill>
            <a:ln>
              <a:noFill/>
            </a:ln>
            <a:effectLst/>
            <a:sp3d/>
          </c:spPr>
          <c:invertIfNegative val="0"/>
          <c:cat>
            <c:strRef>
              <c:f>Pivot_Tables_And_Charts!$A$21:$A$26</c:f>
              <c:strCache>
                <c:ptCount val="5"/>
                <c:pt idx="0">
                  <c:v>Bags</c:v>
                </c:pt>
                <c:pt idx="1">
                  <c:v>cleaning</c:v>
                </c:pt>
                <c:pt idx="2">
                  <c:v>Gardening</c:v>
                </c:pt>
                <c:pt idx="3">
                  <c:v>Kitchenware</c:v>
                </c:pt>
                <c:pt idx="4">
                  <c:v>Lighting</c:v>
                </c:pt>
              </c:strCache>
            </c:strRef>
          </c:cat>
          <c:val>
            <c:numRef>
              <c:f>Pivot_Tables_And_Charts!$B$21:$B$26</c:f>
              <c:numCache>
                <c:formatCode>General</c:formatCode>
                <c:ptCount val="5"/>
                <c:pt idx="0">
                  <c:v>28700</c:v>
                </c:pt>
                <c:pt idx="1">
                  <c:v>10320</c:v>
                </c:pt>
                <c:pt idx="2">
                  <c:v>11268</c:v>
                </c:pt>
                <c:pt idx="3">
                  <c:v>16590</c:v>
                </c:pt>
                <c:pt idx="4">
                  <c:v>50400</c:v>
                </c:pt>
              </c:numCache>
            </c:numRef>
          </c:val>
          <c:extLst>
            <c:ext xmlns:c16="http://schemas.microsoft.com/office/drawing/2014/chart" uri="{C3380CC4-5D6E-409C-BE32-E72D297353CC}">
              <c16:uniqueId val="{00000000-05FD-4079-BE0A-04F7999A15B0}"/>
            </c:ext>
          </c:extLst>
        </c:ser>
        <c:ser>
          <c:idx val="1"/>
          <c:order val="1"/>
          <c:tx>
            <c:strRef>
              <c:f>Pivot_Tables_And_Charts!$C$20</c:f>
              <c:strCache>
                <c:ptCount val="1"/>
                <c:pt idx="0">
                  <c:v>Sum of Profit</c:v>
                </c:pt>
              </c:strCache>
            </c:strRef>
          </c:tx>
          <c:spPr>
            <a:solidFill>
              <a:schemeClr val="accent2"/>
            </a:solidFill>
            <a:ln>
              <a:noFill/>
            </a:ln>
            <a:effectLst/>
            <a:sp3d/>
          </c:spPr>
          <c:invertIfNegative val="0"/>
          <c:cat>
            <c:strRef>
              <c:f>Pivot_Tables_And_Charts!$A$21:$A$26</c:f>
              <c:strCache>
                <c:ptCount val="5"/>
                <c:pt idx="0">
                  <c:v>Bags</c:v>
                </c:pt>
                <c:pt idx="1">
                  <c:v>cleaning</c:v>
                </c:pt>
                <c:pt idx="2">
                  <c:v>Gardening</c:v>
                </c:pt>
                <c:pt idx="3">
                  <c:v>Kitchenware</c:v>
                </c:pt>
                <c:pt idx="4">
                  <c:v>Lighting</c:v>
                </c:pt>
              </c:strCache>
            </c:strRef>
          </c:cat>
          <c:val>
            <c:numRef>
              <c:f>Pivot_Tables_And_Charts!$C$21:$C$26</c:f>
              <c:numCache>
                <c:formatCode>General</c:formatCode>
                <c:ptCount val="5"/>
                <c:pt idx="0">
                  <c:v>20008.09</c:v>
                </c:pt>
                <c:pt idx="1">
                  <c:v>7240.4499999999989</c:v>
                </c:pt>
                <c:pt idx="2">
                  <c:v>7813.3499999999976</c:v>
                </c:pt>
                <c:pt idx="3">
                  <c:v>11561.21</c:v>
                </c:pt>
                <c:pt idx="4">
                  <c:v>35230.37999999999</c:v>
                </c:pt>
              </c:numCache>
            </c:numRef>
          </c:val>
          <c:extLst>
            <c:ext xmlns:c16="http://schemas.microsoft.com/office/drawing/2014/chart" uri="{C3380CC4-5D6E-409C-BE32-E72D297353CC}">
              <c16:uniqueId val="{00000001-05FD-4079-BE0A-04F7999A15B0}"/>
            </c:ext>
          </c:extLst>
        </c:ser>
        <c:dLbls>
          <c:showLegendKey val="0"/>
          <c:showVal val="0"/>
          <c:showCatName val="0"/>
          <c:showSerName val="0"/>
          <c:showPercent val="0"/>
          <c:showBubbleSize val="0"/>
        </c:dLbls>
        <c:gapWidth val="150"/>
        <c:shape val="box"/>
        <c:axId val="1840423855"/>
        <c:axId val="1840427695"/>
        <c:axId val="0"/>
      </c:bar3DChart>
      <c:catAx>
        <c:axId val="1840423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427695"/>
        <c:crosses val="autoZero"/>
        <c:auto val="1"/>
        <c:lblAlgn val="ctr"/>
        <c:lblOffset val="100"/>
        <c:noMultiLvlLbl val="0"/>
      </c:catAx>
      <c:valAx>
        <c:axId val="18404276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42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Capstone Project - Pivot table &amp;  Dashboard.xlsx]Pivot_Tables_And_Charts!PivotTable5</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Customers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Pivot_Tables_And_Charts!$C$38</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Pivot_Tables_And_Charts!$B$39:$B$49</c:f>
              <c:strCache>
                <c:ptCount val="10"/>
                <c:pt idx="0">
                  <c:v>Olivia Garcia</c:v>
                </c:pt>
                <c:pt idx="1">
                  <c:v>Oliver Johnson</c:v>
                </c:pt>
                <c:pt idx="2">
                  <c:v>Noah Williams</c:v>
                </c:pt>
                <c:pt idx="3">
                  <c:v>Mia Johnson</c:v>
                </c:pt>
                <c:pt idx="4">
                  <c:v>Lucas Williams</c:v>
                </c:pt>
                <c:pt idx="5">
                  <c:v>James Brown</c:v>
                </c:pt>
                <c:pt idx="6">
                  <c:v>Evelyn Martinez</c:v>
                </c:pt>
                <c:pt idx="7">
                  <c:v>Charlotte Garcia</c:v>
                </c:pt>
                <c:pt idx="8">
                  <c:v>Ava Rodriguez</c:v>
                </c:pt>
                <c:pt idx="9">
                  <c:v>Amelia Johnson</c:v>
                </c:pt>
              </c:strCache>
            </c:strRef>
          </c:cat>
          <c:val>
            <c:numRef>
              <c:f>Pivot_Tables_And_Charts!$C$39:$C$49</c:f>
              <c:numCache>
                <c:formatCode>General</c:formatCode>
                <c:ptCount val="10"/>
                <c:pt idx="0">
                  <c:v>2374</c:v>
                </c:pt>
                <c:pt idx="1">
                  <c:v>2808</c:v>
                </c:pt>
                <c:pt idx="2">
                  <c:v>2283</c:v>
                </c:pt>
                <c:pt idx="3">
                  <c:v>2077</c:v>
                </c:pt>
                <c:pt idx="4">
                  <c:v>2490</c:v>
                </c:pt>
                <c:pt idx="5">
                  <c:v>2050</c:v>
                </c:pt>
                <c:pt idx="6">
                  <c:v>3215</c:v>
                </c:pt>
                <c:pt idx="7">
                  <c:v>2230</c:v>
                </c:pt>
                <c:pt idx="8">
                  <c:v>2496</c:v>
                </c:pt>
                <c:pt idx="9">
                  <c:v>2588</c:v>
                </c:pt>
              </c:numCache>
            </c:numRef>
          </c:val>
          <c:extLst>
            <c:ext xmlns:c16="http://schemas.microsoft.com/office/drawing/2014/chart" uri="{C3380CC4-5D6E-409C-BE32-E72D297353CC}">
              <c16:uniqueId val="{00000000-1E70-4AB0-8156-3DF9BD66A8F8}"/>
            </c:ext>
          </c:extLst>
        </c:ser>
        <c:dLbls>
          <c:showLegendKey val="0"/>
          <c:showVal val="0"/>
          <c:showCatName val="0"/>
          <c:showSerName val="0"/>
          <c:showPercent val="0"/>
          <c:showBubbleSize val="0"/>
        </c:dLbls>
        <c:gapWidth val="150"/>
        <c:shape val="box"/>
        <c:axId val="1840418575"/>
        <c:axId val="1840435375"/>
        <c:axId val="0"/>
      </c:bar3DChart>
      <c:catAx>
        <c:axId val="18404185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435375"/>
        <c:crosses val="autoZero"/>
        <c:auto val="1"/>
        <c:lblAlgn val="ctr"/>
        <c:lblOffset val="100"/>
        <c:noMultiLvlLbl val="0"/>
      </c:catAx>
      <c:valAx>
        <c:axId val="1840435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41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Capstone Project - Pivot table &amp;  Dashboard.xlsx]Pivot_Tables_And_Charts!PivotTable4</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 Shipment Status Distribution</a:t>
            </a:r>
          </a:p>
        </c:rich>
      </c:tx>
      <c:layout>
        <c:manualLayout>
          <c:xMode val="edge"/>
          <c:yMode val="edge"/>
          <c:x val="0.29247222222222224"/>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Pivot_Tables_And_Charts!$O$5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EC-4D5F-868A-923F80393E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2EC-4D5F-868A-923F80393E4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2EC-4D5F-868A-923F80393E4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2EC-4D5F-868A-923F80393E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Pivot_Tables_And_Charts!$N$6:$N$10</c:f>
              <c:strCache>
                <c:ptCount val="4"/>
                <c:pt idx="0">
                  <c:v>Delivered</c:v>
                </c:pt>
                <c:pt idx="1">
                  <c:v>Pending</c:v>
                </c:pt>
                <c:pt idx="2">
                  <c:v>Returned</c:v>
                </c:pt>
                <c:pt idx="3">
                  <c:v>Shipped</c:v>
                </c:pt>
              </c:strCache>
            </c:strRef>
          </c:cat>
          <c:val>
            <c:numRef>
              <c:f>Pivot_Tables_And_Charts!$O$6:$O$10</c:f>
              <c:numCache>
                <c:formatCode>General</c:formatCode>
                <c:ptCount val="4"/>
                <c:pt idx="0">
                  <c:v>602</c:v>
                </c:pt>
                <c:pt idx="1">
                  <c:v>91</c:v>
                </c:pt>
                <c:pt idx="2">
                  <c:v>72</c:v>
                </c:pt>
                <c:pt idx="3">
                  <c:v>235</c:v>
                </c:pt>
              </c:numCache>
            </c:numRef>
          </c:val>
          <c:extLst>
            <c:ext xmlns:c16="http://schemas.microsoft.com/office/drawing/2014/chart" uri="{C3380CC4-5D6E-409C-BE32-E72D297353CC}">
              <c16:uniqueId val="{00000008-F2EC-4D5F-868A-923F80393E4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390525</xdr:colOff>
      <xdr:row>0</xdr:row>
      <xdr:rowOff>123825</xdr:rowOff>
    </xdr:from>
    <xdr:to>
      <xdr:col>10</xdr:col>
      <xdr:colOff>85725</xdr:colOff>
      <xdr:row>16</xdr:row>
      <xdr:rowOff>176212</xdr:rowOff>
    </xdr:to>
    <xdr:graphicFrame macro="">
      <xdr:nvGraphicFramePr>
        <xdr:cNvPr id="4" name="Chart 3">
          <a:extLst>
            <a:ext uri="{FF2B5EF4-FFF2-40B4-BE49-F238E27FC236}">
              <a16:creationId xmlns:a16="http://schemas.microsoft.com/office/drawing/2014/main" id="{61C531BE-777D-2795-F900-C66A12F63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xdr:colOff>
      <xdr:row>19</xdr:row>
      <xdr:rowOff>14287</xdr:rowOff>
    </xdr:from>
    <xdr:to>
      <xdr:col>10</xdr:col>
      <xdr:colOff>352425</xdr:colOff>
      <xdr:row>33</xdr:row>
      <xdr:rowOff>90487</xdr:rowOff>
    </xdr:to>
    <xdr:graphicFrame macro="">
      <xdr:nvGraphicFramePr>
        <xdr:cNvPr id="5" name="Chart 4">
          <a:extLst>
            <a:ext uri="{FF2B5EF4-FFF2-40B4-BE49-F238E27FC236}">
              <a16:creationId xmlns:a16="http://schemas.microsoft.com/office/drawing/2014/main" id="{F85ECE60-D5E2-3528-CC78-77F68046B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57150</xdr:colOff>
      <xdr:row>3</xdr:row>
      <xdr:rowOff>185737</xdr:rowOff>
    </xdr:from>
    <xdr:to>
      <xdr:col>22</xdr:col>
      <xdr:colOff>361950</xdr:colOff>
      <xdr:row>18</xdr:row>
      <xdr:rowOff>71437</xdr:rowOff>
    </xdr:to>
    <xdr:graphicFrame macro="">
      <xdr:nvGraphicFramePr>
        <xdr:cNvPr id="6" name="Chart 5">
          <a:extLst>
            <a:ext uri="{FF2B5EF4-FFF2-40B4-BE49-F238E27FC236}">
              <a16:creationId xmlns:a16="http://schemas.microsoft.com/office/drawing/2014/main" id="{6CC21A2B-293C-ABF8-1BA6-132175D23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171450</xdr:colOff>
      <xdr:row>36</xdr:row>
      <xdr:rowOff>176212</xdr:rowOff>
    </xdr:from>
    <xdr:to>
      <xdr:col>10</xdr:col>
      <xdr:colOff>476250</xdr:colOff>
      <xdr:row>51</xdr:row>
      <xdr:rowOff>61912</xdr:rowOff>
    </xdr:to>
    <xdr:graphicFrame macro="">
      <xdr:nvGraphicFramePr>
        <xdr:cNvPr id="7" name="Chart 6">
          <a:extLst>
            <a:ext uri="{FF2B5EF4-FFF2-40B4-BE49-F238E27FC236}">
              <a16:creationId xmlns:a16="http://schemas.microsoft.com/office/drawing/2014/main" id="{B3FE5A83-43FB-21AC-71A5-79B599656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133350</xdr:colOff>
      <xdr:row>57</xdr:row>
      <xdr:rowOff>180975</xdr:rowOff>
    </xdr:from>
    <xdr:to>
      <xdr:col>11</xdr:col>
      <xdr:colOff>590550</xdr:colOff>
      <xdr:row>71</xdr:row>
      <xdr:rowOff>171450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F0ADCEA-D14B-A880-F1F0-C96ECE8EB56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372350" y="1049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58</xdr:row>
      <xdr:rowOff>0</xdr:rowOff>
    </xdr:from>
    <xdr:to>
      <xdr:col>1</xdr:col>
      <xdr:colOff>895350</xdr:colOff>
      <xdr:row>71</xdr:row>
      <xdr:rowOff>171450</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92E476CC-C177-912F-05AD-A562887BB32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7150" y="1049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361950</xdr:colOff>
      <xdr:row>58</xdr:row>
      <xdr:rowOff>0</xdr:rowOff>
    </xdr:from>
    <xdr:to>
      <xdr:col>4</xdr:col>
      <xdr:colOff>552450</xdr:colOff>
      <xdr:row>71</xdr:row>
      <xdr:rowOff>171450</xdr:rowOff>
    </xdr:to>
    <mc:AlternateContent xmlns:mc="http://schemas.openxmlformats.org/markup-compatibility/2006" xmlns:a14="http://schemas.microsoft.com/office/drawing/2010/main">
      <mc:Choice Requires="a14">
        <xdr:graphicFrame macro="">
          <xdr:nvGraphicFramePr>
            <xdr:cNvPr id="10" name="Shipment Status">
              <a:extLst>
                <a:ext uri="{FF2B5EF4-FFF2-40B4-BE49-F238E27FC236}">
                  <a16:creationId xmlns:a16="http://schemas.microsoft.com/office/drawing/2014/main" id="{C873CB97-9899-3754-3A1F-0E06F9159FC0}"/>
                </a:ext>
              </a:extLst>
            </xdr:cNvPr>
            <xdr:cNvGraphicFramePr/>
          </xdr:nvGraphicFramePr>
          <xdr:xfrm>
            <a:off x="0" y="0"/>
            <a:ext cx="0" cy="0"/>
          </xdr:xfrm>
          <a:graphic>
            <a:graphicData uri="http://schemas.microsoft.com/office/drawing/2010/slicer">
              <sle:slicer xmlns:sle="http://schemas.microsoft.com/office/drawing/2010/slicer" name="Shipment Status"/>
            </a:graphicData>
          </a:graphic>
        </xdr:graphicFrame>
      </mc:Choice>
      <mc:Fallback xmlns="">
        <xdr:sp macro="" textlink="">
          <xdr:nvSpPr>
            <xdr:cNvPr id="0" name=""/>
            <xdr:cNvSpPr>
              <a:spLocks noTextEdit="1"/>
            </xdr:cNvSpPr>
          </xdr:nvSpPr>
          <xdr:spPr>
            <a:xfrm>
              <a:off x="2533650" y="1049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504825</xdr:colOff>
      <xdr:row>58</xdr:row>
      <xdr:rowOff>9525</xdr:rowOff>
    </xdr:from>
    <xdr:to>
      <xdr:col>8</xdr:col>
      <xdr:colOff>276225</xdr:colOff>
      <xdr:row>72</xdr:row>
      <xdr:rowOff>0</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00EF5078-90A9-8918-0E82-93D3D2F8EA5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000625" y="10506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1090084</xdr:colOff>
      <xdr:row>11</xdr:row>
      <xdr:rowOff>27214</xdr:rowOff>
    </xdr:from>
    <xdr:to>
      <xdr:col>12</xdr:col>
      <xdr:colOff>603250</xdr:colOff>
      <xdr:row>27</xdr:row>
      <xdr:rowOff>158750</xdr:rowOff>
    </xdr:to>
    <xdr:graphicFrame macro="">
      <xdr:nvGraphicFramePr>
        <xdr:cNvPr id="2" name="Chart 1">
          <a:extLst>
            <a:ext uri="{FF2B5EF4-FFF2-40B4-BE49-F238E27FC236}">
              <a16:creationId xmlns:a16="http://schemas.microsoft.com/office/drawing/2014/main" id="{DA0C85FA-78BB-4421-B027-76A10F2B1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337154</xdr:colOff>
      <xdr:row>11</xdr:row>
      <xdr:rowOff>30239</xdr:rowOff>
    </xdr:from>
    <xdr:to>
      <xdr:col>15</xdr:col>
      <xdr:colOff>3515178</xdr:colOff>
      <xdr:row>23</xdr:row>
      <xdr:rowOff>136072</xdr:rowOff>
    </xdr:to>
    <xdr:graphicFrame macro="">
      <xdr:nvGraphicFramePr>
        <xdr:cNvPr id="3" name="Chart 2">
          <a:extLst>
            <a:ext uri="{FF2B5EF4-FFF2-40B4-BE49-F238E27FC236}">
              <a16:creationId xmlns:a16="http://schemas.microsoft.com/office/drawing/2014/main" id="{9E740F81-6605-4369-92E1-D8FA89D6A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801159</xdr:colOff>
      <xdr:row>29</xdr:row>
      <xdr:rowOff>0</xdr:rowOff>
    </xdr:from>
    <xdr:to>
      <xdr:col>13</xdr:col>
      <xdr:colOff>36286</xdr:colOff>
      <xdr:row>44</xdr:row>
      <xdr:rowOff>137584</xdr:rowOff>
    </xdr:to>
    <xdr:graphicFrame macro="">
      <xdr:nvGraphicFramePr>
        <xdr:cNvPr id="4" name="Chart 3">
          <a:extLst>
            <a:ext uri="{FF2B5EF4-FFF2-40B4-BE49-F238E27FC236}">
              <a16:creationId xmlns:a16="http://schemas.microsoft.com/office/drawing/2014/main" id="{181B9CF7-FCF2-443E-B8BD-F69D1672E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367394</xdr:colOff>
      <xdr:row>25</xdr:row>
      <xdr:rowOff>143630</xdr:rowOff>
    </xdr:from>
    <xdr:to>
      <xdr:col>15</xdr:col>
      <xdr:colOff>3537857</xdr:colOff>
      <xdr:row>44</xdr:row>
      <xdr:rowOff>137584</xdr:rowOff>
    </xdr:to>
    <xdr:graphicFrame macro="">
      <xdr:nvGraphicFramePr>
        <xdr:cNvPr id="5" name="Chart 4">
          <a:extLst>
            <a:ext uri="{FF2B5EF4-FFF2-40B4-BE49-F238E27FC236}">
              <a16:creationId xmlns:a16="http://schemas.microsoft.com/office/drawing/2014/main" id="{516FE54E-0411-47F8-96DC-3E896C945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201083</xdr:colOff>
      <xdr:row>20</xdr:row>
      <xdr:rowOff>45812</xdr:rowOff>
    </xdr:from>
    <xdr:to>
      <xdr:col>1</xdr:col>
      <xdr:colOff>1340643</xdr:colOff>
      <xdr:row>27</xdr:row>
      <xdr:rowOff>167256</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2B5E8167-9368-4A96-B53F-5D1B339317E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01083" y="3707645"/>
              <a:ext cx="1827477" cy="1380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217564</xdr:colOff>
      <xdr:row>28</xdr:row>
      <xdr:rowOff>73025</xdr:rowOff>
    </xdr:from>
    <xdr:to>
      <xdr:col>1</xdr:col>
      <xdr:colOff>1357124</xdr:colOff>
      <xdr:row>36</xdr:row>
      <xdr:rowOff>15875</xdr:rowOff>
    </xdr:to>
    <mc:AlternateContent xmlns:mc="http://schemas.openxmlformats.org/markup-compatibility/2006" xmlns:a14="http://schemas.microsoft.com/office/drawing/2010/main">
      <mc:Choice Requires="a14">
        <xdr:graphicFrame macro="">
          <xdr:nvGraphicFramePr>
            <xdr:cNvPr id="8" name="Shipment Status 1">
              <a:extLst>
                <a:ext uri="{FF2B5EF4-FFF2-40B4-BE49-F238E27FC236}">
                  <a16:creationId xmlns:a16="http://schemas.microsoft.com/office/drawing/2014/main" id="{69C63431-9864-40EC-B852-7BA6B7FCB35C}"/>
                </a:ext>
              </a:extLst>
            </xdr:cNvPr>
            <xdr:cNvGraphicFramePr/>
          </xdr:nvGraphicFramePr>
          <xdr:xfrm>
            <a:off x="0" y="0"/>
            <a:ext cx="0" cy="0"/>
          </xdr:xfrm>
          <a:graphic>
            <a:graphicData uri="http://schemas.microsoft.com/office/drawing/2010/slicer">
              <sle:slicer xmlns:sle="http://schemas.microsoft.com/office/drawing/2010/slicer" name="Shipment Status 1"/>
            </a:graphicData>
          </a:graphic>
        </xdr:graphicFrame>
      </mc:Choice>
      <mc:Fallback xmlns="">
        <xdr:sp macro="" textlink="">
          <xdr:nvSpPr>
            <xdr:cNvPr id="0" name=""/>
            <xdr:cNvSpPr>
              <a:spLocks noTextEdit="1"/>
            </xdr:cNvSpPr>
          </xdr:nvSpPr>
          <xdr:spPr>
            <a:xfrm>
              <a:off x="217564" y="5174192"/>
              <a:ext cx="1827477" cy="1382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227541</xdr:colOff>
      <xdr:row>36</xdr:row>
      <xdr:rowOff>93133</xdr:rowOff>
    </xdr:from>
    <xdr:to>
      <xdr:col>1</xdr:col>
      <xdr:colOff>1367101</xdr:colOff>
      <xdr:row>44</xdr:row>
      <xdr:rowOff>35983</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6422E0C5-9D23-4229-B386-84C2E81073B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27541" y="6633633"/>
              <a:ext cx="1827477" cy="1382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189442</xdr:colOff>
      <xdr:row>12</xdr:row>
      <xdr:rowOff>10581</xdr:rowOff>
    </xdr:from>
    <xdr:to>
      <xdr:col>1</xdr:col>
      <xdr:colOff>1329002</xdr:colOff>
      <xdr:row>19</xdr:row>
      <xdr:rowOff>132025</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9877D35B-9467-8D74-F8BB-7696C104D16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89442" y="2233081"/>
              <a:ext cx="1827477" cy="13808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callaghan Bob" refreshedDate="46008.38073715278" createdVersion="8" refreshedVersion="8" minRefreshableVersion="3" recordCount="1000" xr:uid="{1997568B-AB21-4B5F-B0C0-593045D59BB1}">
  <cacheSource type="worksheet">
    <worksheetSource name="SalesData"/>
  </cacheSource>
  <cacheFields count="22">
    <cacheField name="Order ID" numFmtId="0">
      <sharedItems count="1000">
        <s v="OR0001"/>
        <s v="OR0002"/>
        <s v="OR0003"/>
        <s v="OR0004"/>
        <s v="OR0005"/>
        <s v="OR0006"/>
        <s v="OR0007"/>
        <s v="OR0008"/>
        <s v="OR0009"/>
        <s v="OR0010"/>
        <s v="OR0011"/>
        <s v="OR0012"/>
        <s v="OR0013"/>
        <s v="OR0014"/>
        <s v="OR0015"/>
        <s v="OR0016"/>
        <s v="OR0017"/>
        <s v="OR0018"/>
        <s v="OR0019"/>
        <s v="OR0020"/>
        <s v="OR0021"/>
        <s v="OR0022"/>
        <s v="OR0023"/>
        <s v="OR0024"/>
        <s v="OR0025"/>
        <s v="OR0026"/>
        <s v="OR0027"/>
        <s v="OR0028"/>
        <s v="OR0029"/>
        <s v="OR0030"/>
        <s v="OR0031"/>
        <s v="OR0032"/>
        <s v="OR0033"/>
        <s v="OR0034"/>
        <s v="OR0035"/>
        <s v="OR0036"/>
        <s v="OR0037"/>
        <s v="OR0038"/>
        <s v="OR0039"/>
        <s v="OR0040"/>
        <s v="OR0041"/>
        <s v="OR0042"/>
        <s v="OR0043"/>
        <s v="OR0044"/>
        <s v="OR0045"/>
        <s v="OR0046"/>
        <s v="OR0047"/>
        <s v="OR0048"/>
        <s v="OR0049"/>
        <s v="OR0050"/>
        <s v="OR0051"/>
        <s v="OR0052"/>
        <s v="OR0053"/>
        <s v="OR0054"/>
        <s v="OR0055"/>
        <s v="OR0056"/>
        <s v="OR0057"/>
        <s v="OR0058"/>
        <s v="OR0059"/>
        <s v="OR0060"/>
        <s v="OR0061"/>
        <s v="OR0062"/>
        <s v="OR0063"/>
        <s v="OR0064"/>
        <s v="OR0065"/>
        <s v="OR0066"/>
        <s v="OR0067"/>
        <s v="OR0068"/>
        <s v="OR0069"/>
        <s v="OR0070"/>
        <s v="OR0071"/>
        <s v="OR0072"/>
        <s v="OR0073"/>
        <s v="OR0074"/>
        <s v="OR0075"/>
        <s v="OR0076"/>
        <s v="OR0077"/>
        <s v="OR0078"/>
        <s v="OR0079"/>
        <s v="OR0080"/>
        <s v="OR0081"/>
        <s v="OR0082"/>
        <s v="OR0083"/>
        <s v="OR0084"/>
        <s v="OR0085"/>
        <s v="OR0086"/>
        <s v="OR0087"/>
        <s v="OR0088"/>
        <s v="OR0089"/>
        <s v="OR0090"/>
        <s v="OR0091"/>
        <s v="OR0092"/>
        <s v="OR0093"/>
        <s v="OR0094"/>
        <s v="OR0095"/>
        <s v="OR0096"/>
        <s v="OR0097"/>
        <s v="OR0098"/>
        <s v="OR0099"/>
        <s v="OR0100"/>
        <s v="OR0101"/>
        <s v="OR0102"/>
        <s v="OR0103"/>
        <s v="OR0104"/>
        <s v="OR0105"/>
        <s v="OR0106"/>
        <s v="OR0107"/>
        <s v="OR0108"/>
        <s v="OR0109"/>
        <s v="OR0110"/>
        <s v="OR0111"/>
        <s v="OR0112"/>
        <s v="OR0113"/>
        <s v="OR0114"/>
        <s v="OR0115"/>
        <s v="OR0116"/>
        <s v="OR0117"/>
        <s v="OR0118"/>
        <s v="OR0119"/>
        <s v="OR0120"/>
        <s v="OR0121"/>
        <s v="OR0122"/>
        <s v="OR0123"/>
        <s v="OR0124"/>
        <s v="OR0125"/>
        <s v="OR0126"/>
        <s v="OR0127"/>
        <s v="OR0128"/>
        <s v="OR0129"/>
        <s v="OR0130"/>
        <s v="OR0131"/>
        <s v="OR0132"/>
        <s v="OR0133"/>
        <s v="OR0134"/>
        <s v="OR0135"/>
        <s v="OR0136"/>
        <s v="OR0137"/>
        <s v="OR0138"/>
        <s v="OR0139"/>
        <s v="OR0140"/>
        <s v="OR0141"/>
        <s v="OR0142"/>
        <s v="OR0143"/>
        <s v="OR0144"/>
        <s v="OR0145"/>
        <s v="OR0146"/>
        <s v="OR0147"/>
        <s v="OR0148"/>
        <s v="OR0149"/>
        <s v="OR0150"/>
        <s v="OR0151"/>
        <s v="OR0152"/>
        <s v="OR0153"/>
        <s v="OR0154"/>
        <s v="OR0155"/>
        <s v="OR0156"/>
        <s v="OR0157"/>
        <s v="OR0158"/>
        <s v="OR0159"/>
        <s v="OR0160"/>
        <s v="OR0161"/>
        <s v="OR0162"/>
        <s v="OR0163"/>
        <s v="OR0164"/>
        <s v="OR0165"/>
        <s v="OR0166"/>
        <s v="OR0167"/>
        <s v="OR0168"/>
        <s v="OR0169"/>
        <s v="OR0170"/>
        <s v="OR0171"/>
        <s v="OR0172"/>
        <s v="OR0173"/>
        <s v="OR0174"/>
        <s v="OR0175"/>
        <s v="OR0176"/>
        <s v="OR0177"/>
        <s v="OR0178"/>
        <s v="OR0179"/>
        <s v="OR0180"/>
        <s v="OR0181"/>
        <s v="OR0182"/>
        <s v="OR0183"/>
        <s v="OR0184"/>
        <s v="OR0185"/>
        <s v="OR0186"/>
        <s v="OR0187"/>
        <s v="OR0188"/>
        <s v="OR0189"/>
        <s v="OR0190"/>
        <s v="OR0191"/>
        <s v="OR0192"/>
        <s v="OR0193"/>
        <s v="OR0194"/>
        <s v="OR0195"/>
        <s v="OR0196"/>
        <s v="OR0197"/>
        <s v="OR0198"/>
        <s v="OR0199"/>
        <s v="OR0200"/>
        <s v="OR0201"/>
        <s v="OR0202"/>
        <s v="OR0203"/>
        <s v="OR0204"/>
        <s v="OR0205"/>
        <s v="OR0206"/>
        <s v="OR0207"/>
        <s v="OR0208"/>
        <s v="OR0209"/>
        <s v="OR0210"/>
        <s v="OR0211"/>
        <s v="OR0212"/>
        <s v="OR0213"/>
        <s v="OR0214"/>
        <s v="OR0215"/>
        <s v="OR0216"/>
        <s v="OR0217"/>
        <s v="OR0218"/>
        <s v="OR0219"/>
        <s v="OR0220"/>
        <s v="OR0221"/>
        <s v="OR0222"/>
        <s v="OR0223"/>
        <s v="OR0224"/>
        <s v="OR0225"/>
        <s v="OR0226"/>
        <s v="OR0227"/>
        <s v="OR0228"/>
        <s v="OR0229"/>
        <s v="OR0230"/>
        <s v="OR0231"/>
        <s v="OR0232"/>
        <s v="OR0233"/>
        <s v="OR0234"/>
        <s v="OR0235"/>
        <s v="OR0236"/>
        <s v="OR0237"/>
        <s v="OR0238"/>
        <s v="OR0239"/>
        <s v="OR0240"/>
        <s v="OR0241"/>
        <s v="OR0242"/>
        <s v="OR0243"/>
        <s v="OR0244"/>
        <s v="OR0245"/>
        <s v="OR0246"/>
        <s v="OR0247"/>
        <s v="OR0248"/>
        <s v="OR0249"/>
        <s v="OR0250"/>
        <s v="OR0251"/>
        <s v="OR0252"/>
        <s v="OR0253"/>
        <s v="OR0254"/>
        <s v="OR0255"/>
        <s v="OR0256"/>
        <s v="OR0257"/>
        <s v="OR0258"/>
        <s v="OR0259"/>
        <s v="OR0260"/>
        <s v="OR0261"/>
        <s v="OR0262"/>
        <s v="OR0263"/>
        <s v="OR0264"/>
        <s v="OR0265"/>
        <s v="OR0266"/>
        <s v="OR0267"/>
        <s v="OR0268"/>
        <s v="OR0269"/>
        <s v="OR0270"/>
        <s v="OR0271"/>
        <s v="OR0272"/>
        <s v="OR0273"/>
        <s v="OR0274"/>
        <s v="OR0275"/>
        <s v="OR0276"/>
        <s v="OR0277"/>
        <s v="OR0278"/>
        <s v="OR0279"/>
        <s v="OR0280"/>
        <s v="OR0281"/>
        <s v="OR0282"/>
        <s v="OR0283"/>
        <s v="OR0284"/>
        <s v="OR0285"/>
        <s v="OR0286"/>
        <s v="OR0287"/>
        <s v="OR0288"/>
        <s v="OR0289"/>
        <s v="OR0290"/>
        <s v="OR0291"/>
        <s v="OR0292"/>
        <s v="OR0293"/>
        <s v="OR0294"/>
        <s v="OR0295"/>
        <s v="OR0296"/>
        <s v="OR0297"/>
        <s v="OR0298"/>
        <s v="OR0299"/>
        <s v="OR0300"/>
        <s v="OR0301"/>
        <s v="OR0302"/>
        <s v="OR0303"/>
        <s v="OR0304"/>
        <s v="OR0305"/>
        <s v="OR0306"/>
        <s v="OR0307"/>
        <s v="OR0308"/>
        <s v="OR0309"/>
        <s v="OR0310"/>
        <s v="OR0311"/>
        <s v="OR0312"/>
        <s v="OR0313"/>
        <s v="OR0314"/>
        <s v="OR0315"/>
        <s v="OR0316"/>
        <s v="OR0317"/>
        <s v="OR0318"/>
        <s v="OR0319"/>
        <s v="OR0320"/>
        <s v="OR0321"/>
        <s v="OR0322"/>
        <s v="OR0323"/>
        <s v="OR0324"/>
        <s v="OR0325"/>
        <s v="OR0326"/>
        <s v="OR0327"/>
        <s v="OR0328"/>
        <s v="OR0329"/>
        <s v="OR0330"/>
        <s v="OR0331"/>
        <s v="OR0332"/>
        <s v="OR0333"/>
        <s v="OR0334"/>
        <s v="OR0335"/>
        <s v="OR0336"/>
        <s v="OR0337"/>
        <s v="OR0338"/>
        <s v="OR0339"/>
        <s v="OR0340"/>
        <s v="OR0341"/>
        <s v="OR0342"/>
        <s v="OR0343"/>
        <s v="OR0344"/>
        <s v="OR0345"/>
        <s v="OR0346"/>
        <s v="OR0347"/>
        <s v="OR0348"/>
        <s v="OR0349"/>
        <s v="OR0350"/>
        <s v="OR0351"/>
        <s v="OR0352"/>
        <s v="OR0353"/>
        <s v="OR0354"/>
        <s v="OR0355"/>
        <s v="OR0356"/>
        <s v="OR0357"/>
        <s v="OR0358"/>
        <s v="OR0359"/>
        <s v="OR0360"/>
        <s v="OR0361"/>
        <s v="OR0362"/>
        <s v="OR0363"/>
        <s v="OR0364"/>
        <s v="OR0365"/>
        <s v="OR0366"/>
        <s v="OR0367"/>
        <s v="OR0368"/>
        <s v="OR0369"/>
        <s v="OR0370"/>
        <s v="OR0371"/>
        <s v="OR0372"/>
        <s v="OR0373"/>
        <s v="OR0374"/>
        <s v="OR0375"/>
        <s v="OR0376"/>
        <s v="OR0377"/>
        <s v="OR0378"/>
        <s v="OR0379"/>
        <s v="OR0380"/>
        <s v="OR0381"/>
        <s v="OR0382"/>
        <s v="OR0383"/>
        <s v="OR0384"/>
        <s v="OR0385"/>
        <s v="OR0386"/>
        <s v="OR0387"/>
        <s v="OR0388"/>
        <s v="OR0389"/>
        <s v="OR0390"/>
        <s v="OR0391"/>
        <s v="OR0392"/>
        <s v="OR0393"/>
        <s v="OR0394"/>
        <s v="OR0395"/>
        <s v="OR0396"/>
        <s v="OR0397"/>
        <s v="OR0398"/>
        <s v="OR0399"/>
        <s v="OR0400"/>
        <s v="OR0401"/>
        <s v="OR0402"/>
        <s v="OR0403"/>
        <s v="OR0404"/>
        <s v="OR0405"/>
        <s v="OR0406"/>
        <s v="OR0407"/>
        <s v="OR0408"/>
        <s v="OR0409"/>
        <s v="OR0410"/>
        <s v="OR0411"/>
        <s v="OR0412"/>
        <s v="OR0413"/>
        <s v="OR0414"/>
        <s v="OR0415"/>
        <s v="OR0416"/>
        <s v="OR0417"/>
        <s v="OR0418"/>
        <s v="OR0419"/>
        <s v="OR0420"/>
        <s v="OR0421"/>
        <s v="OR0422"/>
        <s v="OR0423"/>
        <s v="OR0424"/>
        <s v="OR0425"/>
        <s v="OR0426"/>
        <s v="OR0427"/>
        <s v="OR0428"/>
        <s v="OR0429"/>
        <s v="OR0430"/>
        <s v="OR0431"/>
        <s v="OR0432"/>
        <s v="OR0433"/>
        <s v="OR0434"/>
        <s v="OR0435"/>
        <s v="OR0436"/>
        <s v="OR0437"/>
        <s v="OR0438"/>
        <s v="OR0439"/>
        <s v="OR0440"/>
        <s v="OR0441"/>
        <s v="OR0442"/>
        <s v="OR0443"/>
        <s v="OR0444"/>
        <s v="OR0445"/>
        <s v="OR0446"/>
        <s v="OR0447"/>
        <s v="OR0448"/>
        <s v="OR0449"/>
        <s v="OR0450"/>
        <s v="OR0451"/>
        <s v="OR0452"/>
        <s v="OR0453"/>
        <s v="OR0454"/>
        <s v="OR0455"/>
        <s v="OR0456"/>
        <s v="OR0457"/>
        <s v="OR0458"/>
        <s v="OR0459"/>
        <s v="OR0460"/>
        <s v="OR0461"/>
        <s v="OR0462"/>
        <s v="OR0463"/>
        <s v="OR0464"/>
        <s v="OR0465"/>
        <s v="OR0466"/>
        <s v="OR0467"/>
        <s v="OR0468"/>
        <s v="OR0469"/>
        <s v="OR0470"/>
        <s v="OR0471"/>
        <s v="OR0472"/>
        <s v="OR0473"/>
        <s v="OR0474"/>
        <s v="OR0475"/>
        <s v="OR0476"/>
        <s v="OR0477"/>
        <s v="OR0478"/>
        <s v="OR0479"/>
        <s v="OR0480"/>
        <s v="OR0481"/>
        <s v="OR0482"/>
        <s v="OR0483"/>
        <s v="OR0484"/>
        <s v="OR0485"/>
        <s v="OR0486"/>
        <s v="OR0487"/>
        <s v="OR0488"/>
        <s v="OR0489"/>
        <s v="OR0490"/>
        <s v="OR0491"/>
        <s v="OR0492"/>
        <s v="OR0493"/>
        <s v="OR0494"/>
        <s v="OR0495"/>
        <s v="OR0496"/>
        <s v="OR0497"/>
        <s v="OR0498"/>
        <s v="OR0499"/>
        <s v="OR0500"/>
        <s v="OR0501"/>
        <s v="OR0502"/>
        <s v="OR0503"/>
        <s v="OR0504"/>
        <s v="OR0505"/>
        <s v="OR0506"/>
        <s v="OR0507"/>
        <s v="OR0508"/>
        <s v="OR0509"/>
        <s v="OR0510"/>
        <s v="OR0511"/>
        <s v="OR0512"/>
        <s v="OR0513"/>
        <s v="OR0514"/>
        <s v="OR0515"/>
        <s v="OR0516"/>
        <s v="OR0517"/>
        <s v="OR0518"/>
        <s v="OR0519"/>
        <s v="OR0520"/>
        <s v="OR0521"/>
        <s v="OR0522"/>
        <s v="OR0523"/>
        <s v="OR0524"/>
        <s v="OR0525"/>
        <s v="OR0526"/>
        <s v="OR0527"/>
        <s v="OR0528"/>
        <s v="OR0529"/>
        <s v="OR0530"/>
        <s v="OR0531"/>
        <s v="OR0532"/>
        <s v="OR0533"/>
        <s v="OR0534"/>
        <s v="OR0535"/>
        <s v="OR0536"/>
        <s v="OR0537"/>
        <s v="OR0538"/>
        <s v="OR0539"/>
        <s v="OR0540"/>
        <s v="OR0541"/>
        <s v="OR0542"/>
        <s v="OR0543"/>
        <s v="OR0544"/>
        <s v="OR0545"/>
        <s v="OR0546"/>
        <s v="OR0547"/>
        <s v="OR0548"/>
        <s v="OR0549"/>
        <s v="OR0550"/>
        <s v="OR0551"/>
        <s v="OR0552"/>
        <s v="OR0553"/>
        <s v="OR0554"/>
        <s v="OR0555"/>
        <s v="OR0556"/>
        <s v="OR0557"/>
        <s v="OR0558"/>
        <s v="OR0559"/>
        <s v="OR0560"/>
        <s v="OR0561"/>
        <s v="OR0562"/>
        <s v="OR0563"/>
        <s v="OR0564"/>
        <s v="OR0565"/>
        <s v="OR0566"/>
        <s v="OR0567"/>
        <s v="OR0568"/>
        <s v="OR0569"/>
        <s v="OR0570"/>
        <s v="OR0571"/>
        <s v="OR0572"/>
        <s v="OR0573"/>
        <s v="OR0574"/>
        <s v="OR0575"/>
        <s v="OR0576"/>
        <s v="OR0577"/>
        <s v="OR0578"/>
        <s v="OR0579"/>
        <s v="OR0580"/>
        <s v="OR0581"/>
        <s v="OR0582"/>
        <s v="OR0583"/>
        <s v="OR0584"/>
        <s v="OR0585"/>
        <s v="OR0586"/>
        <s v="OR0587"/>
        <s v="OR0588"/>
        <s v="OR0589"/>
        <s v="OR0590"/>
        <s v="OR0591"/>
        <s v="OR0592"/>
        <s v="OR0593"/>
        <s v="OR0594"/>
        <s v="OR0595"/>
        <s v="OR0596"/>
        <s v="OR0597"/>
        <s v="OR0598"/>
        <s v="OR0599"/>
        <s v="OR0600"/>
        <s v="OR0601"/>
        <s v="OR0602"/>
        <s v="OR0603"/>
        <s v="OR0604"/>
        <s v="OR0605"/>
        <s v="OR0606"/>
        <s v="OR0607"/>
        <s v="OR0608"/>
        <s v="OR0609"/>
        <s v="OR0610"/>
        <s v="OR0611"/>
        <s v="OR0612"/>
        <s v="OR0613"/>
        <s v="OR0614"/>
        <s v="OR0615"/>
        <s v="OR0616"/>
        <s v="OR0617"/>
        <s v="OR0618"/>
        <s v="OR0619"/>
        <s v="OR0620"/>
        <s v="OR0621"/>
        <s v="OR0622"/>
        <s v="OR0623"/>
        <s v="OR0624"/>
        <s v="OR0625"/>
        <s v="OR0626"/>
        <s v="OR0627"/>
        <s v="OR0628"/>
        <s v="OR0629"/>
        <s v="OR0630"/>
        <s v="OR0631"/>
        <s v="OR0632"/>
        <s v="OR0633"/>
        <s v="OR0634"/>
        <s v="OR0635"/>
        <s v="OR0636"/>
        <s v="OR0637"/>
        <s v="OR0638"/>
        <s v="OR0639"/>
        <s v="OR0640"/>
        <s v="OR0641"/>
        <s v="OR0642"/>
        <s v="OR0643"/>
        <s v="OR0644"/>
        <s v="OR0645"/>
        <s v="OR0646"/>
        <s v="OR0647"/>
        <s v="OR0648"/>
        <s v="OR0649"/>
        <s v="OR0650"/>
        <s v="OR0651"/>
        <s v="OR0652"/>
        <s v="OR0653"/>
        <s v="OR0654"/>
        <s v="OR0655"/>
        <s v="OR0656"/>
        <s v="OR0657"/>
        <s v="OR0658"/>
        <s v="OR0659"/>
        <s v="OR0660"/>
        <s v="OR0661"/>
        <s v="OR0662"/>
        <s v="OR0663"/>
        <s v="OR0664"/>
        <s v="OR0665"/>
        <s v="OR0666"/>
        <s v="OR0667"/>
        <s v="OR0668"/>
        <s v="OR0669"/>
        <s v="OR0670"/>
        <s v="OR0671"/>
        <s v="OR0672"/>
        <s v="OR0673"/>
        <s v="OR0674"/>
        <s v="OR0675"/>
        <s v="OR0676"/>
        <s v="OR0677"/>
        <s v="OR0678"/>
        <s v="OR0679"/>
        <s v="OR0680"/>
        <s v="OR0681"/>
        <s v="OR0682"/>
        <s v="OR0683"/>
        <s v="OR0684"/>
        <s v="OR0685"/>
        <s v="OR0686"/>
        <s v="OR0687"/>
        <s v="OR0688"/>
        <s v="OR0689"/>
        <s v="OR0690"/>
        <s v="OR0691"/>
        <s v="OR0692"/>
        <s v="OR0693"/>
        <s v="OR0694"/>
        <s v="OR0695"/>
        <s v="OR0696"/>
        <s v="OR0697"/>
        <s v="OR0698"/>
        <s v="OR0699"/>
        <s v="OR0700"/>
        <s v="OR0701"/>
        <s v="OR0702"/>
        <s v="OR0703"/>
        <s v="OR0704"/>
        <s v="OR0705"/>
        <s v="OR0706"/>
        <s v="OR0707"/>
        <s v="OR0708"/>
        <s v="OR0709"/>
        <s v="OR0710"/>
        <s v="OR0711"/>
        <s v="OR0712"/>
        <s v="OR0713"/>
        <s v="OR0714"/>
        <s v="OR0715"/>
        <s v="OR0716"/>
        <s v="OR0717"/>
        <s v="OR0718"/>
        <s v="OR0719"/>
        <s v="OR0720"/>
        <s v="OR0721"/>
        <s v="OR0722"/>
        <s v="OR0723"/>
        <s v="OR0724"/>
        <s v="OR0725"/>
        <s v="OR0726"/>
        <s v="OR0727"/>
        <s v="OR0728"/>
        <s v="OR0729"/>
        <s v="OR0730"/>
        <s v="OR0731"/>
        <s v="OR0732"/>
        <s v="OR0733"/>
        <s v="OR0734"/>
        <s v="OR0735"/>
        <s v="OR0736"/>
        <s v="OR0737"/>
        <s v="OR0738"/>
        <s v="OR0739"/>
        <s v="OR0740"/>
        <s v="OR0741"/>
        <s v="OR0742"/>
        <s v="OR0743"/>
        <s v="OR0744"/>
        <s v="OR0745"/>
        <s v="OR0746"/>
        <s v="OR0747"/>
        <s v="OR0748"/>
        <s v="OR0749"/>
        <s v="OR0750"/>
        <s v="OR0751"/>
        <s v="OR0752"/>
        <s v="OR0753"/>
        <s v="OR0754"/>
        <s v="OR0755"/>
        <s v="OR0756"/>
        <s v="OR0757"/>
        <s v="OR0758"/>
        <s v="OR0759"/>
        <s v="OR0760"/>
        <s v="OR0761"/>
        <s v="OR0762"/>
        <s v="OR0763"/>
        <s v="OR0764"/>
        <s v="OR0765"/>
        <s v="OR0766"/>
        <s v="OR0767"/>
        <s v="OR0768"/>
        <s v="OR0769"/>
        <s v="OR0770"/>
        <s v="OR0771"/>
        <s v="OR0772"/>
        <s v="OR0773"/>
        <s v="OR0774"/>
        <s v="OR0775"/>
        <s v="OR0776"/>
        <s v="OR0777"/>
        <s v="OR0778"/>
        <s v="OR0779"/>
        <s v="OR0780"/>
        <s v="OR0781"/>
        <s v="OR0782"/>
        <s v="OR0783"/>
        <s v="OR0784"/>
        <s v="OR0785"/>
        <s v="OR0786"/>
        <s v="OR0787"/>
        <s v="OR0788"/>
        <s v="OR0789"/>
        <s v="OR0790"/>
        <s v="OR0791"/>
        <s v="OR0792"/>
        <s v="OR0793"/>
        <s v="OR0794"/>
        <s v="OR0795"/>
        <s v="OR0796"/>
        <s v="OR0797"/>
        <s v="OR0798"/>
        <s v="OR0799"/>
        <s v="OR0800"/>
        <s v="OR0801"/>
        <s v="OR0802"/>
        <s v="OR0803"/>
        <s v="OR0804"/>
        <s v="OR0805"/>
        <s v="OR0806"/>
        <s v="OR0807"/>
        <s v="OR0808"/>
        <s v="OR0809"/>
        <s v="OR0810"/>
        <s v="OR0811"/>
        <s v="OR0812"/>
        <s v="OR0813"/>
        <s v="OR0814"/>
        <s v="OR0815"/>
        <s v="OR0816"/>
        <s v="OR0817"/>
        <s v="OR0818"/>
        <s v="OR0819"/>
        <s v="OR0820"/>
        <s v="OR0821"/>
        <s v="OR0822"/>
        <s v="OR0823"/>
        <s v="OR0824"/>
        <s v="OR0825"/>
        <s v="OR0826"/>
        <s v="OR0827"/>
        <s v="OR0828"/>
        <s v="OR0829"/>
        <s v="OR0830"/>
        <s v="OR0831"/>
        <s v="OR0832"/>
        <s v="OR0833"/>
        <s v="OR0834"/>
        <s v="OR0835"/>
        <s v="OR0836"/>
        <s v="OR0837"/>
        <s v="OR0838"/>
        <s v="OR0839"/>
        <s v="OR0840"/>
        <s v="OR0841"/>
        <s v="OR0842"/>
        <s v="OR0843"/>
        <s v="OR0844"/>
        <s v="OR0845"/>
        <s v="OR0846"/>
        <s v="OR0847"/>
        <s v="OR0848"/>
        <s v="OR0849"/>
        <s v="OR0850"/>
        <s v="OR0851"/>
        <s v="OR0852"/>
        <s v="OR0853"/>
        <s v="OR0854"/>
        <s v="OR0855"/>
        <s v="OR0856"/>
        <s v="OR0857"/>
        <s v="OR0858"/>
        <s v="OR0859"/>
        <s v="OR0860"/>
        <s v="OR0861"/>
        <s v="OR0862"/>
        <s v="OR0863"/>
        <s v="OR0864"/>
        <s v="OR0865"/>
        <s v="OR0866"/>
        <s v="OR0867"/>
        <s v="OR0868"/>
        <s v="OR0869"/>
        <s v="OR0870"/>
        <s v="OR0871"/>
        <s v="OR0872"/>
        <s v="OR0873"/>
        <s v="OR0874"/>
        <s v="OR0875"/>
        <s v="OR0876"/>
        <s v="OR0877"/>
        <s v="OR0878"/>
        <s v="OR0879"/>
        <s v="OR0880"/>
        <s v="OR0881"/>
        <s v="OR0882"/>
        <s v="OR0883"/>
        <s v="OR0884"/>
        <s v="OR0885"/>
        <s v="OR0886"/>
        <s v="OR0887"/>
        <s v="OR0888"/>
        <s v="OR0889"/>
        <s v="OR0890"/>
        <s v="OR0891"/>
        <s v="OR0892"/>
        <s v="OR0893"/>
        <s v="OR0894"/>
        <s v="OR0895"/>
        <s v="OR0896"/>
        <s v="OR0897"/>
        <s v="OR0898"/>
        <s v="OR0899"/>
        <s v="OR0900"/>
        <s v="OR0901"/>
        <s v="OR0902"/>
        <s v="OR0903"/>
        <s v="OR0904"/>
        <s v="OR0905"/>
        <s v="OR0906"/>
        <s v="OR0907"/>
        <s v="OR0908"/>
        <s v="OR0909"/>
        <s v="OR0910"/>
        <s v="OR0911"/>
        <s v="OR0912"/>
        <s v="OR0913"/>
        <s v="OR0914"/>
        <s v="OR0915"/>
        <s v="OR0916"/>
        <s v="OR0917"/>
        <s v="OR0918"/>
        <s v="OR0919"/>
        <s v="OR0920"/>
        <s v="OR0921"/>
        <s v="OR0922"/>
        <s v="OR0923"/>
        <s v="OR0924"/>
        <s v="OR0925"/>
        <s v="OR0926"/>
        <s v="OR0927"/>
        <s v="OR0928"/>
        <s v="OR0929"/>
        <s v="OR0930"/>
        <s v="OR0931"/>
        <s v="OR0932"/>
        <s v="OR0933"/>
        <s v="OR0934"/>
        <s v="OR0935"/>
        <s v="OR0936"/>
        <s v="OR0937"/>
        <s v="OR0938"/>
        <s v="OR0939"/>
        <s v="OR0940"/>
        <s v="OR0941"/>
        <s v="OR0942"/>
        <s v="OR0943"/>
        <s v="OR0944"/>
        <s v="OR0945"/>
        <s v="OR0946"/>
        <s v="OR0947"/>
        <s v="OR0948"/>
        <s v="OR0949"/>
        <s v="OR0950"/>
        <s v="OR0951"/>
        <s v="OR0952"/>
        <s v="OR0953"/>
        <s v="OR0954"/>
        <s v="OR0955"/>
        <s v="OR0956"/>
        <s v="OR0957"/>
        <s v="OR0958"/>
        <s v="OR0959"/>
        <s v="OR0960"/>
        <s v="OR0961"/>
        <s v="OR0962"/>
        <s v="OR0963"/>
        <s v="OR0964"/>
        <s v="OR0965"/>
        <s v="OR0966"/>
        <s v="OR0967"/>
        <s v="OR0968"/>
        <s v="OR0969"/>
        <s v="OR0970"/>
        <s v="OR0971"/>
        <s v="OR0972"/>
        <s v="OR0973"/>
        <s v="OR0974"/>
        <s v="OR0975"/>
        <s v="OR0976"/>
        <s v="OR0977"/>
        <s v="OR0978"/>
        <s v="OR0979"/>
        <s v="OR0980"/>
        <s v="OR0981"/>
        <s v="OR0982"/>
        <s v="OR0983"/>
        <s v="OR0984"/>
        <s v="OR0985"/>
        <s v="OR0986"/>
        <s v="OR0987"/>
        <s v="OR0988"/>
        <s v="OR0989"/>
        <s v="OR0990"/>
        <s v="OR0991"/>
        <s v="OR0992"/>
        <s v="OR0993"/>
        <s v="OR0994"/>
        <s v="OR0995"/>
        <s v="OR0996"/>
        <s v="OR0997"/>
        <s v="OR0998"/>
        <s v="OR0999"/>
        <s v="OR1000"/>
      </sharedItems>
    </cacheField>
    <cacheField name="Order Date" numFmtId="165">
      <sharedItems containsSemiMixedTypes="0" containsNonDate="0" containsDate="1" containsString="0" minDate="2024-01-01T00:00:00" maxDate="2024-12-31T00:00:00" count="347">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2T00:00:00"/>
        <d v="2024-06-03T00:00:00"/>
        <d v="2024-06-04T00:00:00"/>
        <d v="2024-06-05T00:00:00"/>
        <d v="2024-06-07T00:00:00"/>
        <d v="2024-06-08T00:00:00"/>
        <d v="2024-06-09T00:00:00"/>
        <d v="2024-06-10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9T00:00:00"/>
        <d v="2024-06-30T00:00:00"/>
        <d v="2024-07-01T00:00:00"/>
        <d v="2024-07-02T00:00:00"/>
        <d v="2024-07-03T00:00:00"/>
        <d v="2024-07-04T00:00:00"/>
        <d v="2024-07-05T00:00:00"/>
        <d v="2024-07-06T00:00:00"/>
        <d v="2024-07-07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5T00:00:00"/>
        <d v="2024-07-26T00:00:00"/>
        <d v="2024-07-27T00:00:00"/>
        <d v="2024-07-28T00:00:00"/>
        <d v="2024-07-30T00:00:00"/>
        <d v="2024-07-31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10T00:00:00"/>
        <d v="2024-09-11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6T00:00:00"/>
        <d v="2024-11-27T00:00:00"/>
        <d v="2024-11-28T00:00:00"/>
        <d v="2024-11-29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Month" numFmtId="164">
      <sharedItems count="12">
        <s v="Jan"/>
        <s v="Feb"/>
        <s v="Mar"/>
        <s v="Apr"/>
        <s v="May"/>
        <s v="Jun"/>
        <s v="Jul"/>
        <s v="Aug"/>
        <s v="Sep"/>
        <s v="Oct"/>
        <s v="Nov"/>
        <s v="Dec"/>
      </sharedItems>
    </cacheField>
    <cacheField name="Month Number" numFmtId="166">
      <sharedItems containsSemiMixedTypes="0" containsNonDate="0" containsDate="1" containsString="0" minDate="1899-12-31T00:00:00" maxDate="1900-01-12T00:00:00" count="12">
        <d v="1899-12-31T00:00:00"/>
        <d v="1900-01-01T00:00:00"/>
        <d v="1900-01-02T00:00:00"/>
        <d v="1900-01-03T00:00:00"/>
        <d v="1900-01-04T00:00:00"/>
        <d v="1900-01-05T00:00:00"/>
        <d v="1900-01-06T00:00:00"/>
        <d v="1900-01-07T00:00:00"/>
        <d v="1900-01-08T00:00:00"/>
        <d v="1900-01-09T00:00:00"/>
        <d v="1900-01-10T00:00:00"/>
        <d v="1900-01-11T00:00:00"/>
      </sharedItems>
    </cacheField>
    <cacheField name="Year" numFmtId="166">
      <sharedItems containsSemiMixedTypes="0" containsNonDate="0" containsDate="1" containsString="0" minDate="1905-07-16T00:00:00" maxDate="1905-07-17T00:00:00"/>
    </cacheField>
    <cacheField name="Product Name" numFmtId="0">
      <sharedItems/>
    </cacheField>
    <cacheField name="Cleaned Product Name" numFmtId="0">
      <sharedItems/>
    </cacheField>
    <cacheField name="Product Category" numFmtId="0">
      <sharedItems count="5">
        <s v="cleaning"/>
        <s v="Bags"/>
        <s v="Lighting"/>
        <s v="Kitchenware"/>
        <s v="Gardening"/>
      </sharedItems>
    </cacheField>
    <cacheField name="Cleaned Product Category" numFmtId="0">
      <sharedItems/>
    </cacheField>
    <cacheField name="Quantity Sold" numFmtId="0">
      <sharedItems containsSemiMixedTypes="0" containsString="0" containsNumber="1" containsInteger="1" minValue="1" maxValue="10"/>
    </cacheField>
    <cacheField name="Unit Price" numFmtId="0">
      <sharedItems containsString="0" containsBlank="1" containsNumber="1" containsInteger="1" minValue="10" maxValue="40"/>
    </cacheField>
    <cacheField name="Cleaned Unit Price" numFmtId="0">
      <sharedItems containsSemiMixedTypes="0" containsString="0" containsNumber="1" containsInteger="1" minValue="10" maxValue="40"/>
    </cacheField>
    <cacheField name="Unit Cost" numFmtId="0">
      <sharedItems containsSemiMixedTypes="0" containsString="0" containsNumber="1" minValue="2" maxValue="15.98"/>
    </cacheField>
    <cacheField name="Revenue" numFmtId="0">
      <sharedItems containsSemiMixedTypes="0" containsString="0" containsNumber="1" containsInteger="1" minValue="10" maxValue="400"/>
    </cacheField>
    <cacheField name="Cost" numFmtId="0">
      <sharedItems containsSemiMixedTypes="0" containsString="0" containsNumber="1" minValue="2" maxValue="159.19999999999999"/>
    </cacheField>
    <cacheField name="Profit" numFmtId="0">
      <sharedItems containsSemiMixedTypes="0" containsString="0" containsNumber="1" minValue="6.05" maxValue="319.60000000000002"/>
    </cacheField>
    <cacheField name="Profit Margin" numFmtId="0">
      <sharedItems containsSemiMixedTypes="0" containsString="0" containsNumber="1" minValue="0.60039999999999993" maxValue="0.8"/>
    </cacheField>
    <cacheField name="Customer ID" numFmtId="0">
      <sharedItems/>
    </cacheField>
    <cacheField name="Customer Name" numFmtId="0">
      <sharedItems count="126">
        <s v="mAsoN joHnSon"/>
        <s v="aIDeN DAVIS"/>
        <s v="mIa JONeS"/>
        <s v="lIam garCia"/>
        <s v="Ethan mILLeR"/>
        <s v="cHARlottE Jones"/>
        <s v="Mia joHnSon"/>
        <s v="AvA mARTINeZ"/>
        <s v="haRper dAVIs"/>
        <s v="oLiver Miller"/>
        <s v="soPhiA rODriGuEZ"/>
        <s v="IsAbELla JohNSoN"/>
        <s v="EVElYn smitH"/>
        <s v="OLIVIA MaRTinEZ"/>
        <s v="avA joNEs"/>
        <s v="HarpEr MILLeR"/>
        <s v="eVelYN martiNEZ"/>
        <s v="lIaM roDrIGUEZ"/>
        <s v="CHARlOtTe GArCIA"/>
        <s v="LucAs gaRcia"/>
        <s v="oLIvIA MILLEr"/>
        <s v="mAsOn roDRiguez"/>
        <s v="Noah MARtINez"/>
        <s v="aidEN bROWn"/>
        <s v="Emma SMITh"/>
        <s v="miA roDriGuez"/>
        <s v="OlIvIA GARcia"/>
        <s v="oLivIa jOHNsON"/>
        <s v="EtHaN jOnES"/>
        <s v="eThan mARTIneZ"/>
        <s v="LUCAS wiLlIaMS"/>
        <s v="logan roDRIgUEZ"/>
        <s v="jAmES sMiTH"/>
        <s v="MasoN mILLeR"/>
        <s v="ChArLotTE daviS"/>
        <s v="OlIVER johnsOn"/>
        <s v="isABElla jOneS"/>
        <s v="IsabELLA RoDRIgUEz"/>
        <s v="HarPEr bRowN"/>
        <s v="MaSon WillIAMs"/>
        <s v="EtHan RodrIgUEz"/>
        <s v="JaMeS garcIA"/>
        <s v="mia MILLER"/>
        <s v="SoPHiA brown"/>
        <s v="aIDen jones"/>
        <s v="elIjah DavIS"/>
        <s v="sOPHia mARtinEZ"/>
        <s v="AmELIa GARCIa"/>
        <s v="avA rodRiGUEz"/>
        <s v="emma dAviS"/>
        <s v="jamEs wILLIAmS"/>
        <s v="lIaM smith"/>
        <s v="lOGan SMITh"/>
        <s v="eThAN WIlLIamS"/>
        <s v="EvElyn MiLLeR"/>
        <s v="HARper SmiTh"/>
        <s v="MASoN dAVis"/>
        <s v="AVA MilLEr"/>
        <s v="isAbeLla GARCia"/>
        <s v="MiA DAvis"/>
        <s v="NoaH bROWn"/>
        <s v="hARPeR rODrIGueZ"/>
        <s v="miA brOWn"/>
        <s v="nOAH gARciA"/>
        <s v="AVa dAVIs"/>
        <s v="ava BRoWN"/>
        <s v="charLoTtE jOhnsON"/>
        <s v="aVA SmIth"/>
        <s v="NOAh wIlLIamS"/>
        <s v="eliJaH MarTIneZ"/>
        <s v="eLijAh wIlLIAMs"/>
        <s v="jaMes brOwn"/>
        <s v="aIDen WIlliAMs"/>
        <s v="HarPER Jones"/>
        <s v="amEliA jOHNSOn"/>
        <s v="oliVEr smiTh"/>
        <s v="NOAh roDrigUEz"/>
        <s v="Emma bROwN"/>
        <s v="soPHiA DaVIs"/>
        <s v="Aiden RoDrIGUEz"/>
        <s v="lIAM jOneS"/>
        <s v="lIAm jOhnsOn"/>
        <s v="EthAn joHnSoN"/>
        <s v="lucas BrowN"/>
        <s v="amELia milLer"/>
        <s v="Liam bROwn"/>
        <s v="SOpHia GaRcIa"/>
        <s v="ELIJah bROwn"/>
        <s v="EVeLYn GarcIa"/>
        <s v="jAmEs mIllER"/>
        <s v="lUcas SMitH"/>
        <s v="lucaS RoDRIguez"/>
        <s v="nOAH SmITH"/>
        <s v="iSaBElLA MILLER"/>
        <s v="AIDEn GArcia"/>
        <s v="AIdeN SMiTh"/>
        <s v="LOGan jOhNson"/>
        <s v="amEliA JonEs"/>
        <s v="ISabellA bRoWN"/>
        <s v="eLiJAH garCiA"/>
        <s v="OlIVIA willIams"/>
        <s v="ETHAn GArCIa"/>
        <s v="haRpeR GArCiA"/>
        <s v="loGAN mIlLeR"/>
        <s v="IsAbELla WILLiamS"/>
        <s v="loGAn martInEZ"/>
        <s v="elIJah SMItH"/>
        <s v="lIaM mIller"/>
        <s v="eVeLYn BroWn"/>
        <s v="ELiJAH jOneS"/>
        <s v="MIa MaRtInez"/>
        <s v="JAmES joNeS"/>
        <s v="AiDEn miLleR"/>
        <s v="olIVER JONes"/>
        <s v="AvA GarCIA"/>
        <s v="LiAM DavIs"/>
        <s v="masOn jOnes"/>
        <s v="sOPHIa JOHNSOn"/>
        <s v="AIDeN MArtIneZ"/>
        <s v="aMEliA MaRTiNez"/>
        <s v="EMMa garcIA"/>
        <s v="olIvia jonES"/>
        <s v="lOGan JoNEs"/>
        <s v="olIvIa DAVis"/>
        <s v="hARpER MARtIneZ"/>
        <s v="Lucas JoNEs"/>
      </sharedItems>
    </cacheField>
    <cacheField name="Cleaned Customer Name " numFmtId="0">
      <sharedItems count="126">
        <s v="Mason Johnson"/>
        <s v="Aiden Davis"/>
        <s v="Mia Jones"/>
        <s v="Liam Garcia"/>
        <s v="Ethan Miller"/>
        <s v="Charlotte Jones"/>
        <s v="Mia Johnson"/>
        <s v="Ava Martinez"/>
        <s v="Harper Davis"/>
        <s v="Oliver Miller"/>
        <s v="Sophia Rodriguez"/>
        <s v="Isabella Johnson"/>
        <s v="Evelyn Smith"/>
        <s v="Olivia Martinez"/>
        <s v="Ava Jones"/>
        <s v="Harper Miller"/>
        <s v="Evelyn Martinez"/>
        <s v="Liam Rodriguez"/>
        <s v="Charlotte Garcia"/>
        <s v="Lucas Garcia"/>
        <s v="Olivia Miller"/>
        <s v="Mason Rodriguez"/>
        <s v="Noah Martinez"/>
        <s v="Aiden Brown"/>
        <s v="Emma Smith"/>
        <s v="Mia Rodriguez"/>
        <s v="Olivia Garcia"/>
        <s v="Olivia Johnson"/>
        <s v="Ethan Jones"/>
        <s v="Ethan Martinez"/>
        <s v="Lucas Williams"/>
        <s v="Logan Rodriguez"/>
        <s v="James Smith"/>
        <s v="Mason Miller"/>
        <s v="Charlotte Davis"/>
        <s v="Oliver Johnson"/>
        <s v="Isabella Jones"/>
        <s v="Isabella Rodriguez"/>
        <s v="Harper Brown"/>
        <s v="Mason Williams"/>
        <s v="Ethan Rodriguez"/>
        <s v="James Garcia"/>
        <s v="Mia Miller"/>
        <s v="Sophia Brown"/>
        <s v="Aiden Jones"/>
        <s v="Elijah Davis"/>
        <s v="Sophia Martinez"/>
        <s v="Amelia Garcia"/>
        <s v="Ava Rodriguez"/>
        <s v="Emma Davis"/>
        <s v="James Williams"/>
        <s v="Liam Smith"/>
        <s v="Logan Smith"/>
        <s v="Ethan Williams"/>
        <s v="Evelyn Miller"/>
        <s v="Harper Smith"/>
        <s v="Mason Davis"/>
        <s v="Ava Miller"/>
        <s v="Isabella Garcia"/>
        <s v="Mia Davis"/>
        <s v="Noah Brown"/>
        <s v="Harper Rodriguez"/>
        <s v="Mia Brown"/>
        <s v="Noah Garcia"/>
        <s v="Ava Davis"/>
        <s v="Ava Brown"/>
        <s v="Charlotte Johnson"/>
        <s v="Ava Smith"/>
        <s v="Noah Williams"/>
        <s v="Elijah Martinez"/>
        <s v="Elijah Williams"/>
        <s v="James Brown"/>
        <s v="Aiden Williams"/>
        <s v="Harper Jones"/>
        <s v="Amelia Johnson"/>
        <s v="Oliver Smith"/>
        <s v="Noah Rodriguez"/>
        <s v="Emma Brown"/>
        <s v="Sophia Davis"/>
        <s v="Aiden Rodriguez"/>
        <s v="Liam Jones"/>
        <s v="Liam Johnson"/>
        <s v="Ethan Johnson"/>
        <s v="Lucas Brown"/>
        <s v="Amelia Miller"/>
        <s v="Liam Brown"/>
        <s v="Sophia Garcia"/>
        <s v="Elijah Brown"/>
        <s v="Evelyn Garcia"/>
        <s v="James Miller"/>
        <s v="Lucas Smith"/>
        <s v="Lucas Rodriguez"/>
        <s v="Noah Smith"/>
        <s v="Isabella Miller"/>
        <s v="Aiden Garcia"/>
        <s v="Aiden Smith"/>
        <s v="Logan Johnson"/>
        <s v="Amelia Jones"/>
        <s v="Isabella Brown"/>
        <s v="Elijah Garcia"/>
        <s v="Olivia Williams"/>
        <s v="Ethan Garcia"/>
        <s v="Harper Garcia"/>
        <s v="Logan Miller"/>
        <s v="Isabella Williams"/>
        <s v="Logan Martinez"/>
        <s v="Elijah Smith"/>
        <s v="Liam Miller"/>
        <s v="Evelyn Brown"/>
        <s v="Elijah Jones"/>
        <s v="Mia Martinez"/>
        <s v="James Jones"/>
        <s v="Aiden Miller"/>
        <s v="Oliver Jones"/>
        <s v="Ava Garcia"/>
        <s v="Liam Davis"/>
        <s v="Mason Jones"/>
        <s v="Sophia Johnson"/>
        <s v="Aiden Martinez"/>
        <s v="Amelia Martinez"/>
        <s v="Emma Garcia"/>
        <s v="Olivia Jones"/>
        <s v="Logan Jones"/>
        <s v="Olivia Davis"/>
        <s v="Harper Martinez"/>
        <s v="Lucas Jones"/>
      </sharedItems>
    </cacheField>
    <cacheField name="Shipment Status" numFmtId="0">
      <sharedItems count="4">
        <s v="Shipped"/>
        <s v="Delivered"/>
        <s v="Returned"/>
        <s v="Pending"/>
      </sharedItems>
    </cacheField>
    <cacheField name="State" numFmtId="0">
      <sharedItems count="10">
        <s v="Michigan"/>
        <s v="North Carolina"/>
        <s v="New York"/>
        <s v="Florida"/>
        <s v="Ohio"/>
        <s v="Texas"/>
        <s v="Illinois"/>
        <s v="Pennsylvania"/>
        <s v="Georgia"/>
        <s v="California"/>
      </sharedItems>
    </cacheField>
  </cacheFields>
  <extLst>
    <ext xmlns:x14="http://schemas.microsoft.com/office/spreadsheetml/2009/9/main" uri="{725AE2AE-9491-48be-B2B4-4EB974FC3084}">
      <x14:pivotCacheDefinition pivotCacheId="2062590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d v="1905-07-16T00:00:00"/>
    <s v="bIOdegradABlE cLEaNINg cLoTH"/>
    <s v="Biodegradable Cleaning Cloth"/>
    <x v="0"/>
    <s v="CLEANING"/>
    <n v="10"/>
    <n v="10"/>
    <n v="10"/>
    <n v="3.42"/>
    <n v="100"/>
    <n v="34.200000000000003"/>
    <n v="65.8"/>
    <n v="0.65799999999999992"/>
    <s v="C0039"/>
    <x v="0"/>
    <x v="0"/>
    <x v="0"/>
    <x v="0"/>
  </r>
  <r>
    <x v="1"/>
    <x v="0"/>
    <x v="0"/>
    <x v="0"/>
    <d v="1905-07-16T00:00:00"/>
    <s v="ecO CANVAS TOTe Bag"/>
    <s v="Eco Canvas Tote Bag"/>
    <x v="1"/>
    <s v="BAGS"/>
    <n v="6"/>
    <n v="25"/>
    <n v="25"/>
    <n v="5.08"/>
    <n v="150"/>
    <n v="30.48"/>
    <n v="119.52"/>
    <n v="0.79679999999999995"/>
    <s v="C0122"/>
    <x v="1"/>
    <x v="1"/>
    <x v="1"/>
    <x v="1"/>
  </r>
  <r>
    <x v="2"/>
    <x v="1"/>
    <x v="0"/>
    <x v="0"/>
    <d v="1905-07-16T00:00:00"/>
    <s v="SoLAR leD lAnTern"/>
    <s v="Solar Led Lantern"/>
    <x v="2"/>
    <s v="LIGHTING"/>
    <n v="7"/>
    <n v="40"/>
    <n v="40"/>
    <n v="12.35"/>
    <n v="280"/>
    <n v="86.45"/>
    <n v="193.55"/>
    <n v="0.69125000000000003"/>
    <s v="C0076"/>
    <x v="2"/>
    <x v="2"/>
    <x v="0"/>
    <x v="2"/>
  </r>
  <r>
    <x v="3"/>
    <x v="1"/>
    <x v="0"/>
    <x v="0"/>
    <d v="1905-07-16T00:00:00"/>
    <s v="bIOdegradABlE cLEaNINg cLoTH"/>
    <s v="Biodegradable Cleaning Cloth"/>
    <x v="0"/>
    <s v="CLEANING"/>
    <n v="5"/>
    <n v="10"/>
    <n v="10"/>
    <n v="3.55"/>
    <n v="50"/>
    <n v="17.75"/>
    <n v="32.25"/>
    <n v="0.64500000000000002"/>
    <s v="C0103"/>
    <x v="3"/>
    <x v="3"/>
    <x v="1"/>
    <x v="3"/>
  </r>
  <r>
    <x v="4"/>
    <x v="1"/>
    <x v="0"/>
    <x v="0"/>
    <d v="1905-07-16T00:00:00"/>
    <s v="bIOdegradABlE cLEaNINg cLoTH"/>
    <s v="Biodegradable Cleaning Cloth"/>
    <x v="0"/>
    <s v="CLEANING"/>
    <n v="2"/>
    <n v="10"/>
    <n v="10"/>
    <n v="3.27"/>
    <n v="20"/>
    <n v="6.54"/>
    <n v="13.46"/>
    <n v="0.67300000000000004"/>
    <s v="C0162"/>
    <x v="4"/>
    <x v="4"/>
    <x v="2"/>
    <x v="4"/>
  </r>
  <r>
    <x v="5"/>
    <x v="1"/>
    <x v="0"/>
    <x v="0"/>
    <d v="1905-07-16T00:00:00"/>
    <s v="SoLAR leD lAnTern"/>
    <s v="Solar Led Lantern"/>
    <x v="2"/>
    <s v="LIGHTING"/>
    <n v="8"/>
    <n v="40"/>
    <n v="40"/>
    <n v="14.7"/>
    <n v="320"/>
    <n v="117.6"/>
    <n v="202.4"/>
    <n v="0.63250000000000006"/>
    <s v="C0114"/>
    <x v="5"/>
    <x v="5"/>
    <x v="3"/>
    <x v="2"/>
  </r>
  <r>
    <x v="6"/>
    <x v="1"/>
    <x v="0"/>
    <x v="0"/>
    <d v="1905-07-16T00:00:00"/>
    <s v="REUsABle bAMboO uTeNSIL sEt"/>
    <s v="Reusable Bamboo Utensil Set"/>
    <x v="3"/>
    <s v="KITCHENWARE"/>
    <n v="10"/>
    <n v="15"/>
    <n v="15"/>
    <n v="5.5"/>
    <n v="150"/>
    <n v="55"/>
    <n v="95"/>
    <n v="0.6333333333333333"/>
    <s v="C0052"/>
    <x v="6"/>
    <x v="6"/>
    <x v="1"/>
    <x v="2"/>
  </r>
  <r>
    <x v="7"/>
    <x v="1"/>
    <x v="0"/>
    <x v="0"/>
    <d v="1905-07-16T00:00:00"/>
    <s v="SoLAR leD lAnTern"/>
    <s v="Solar Led Lantern"/>
    <x v="2"/>
    <s v="LIGHTING"/>
    <n v="6"/>
    <n v="40"/>
    <n v="40"/>
    <n v="8.8000000000000007"/>
    <n v="240"/>
    <n v="52.800000000000004"/>
    <n v="187.2"/>
    <n v="0.77999999999999992"/>
    <s v="C0071"/>
    <x v="7"/>
    <x v="7"/>
    <x v="1"/>
    <x v="5"/>
  </r>
  <r>
    <x v="8"/>
    <x v="1"/>
    <x v="0"/>
    <x v="0"/>
    <d v="1905-07-16T00:00:00"/>
    <s v="ecO CANVAS TOTe Bag"/>
    <s v="Eco Canvas Tote Bag"/>
    <x v="1"/>
    <s v="BAGS"/>
    <n v="1"/>
    <n v="25"/>
    <n v="25"/>
    <n v="9.01"/>
    <n v="25"/>
    <n v="9.01"/>
    <n v="15.99"/>
    <n v="0.63960000000000006"/>
    <s v="C0088"/>
    <x v="3"/>
    <x v="3"/>
    <x v="1"/>
    <x v="6"/>
  </r>
  <r>
    <x v="9"/>
    <x v="2"/>
    <x v="0"/>
    <x v="0"/>
    <d v="1905-07-16T00:00:00"/>
    <s v="bIOdegradABlE cLEaNINg cLoTH"/>
    <s v="Biodegradable Cleaning Cloth"/>
    <x v="0"/>
    <s v="CLEANING"/>
    <n v="2"/>
    <n v="10"/>
    <n v="10"/>
    <n v="2.89"/>
    <n v="20"/>
    <n v="5.78"/>
    <n v="14.219999999999999"/>
    <n v="0.71099999999999997"/>
    <s v="C0165"/>
    <x v="8"/>
    <x v="8"/>
    <x v="1"/>
    <x v="1"/>
  </r>
  <r>
    <x v="10"/>
    <x v="2"/>
    <x v="0"/>
    <x v="0"/>
    <d v="1905-07-16T00:00:00"/>
    <s v="SoLAR leD lAnTern"/>
    <s v="Solar Led Lantern"/>
    <x v="2"/>
    <s v="LIGHTING"/>
    <n v="8"/>
    <n v="40"/>
    <n v="40"/>
    <n v="9.99"/>
    <n v="320"/>
    <n v="79.92"/>
    <n v="240.07999999999998"/>
    <n v="0.75024999999999997"/>
    <s v="C0174"/>
    <x v="0"/>
    <x v="0"/>
    <x v="1"/>
    <x v="4"/>
  </r>
  <r>
    <x v="11"/>
    <x v="2"/>
    <x v="0"/>
    <x v="0"/>
    <d v="1905-07-16T00:00:00"/>
    <s v="COMpOsTaBLe PlAnT POts"/>
    <s v="Compostable Plant Pots"/>
    <x v="4"/>
    <s v="GARDENING"/>
    <n v="3"/>
    <n v="12"/>
    <n v="12"/>
    <n v="2.88"/>
    <n v="36"/>
    <n v="8.64"/>
    <n v="27.36"/>
    <n v="0.76"/>
    <s v="C0176"/>
    <x v="9"/>
    <x v="9"/>
    <x v="1"/>
    <x v="7"/>
  </r>
  <r>
    <x v="12"/>
    <x v="2"/>
    <x v="0"/>
    <x v="0"/>
    <d v="1905-07-16T00:00:00"/>
    <s v="bIOdegradABlE cLEaNINg cLoTH"/>
    <s v="Biodegradable Cleaning Cloth"/>
    <x v="0"/>
    <s v="CLEANING"/>
    <n v="1"/>
    <n v="10"/>
    <n v="10"/>
    <n v="2.35"/>
    <n v="10"/>
    <n v="2.35"/>
    <n v="7.65"/>
    <n v="0.76500000000000001"/>
    <s v="C0149"/>
    <x v="10"/>
    <x v="10"/>
    <x v="1"/>
    <x v="8"/>
  </r>
  <r>
    <x v="13"/>
    <x v="3"/>
    <x v="0"/>
    <x v="0"/>
    <d v="1905-07-16T00:00:00"/>
    <s v="ecO CANVAS TOTe Bag"/>
    <s v="Eco Canvas Tote Bag"/>
    <x v="1"/>
    <s v="BAGS"/>
    <n v="1"/>
    <n v="25"/>
    <n v="25"/>
    <n v="8.85"/>
    <n v="25"/>
    <n v="8.85"/>
    <n v="16.149999999999999"/>
    <n v="0.64599999999999991"/>
    <s v="C0184"/>
    <x v="11"/>
    <x v="11"/>
    <x v="1"/>
    <x v="2"/>
  </r>
  <r>
    <x v="14"/>
    <x v="3"/>
    <x v="0"/>
    <x v="0"/>
    <d v="1905-07-16T00:00:00"/>
    <s v="SoLAR leD lAnTern"/>
    <s v="Solar Led Lantern"/>
    <x v="2"/>
    <s v="LIGHTING"/>
    <n v="6"/>
    <n v="40"/>
    <n v="40"/>
    <n v="14.54"/>
    <n v="240"/>
    <n v="87.24"/>
    <n v="152.76"/>
    <n v="0.63649999999999995"/>
    <s v="C0113"/>
    <x v="12"/>
    <x v="12"/>
    <x v="3"/>
    <x v="1"/>
  </r>
  <r>
    <x v="15"/>
    <x v="3"/>
    <x v="0"/>
    <x v="0"/>
    <d v="1905-07-16T00:00:00"/>
    <s v="bIOdegradABlE cLEaNINg cLoTH"/>
    <s v="Biodegradable Cleaning Cloth"/>
    <x v="0"/>
    <s v="CLEANING"/>
    <n v="10"/>
    <n v="10"/>
    <n v="10"/>
    <n v="2.36"/>
    <n v="100"/>
    <n v="23.599999999999998"/>
    <n v="76.400000000000006"/>
    <n v="0.76400000000000001"/>
    <s v="C0012"/>
    <x v="13"/>
    <x v="13"/>
    <x v="0"/>
    <x v="7"/>
  </r>
  <r>
    <x v="16"/>
    <x v="3"/>
    <x v="0"/>
    <x v="0"/>
    <d v="1905-07-16T00:00:00"/>
    <s v="bIOdegradABlE cLEaNINg cLoTH"/>
    <s v="Biodegradable Cleaning Cloth"/>
    <x v="0"/>
    <s v="CLEANING"/>
    <n v="2"/>
    <n v="10"/>
    <n v="10"/>
    <n v="2.0699999999999998"/>
    <n v="20"/>
    <n v="4.1399999999999997"/>
    <n v="15.86"/>
    <n v="0.79299999999999993"/>
    <s v="C0076"/>
    <x v="2"/>
    <x v="2"/>
    <x v="1"/>
    <x v="2"/>
  </r>
  <r>
    <x v="17"/>
    <x v="4"/>
    <x v="0"/>
    <x v="0"/>
    <d v="1905-07-16T00:00:00"/>
    <s v="ecO CANVAS TOTe Bag"/>
    <s v="Eco Canvas Tote Bag"/>
    <x v="1"/>
    <s v="BAGS"/>
    <n v="7"/>
    <n v="25"/>
    <n v="25"/>
    <n v="6.64"/>
    <n v="175"/>
    <n v="46.48"/>
    <n v="128.52000000000001"/>
    <n v="0.73440000000000005"/>
    <s v="C0082"/>
    <x v="14"/>
    <x v="14"/>
    <x v="1"/>
    <x v="1"/>
  </r>
  <r>
    <x v="18"/>
    <x v="4"/>
    <x v="0"/>
    <x v="0"/>
    <d v="1905-07-16T00:00:00"/>
    <s v="SoLAR leD lAnTern"/>
    <s v="Solar Led Lantern"/>
    <x v="2"/>
    <s v="LIGHTING"/>
    <n v="5"/>
    <n v="40"/>
    <n v="40"/>
    <n v="15.48"/>
    <n v="200"/>
    <n v="77.400000000000006"/>
    <n v="122.6"/>
    <n v="0.61299999999999999"/>
    <s v="C0108"/>
    <x v="15"/>
    <x v="15"/>
    <x v="1"/>
    <x v="5"/>
  </r>
  <r>
    <x v="19"/>
    <x v="4"/>
    <x v="0"/>
    <x v="0"/>
    <d v="1905-07-16T00:00:00"/>
    <s v="bIOdegradABlE cLEaNINg cLoTH"/>
    <s v="Biodegradable Cleaning Cloth"/>
    <x v="0"/>
    <s v="CLEANING"/>
    <n v="8"/>
    <n v="10"/>
    <n v="10"/>
    <n v="2.67"/>
    <n v="80"/>
    <n v="21.36"/>
    <n v="58.64"/>
    <n v="0.73299999999999998"/>
    <s v="C0013"/>
    <x v="16"/>
    <x v="16"/>
    <x v="1"/>
    <x v="7"/>
  </r>
  <r>
    <x v="20"/>
    <x v="4"/>
    <x v="0"/>
    <x v="0"/>
    <d v="1905-07-16T00:00:00"/>
    <s v="COMpOsTaBLe PlAnT POts"/>
    <s v="Compostable Plant Pots"/>
    <x v="4"/>
    <s v="GARDENING"/>
    <n v="3"/>
    <n v="12"/>
    <n v="12"/>
    <n v="3.23"/>
    <n v="36"/>
    <n v="9.69"/>
    <n v="26.310000000000002"/>
    <n v="0.73083333333333345"/>
    <s v="C0122"/>
    <x v="1"/>
    <x v="1"/>
    <x v="1"/>
    <x v="6"/>
  </r>
  <r>
    <x v="21"/>
    <x v="5"/>
    <x v="0"/>
    <x v="0"/>
    <d v="1905-07-16T00:00:00"/>
    <s v="SoLAR leD lAnTern"/>
    <s v="Solar Led Lantern"/>
    <x v="2"/>
    <s v="LIGHTING"/>
    <n v="3"/>
    <n v="40"/>
    <n v="40"/>
    <n v="11.81"/>
    <n v="120"/>
    <n v="35.43"/>
    <n v="84.57"/>
    <n v="0.70474999999999999"/>
    <s v="C0191"/>
    <x v="17"/>
    <x v="17"/>
    <x v="3"/>
    <x v="4"/>
  </r>
  <r>
    <x v="22"/>
    <x v="5"/>
    <x v="0"/>
    <x v="0"/>
    <d v="1905-07-16T00:00:00"/>
    <s v="SoLAR leD lAnTern"/>
    <s v="Solar Led Lantern"/>
    <x v="2"/>
    <s v="LIGHTING"/>
    <n v="6"/>
    <n v="40"/>
    <n v="40"/>
    <n v="12.11"/>
    <n v="240"/>
    <n v="72.66"/>
    <n v="167.34"/>
    <n v="0.69725000000000004"/>
    <s v="C0014"/>
    <x v="18"/>
    <x v="18"/>
    <x v="1"/>
    <x v="4"/>
  </r>
  <r>
    <x v="23"/>
    <x v="5"/>
    <x v="0"/>
    <x v="0"/>
    <d v="1905-07-16T00:00:00"/>
    <s v="ecO CANVAS TOTe Bag"/>
    <s v="Eco Canvas Tote Bag"/>
    <x v="1"/>
    <s v="BAGS"/>
    <n v="7"/>
    <n v="25"/>
    <n v="25"/>
    <n v="8.4499999999999993"/>
    <n v="175"/>
    <n v="59.149999999999991"/>
    <n v="115.85000000000001"/>
    <n v="0.66200000000000003"/>
    <s v="C0017"/>
    <x v="17"/>
    <x v="17"/>
    <x v="1"/>
    <x v="5"/>
  </r>
  <r>
    <x v="24"/>
    <x v="5"/>
    <x v="0"/>
    <x v="0"/>
    <d v="1905-07-16T00:00:00"/>
    <s v="bIOdegradABlE cLEaNINg cLoTH"/>
    <s v="Biodegradable Cleaning Cloth"/>
    <x v="0"/>
    <s v="CLEANING"/>
    <n v="8"/>
    <m/>
    <n v="10"/>
    <n v="3.8"/>
    <n v="80"/>
    <n v="30.4"/>
    <n v="49.6"/>
    <n v="0.62"/>
    <s v="C0160"/>
    <x v="19"/>
    <x v="19"/>
    <x v="2"/>
    <x v="7"/>
  </r>
  <r>
    <x v="25"/>
    <x v="5"/>
    <x v="0"/>
    <x v="0"/>
    <d v="1905-07-16T00:00:00"/>
    <s v="REUsABle bAMboO uTeNSIL sEt"/>
    <s v="Reusable Bamboo Utensil Set"/>
    <x v="3"/>
    <s v="KITCHENWARE"/>
    <n v="7"/>
    <n v="15"/>
    <n v="15"/>
    <n v="3.13"/>
    <n v="105"/>
    <n v="21.91"/>
    <n v="83.09"/>
    <n v="0.79133333333333333"/>
    <s v="C0052"/>
    <x v="6"/>
    <x v="6"/>
    <x v="0"/>
    <x v="1"/>
  </r>
  <r>
    <x v="26"/>
    <x v="5"/>
    <x v="0"/>
    <x v="0"/>
    <d v="1905-07-16T00:00:00"/>
    <s v="bIOdegradABlE cLEaNINg cLoTH"/>
    <s v="Biodegradable Cleaning Cloth"/>
    <x v="0"/>
    <s v="CLEANING"/>
    <n v="6"/>
    <n v="10"/>
    <n v="10"/>
    <n v="3.18"/>
    <n v="60"/>
    <n v="19.080000000000002"/>
    <n v="40.92"/>
    <n v="0.68200000000000005"/>
    <s v="C0199"/>
    <x v="20"/>
    <x v="20"/>
    <x v="1"/>
    <x v="0"/>
  </r>
  <r>
    <x v="27"/>
    <x v="6"/>
    <x v="0"/>
    <x v="0"/>
    <d v="1905-07-16T00:00:00"/>
    <s v="COMpOsTaBLe PlAnT POts"/>
    <s v="Compostable Plant Pots"/>
    <x v="4"/>
    <s v="GARDENING"/>
    <n v="9"/>
    <n v="12"/>
    <n v="12"/>
    <n v="3.94"/>
    <n v="108"/>
    <n v="35.46"/>
    <n v="72.539999999999992"/>
    <n v="0.67166666666666663"/>
    <s v="C0104"/>
    <x v="21"/>
    <x v="21"/>
    <x v="1"/>
    <x v="2"/>
  </r>
  <r>
    <x v="28"/>
    <x v="6"/>
    <x v="0"/>
    <x v="0"/>
    <d v="1905-07-16T00:00:00"/>
    <s v="SoLAR leD lAnTern"/>
    <s v="Solar Led Lantern"/>
    <x v="2"/>
    <s v="LIGHTING"/>
    <n v="3"/>
    <n v="40"/>
    <n v="40"/>
    <n v="10.79"/>
    <n v="120"/>
    <n v="32.369999999999997"/>
    <n v="87.63"/>
    <n v="0.73024999999999995"/>
    <s v="C0038"/>
    <x v="22"/>
    <x v="22"/>
    <x v="1"/>
    <x v="1"/>
  </r>
  <r>
    <x v="29"/>
    <x v="6"/>
    <x v="0"/>
    <x v="0"/>
    <d v="1905-07-16T00:00:00"/>
    <s v="ecO CANVAS TOTe Bag"/>
    <s v="Eco Canvas Tote Bag"/>
    <x v="1"/>
    <s v="BAGS"/>
    <n v="4"/>
    <n v="25"/>
    <n v="25"/>
    <n v="8.43"/>
    <n v="100"/>
    <n v="33.72"/>
    <n v="66.28"/>
    <n v="0.66280000000000006"/>
    <s v="C0088"/>
    <x v="3"/>
    <x v="3"/>
    <x v="0"/>
    <x v="7"/>
  </r>
  <r>
    <x v="30"/>
    <x v="7"/>
    <x v="0"/>
    <x v="0"/>
    <d v="1905-07-16T00:00:00"/>
    <s v="REUsABle bAMboO uTeNSIL sEt"/>
    <s v="Reusable Bamboo Utensil Set"/>
    <x v="3"/>
    <s v="KITCHENWARE"/>
    <n v="5"/>
    <n v="15"/>
    <n v="15"/>
    <n v="3.55"/>
    <n v="75"/>
    <n v="17.75"/>
    <n v="57.25"/>
    <n v="0.76333333333333331"/>
    <s v="C0167"/>
    <x v="23"/>
    <x v="23"/>
    <x v="1"/>
    <x v="3"/>
  </r>
  <r>
    <x v="31"/>
    <x v="7"/>
    <x v="0"/>
    <x v="0"/>
    <d v="1905-07-16T00:00:00"/>
    <s v="REUsABle bAMboO uTeNSIL sEt"/>
    <s v="Reusable Bamboo Utensil Set"/>
    <x v="3"/>
    <s v="KITCHENWARE"/>
    <n v="6"/>
    <n v="15"/>
    <n v="15"/>
    <n v="4.04"/>
    <n v="90"/>
    <n v="24.240000000000002"/>
    <n v="65.759999999999991"/>
    <n v="0.73066666666666658"/>
    <s v="C0151"/>
    <x v="24"/>
    <x v="24"/>
    <x v="1"/>
    <x v="0"/>
  </r>
  <r>
    <x v="32"/>
    <x v="8"/>
    <x v="0"/>
    <x v="0"/>
    <d v="1905-07-16T00:00:00"/>
    <s v="bIOdegradABlE cLEaNINg cLoTH"/>
    <s v="Biodegradable Cleaning Cloth"/>
    <x v="0"/>
    <s v="CLEANING"/>
    <n v="8"/>
    <n v="10"/>
    <n v="10"/>
    <n v="2.6"/>
    <n v="80"/>
    <n v="20.8"/>
    <n v="59.2"/>
    <n v="0.74"/>
    <s v="C0033"/>
    <x v="25"/>
    <x v="25"/>
    <x v="3"/>
    <x v="7"/>
  </r>
  <r>
    <x v="33"/>
    <x v="8"/>
    <x v="0"/>
    <x v="0"/>
    <d v="1905-07-16T00:00:00"/>
    <s v="COMpOsTaBLe PlAnT POts"/>
    <s v="Compostable Plant Pots"/>
    <x v="4"/>
    <s v="GARDENING"/>
    <n v="10"/>
    <n v="12"/>
    <n v="12"/>
    <n v="2.74"/>
    <n v="120"/>
    <n v="27.400000000000002"/>
    <n v="92.6"/>
    <n v="0.77166666666666661"/>
    <s v="C0181"/>
    <x v="26"/>
    <x v="26"/>
    <x v="1"/>
    <x v="4"/>
  </r>
  <r>
    <x v="34"/>
    <x v="9"/>
    <x v="0"/>
    <x v="0"/>
    <d v="1905-07-16T00:00:00"/>
    <s v="ecO CANVAS TOTe Bag"/>
    <s v="Eco Canvas Tote Bag"/>
    <x v="1"/>
    <s v="BAGS"/>
    <n v="10"/>
    <n v="25"/>
    <n v="25"/>
    <n v="9.86"/>
    <n v="250"/>
    <n v="98.6"/>
    <n v="151.4"/>
    <n v="0.60560000000000003"/>
    <s v="C0012"/>
    <x v="13"/>
    <x v="13"/>
    <x v="1"/>
    <x v="4"/>
  </r>
  <r>
    <x v="35"/>
    <x v="9"/>
    <x v="0"/>
    <x v="0"/>
    <d v="1905-07-16T00:00:00"/>
    <s v="COMpOsTaBLe PlAnT POts"/>
    <s v="Compostable Plant Pots"/>
    <x v="4"/>
    <s v="GARDENING"/>
    <n v="9"/>
    <n v="12"/>
    <n v="12"/>
    <n v="3.33"/>
    <n v="108"/>
    <n v="29.97"/>
    <n v="78.03"/>
    <n v="0.72250000000000003"/>
    <s v="C0052"/>
    <x v="6"/>
    <x v="6"/>
    <x v="1"/>
    <x v="6"/>
  </r>
  <r>
    <x v="36"/>
    <x v="9"/>
    <x v="0"/>
    <x v="0"/>
    <d v="1905-07-16T00:00:00"/>
    <s v="REUsABle bAMboO uTeNSIL sEt"/>
    <s v="Reusable Bamboo Utensil Set"/>
    <x v="3"/>
    <s v="KITCHENWARE"/>
    <n v="6"/>
    <n v="15"/>
    <n v="15"/>
    <n v="3.13"/>
    <n v="90"/>
    <n v="18.78"/>
    <n v="71.22"/>
    <n v="0.79133333333333333"/>
    <s v="C0157"/>
    <x v="27"/>
    <x v="27"/>
    <x v="1"/>
    <x v="9"/>
  </r>
  <r>
    <x v="37"/>
    <x v="10"/>
    <x v="0"/>
    <x v="0"/>
    <d v="1905-07-16T00:00:00"/>
    <s v="COMpOsTaBLe PlAnT POts"/>
    <s v="Compostable Plant Pots"/>
    <x v="4"/>
    <s v="GARDENING"/>
    <n v="4"/>
    <n v="12"/>
    <n v="12"/>
    <n v="4.74"/>
    <n v="48"/>
    <n v="18.96"/>
    <n v="29.04"/>
    <n v="0.60499999999999998"/>
    <s v="C0084"/>
    <x v="28"/>
    <x v="28"/>
    <x v="3"/>
    <x v="6"/>
  </r>
  <r>
    <x v="38"/>
    <x v="11"/>
    <x v="0"/>
    <x v="0"/>
    <d v="1905-07-16T00:00:00"/>
    <s v="COMpOsTaBLe PlAnT POts"/>
    <s v="Compostable Plant Pots"/>
    <x v="4"/>
    <s v="GARDENING"/>
    <n v="9"/>
    <n v="12"/>
    <n v="12"/>
    <n v="4.33"/>
    <n v="108"/>
    <n v="38.97"/>
    <n v="69.03"/>
    <n v="0.63916666666666666"/>
    <s v="C0085"/>
    <x v="29"/>
    <x v="29"/>
    <x v="1"/>
    <x v="5"/>
  </r>
  <r>
    <x v="39"/>
    <x v="11"/>
    <x v="0"/>
    <x v="0"/>
    <d v="1905-07-16T00:00:00"/>
    <s v="ecO CANVAS TOTe Bag"/>
    <s v="Eco Canvas Tote Bag"/>
    <x v="1"/>
    <s v="BAGS"/>
    <n v="3"/>
    <n v="25"/>
    <n v="25"/>
    <n v="8.17"/>
    <n v="75"/>
    <n v="24.509999999999998"/>
    <n v="50.49"/>
    <n v="0.67320000000000002"/>
    <s v="C0188"/>
    <x v="30"/>
    <x v="30"/>
    <x v="0"/>
    <x v="3"/>
  </r>
  <r>
    <x v="40"/>
    <x v="11"/>
    <x v="0"/>
    <x v="0"/>
    <d v="1905-07-16T00:00:00"/>
    <s v="ecO CANVAS TOTe Bag"/>
    <s v="Eco Canvas Tote Bag"/>
    <x v="1"/>
    <s v="BAGS"/>
    <n v="6"/>
    <n v="25"/>
    <n v="25"/>
    <n v="6.37"/>
    <n v="150"/>
    <n v="38.22"/>
    <n v="111.78"/>
    <n v="0.74519999999999997"/>
    <s v="C0043"/>
    <x v="31"/>
    <x v="31"/>
    <x v="1"/>
    <x v="5"/>
  </r>
  <r>
    <x v="41"/>
    <x v="12"/>
    <x v="0"/>
    <x v="0"/>
    <d v="1905-07-16T00:00:00"/>
    <s v="ecO CANVAS TOTe Bag"/>
    <s v="Eco Canvas Tote Bag"/>
    <x v="1"/>
    <s v="BAGS"/>
    <n v="7"/>
    <n v="25"/>
    <n v="25"/>
    <n v="6.03"/>
    <n v="175"/>
    <n v="42.21"/>
    <n v="132.79"/>
    <n v="0.75879999999999992"/>
    <s v="C0053"/>
    <x v="6"/>
    <x v="6"/>
    <x v="1"/>
    <x v="7"/>
  </r>
  <r>
    <x v="42"/>
    <x v="12"/>
    <x v="0"/>
    <x v="0"/>
    <d v="1905-07-16T00:00:00"/>
    <s v="SoLAR leD lAnTern"/>
    <s v="Solar Led Lantern"/>
    <x v="2"/>
    <s v="LIGHTING"/>
    <n v="7"/>
    <n v="40"/>
    <n v="40"/>
    <n v="11.98"/>
    <n v="280"/>
    <n v="83.86"/>
    <n v="196.14"/>
    <n v="0.7004999999999999"/>
    <s v="C0022"/>
    <x v="32"/>
    <x v="32"/>
    <x v="0"/>
    <x v="5"/>
  </r>
  <r>
    <x v="43"/>
    <x v="12"/>
    <x v="0"/>
    <x v="0"/>
    <d v="1905-07-16T00:00:00"/>
    <s v="bIOdegradABlE cLEaNINg cLoTH"/>
    <s v="Biodegradable Cleaning Cloth"/>
    <x v="0"/>
    <s v="CLEANING"/>
    <n v="2"/>
    <n v="10"/>
    <n v="10"/>
    <n v="2.46"/>
    <n v="20"/>
    <n v="4.92"/>
    <n v="15.08"/>
    <n v="0.754"/>
    <s v="C0081"/>
    <x v="33"/>
    <x v="33"/>
    <x v="1"/>
    <x v="8"/>
  </r>
  <r>
    <x v="44"/>
    <x v="12"/>
    <x v="0"/>
    <x v="0"/>
    <d v="1905-07-16T00:00:00"/>
    <s v="COMpOsTaBLe PlAnT POts"/>
    <s v="Compostable Plant Pots"/>
    <x v="4"/>
    <s v="GARDENING"/>
    <n v="5"/>
    <n v="12"/>
    <n v="12"/>
    <n v="4.2"/>
    <n v="60"/>
    <n v="21"/>
    <n v="39"/>
    <n v="0.65"/>
    <s v="C0106"/>
    <x v="7"/>
    <x v="7"/>
    <x v="2"/>
    <x v="8"/>
  </r>
  <r>
    <x v="45"/>
    <x v="13"/>
    <x v="0"/>
    <x v="0"/>
    <d v="1905-07-16T00:00:00"/>
    <s v="ecO CANVAS TOTe Bag"/>
    <s v="Eco Canvas Tote Bag"/>
    <x v="1"/>
    <s v="BAGS"/>
    <n v="5"/>
    <n v="25"/>
    <n v="25"/>
    <n v="6.32"/>
    <n v="125"/>
    <n v="31.6"/>
    <n v="93.4"/>
    <n v="0.74720000000000009"/>
    <s v="C0069"/>
    <x v="3"/>
    <x v="3"/>
    <x v="1"/>
    <x v="5"/>
  </r>
  <r>
    <x v="46"/>
    <x v="13"/>
    <x v="0"/>
    <x v="0"/>
    <d v="1905-07-16T00:00:00"/>
    <s v="bIOdegradABlE cLEaNINg cLoTH"/>
    <s v="Biodegradable Cleaning Cloth"/>
    <x v="0"/>
    <s v="CLEANING"/>
    <n v="7"/>
    <n v="10"/>
    <n v="10"/>
    <n v="2.88"/>
    <n v="70"/>
    <n v="20.16"/>
    <n v="49.84"/>
    <n v="0.71200000000000008"/>
    <s v="C0164"/>
    <x v="34"/>
    <x v="34"/>
    <x v="0"/>
    <x v="1"/>
  </r>
  <r>
    <x v="47"/>
    <x v="13"/>
    <x v="0"/>
    <x v="0"/>
    <d v="1905-07-16T00:00:00"/>
    <s v="bIOdegradABlE cLEaNINg cLoTH"/>
    <s v="Biodegradable Cleaning Cloth"/>
    <x v="0"/>
    <s v="CLEANING"/>
    <n v="3"/>
    <n v="10"/>
    <n v="10"/>
    <n v="3.54"/>
    <n v="30"/>
    <n v="10.620000000000001"/>
    <n v="19.38"/>
    <n v="0.64600000000000002"/>
    <s v="C0103"/>
    <x v="3"/>
    <x v="3"/>
    <x v="0"/>
    <x v="3"/>
  </r>
  <r>
    <x v="48"/>
    <x v="13"/>
    <x v="0"/>
    <x v="0"/>
    <d v="1905-07-16T00:00:00"/>
    <s v="SoLAR leD lAnTern"/>
    <s v="Solar Led Lantern"/>
    <x v="2"/>
    <s v="LIGHTING"/>
    <n v="1"/>
    <n v="40"/>
    <n v="40"/>
    <n v="15.48"/>
    <n v="40"/>
    <n v="15.48"/>
    <n v="24.52"/>
    <n v="0.61299999999999999"/>
    <s v="C0161"/>
    <x v="18"/>
    <x v="18"/>
    <x v="3"/>
    <x v="1"/>
  </r>
  <r>
    <x v="49"/>
    <x v="13"/>
    <x v="0"/>
    <x v="0"/>
    <d v="1905-07-16T00:00:00"/>
    <s v="SoLAR leD lAnTern"/>
    <s v="Solar Led Lantern"/>
    <x v="2"/>
    <s v="LIGHTING"/>
    <n v="5"/>
    <n v="40"/>
    <n v="40"/>
    <n v="13.2"/>
    <n v="200"/>
    <n v="66"/>
    <n v="134"/>
    <n v="0.67"/>
    <s v="C0086"/>
    <x v="35"/>
    <x v="35"/>
    <x v="1"/>
    <x v="6"/>
  </r>
  <r>
    <x v="50"/>
    <x v="13"/>
    <x v="0"/>
    <x v="0"/>
    <d v="1905-07-16T00:00:00"/>
    <s v="ecO CANVAS TOTe Bag"/>
    <s v="Eco Canvas Tote Bag"/>
    <x v="1"/>
    <s v="BAGS"/>
    <n v="4"/>
    <n v="25"/>
    <n v="25"/>
    <n v="7.94"/>
    <n v="100"/>
    <n v="31.76"/>
    <n v="68.239999999999995"/>
    <n v="0.6823999999999999"/>
    <s v="C0059"/>
    <x v="31"/>
    <x v="31"/>
    <x v="1"/>
    <x v="0"/>
  </r>
  <r>
    <x v="51"/>
    <x v="13"/>
    <x v="0"/>
    <x v="0"/>
    <d v="1905-07-16T00:00:00"/>
    <s v="bIOdegradABlE cLEaNINg cLoTH"/>
    <s v="Biodegradable Cleaning Cloth"/>
    <x v="0"/>
    <s v="CLEANING"/>
    <n v="6"/>
    <n v="10"/>
    <n v="10"/>
    <n v="2.73"/>
    <n v="60"/>
    <n v="16.38"/>
    <n v="43.620000000000005"/>
    <n v="0.72700000000000009"/>
    <s v="C0158"/>
    <x v="36"/>
    <x v="36"/>
    <x v="1"/>
    <x v="2"/>
  </r>
  <r>
    <x v="52"/>
    <x v="13"/>
    <x v="0"/>
    <x v="0"/>
    <d v="1905-07-16T00:00:00"/>
    <s v="SoLAR leD lAnTern"/>
    <s v="Solar Led Lantern"/>
    <x v="2"/>
    <s v="LIGHTING"/>
    <n v="2"/>
    <n v="40"/>
    <n v="40"/>
    <n v="13.63"/>
    <n v="80"/>
    <n v="27.26"/>
    <n v="52.739999999999995"/>
    <n v="0.65924999999999989"/>
    <s v="C0119"/>
    <x v="21"/>
    <x v="21"/>
    <x v="0"/>
    <x v="0"/>
  </r>
  <r>
    <x v="53"/>
    <x v="13"/>
    <x v="0"/>
    <x v="0"/>
    <d v="1905-07-16T00:00:00"/>
    <s v="SoLAR leD lAnTern"/>
    <s v="Solar Led Lantern"/>
    <x v="2"/>
    <s v="LIGHTING"/>
    <n v="1"/>
    <n v="40"/>
    <n v="40"/>
    <n v="11.98"/>
    <n v="40"/>
    <n v="11.98"/>
    <n v="28.02"/>
    <n v="0.70050000000000001"/>
    <s v="C0054"/>
    <x v="37"/>
    <x v="37"/>
    <x v="1"/>
    <x v="4"/>
  </r>
  <r>
    <x v="54"/>
    <x v="14"/>
    <x v="0"/>
    <x v="0"/>
    <d v="1905-07-16T00:00:00"/>
    <s v="ecO CANVAS TOTe Bag"/>
    <s v="Eco Canvas Tote Bag"/>
    <x v="1"/>
    <s v="BAGS"/>
    <n v="5"/>
    <m/>
    <n v="25"/>
    <n v="6.78"/>
    <n v="125"/>
    <n v="33.9"/>
    <n v="91.1"/>
    <n v="0.7288"/>
    <s v="C0073"/>
    <x v="38"/>
    <x v="38"/>
    <x v="2"/>
    <x v="0"/>
  </r>
  <r>
    <x v="55"/>
    <x v="15"/>
    <x v="0"/>
    <x v="0"/>
    <d v="1905-07-16T00:00:00"/>
    <s v="REUsABle bAMboO uTeNSIL sEt"/>
    <s v="Reusable Bamboo Utensil Set"/>
    <x v="3"/>
    <s v="KITCHENWARE"/>
    <n v="5"/>
    <m/>
    <n v="15"/>
    <n v="5.35"/>
    <n v="75"/>
    <n v="26.75"/>
    <n v="48.25"/>
    <n v="0.64333333333333331"/>
    <s v="C0077"/>
    <x v="39"/>
    <x v="39"/>
    <x v="1"/>
    <x v="6"/>
  </r>
  <r>
    <x v="56"/>
    <x v="16"/>
    <x v="0"/>
    <x v="0"/>
    <d v="1905-07-16T00:00:00"/>
    <s v="bIOdegradABlE cLEaNINg cLoTH"/>
    <s v="Biodegradable Cleaning Cloth"/>
    <x v="0"/>
    <s v="CLEANING"/>
    <n v="1"/>
    <n v="10"/>
    <n v="10"/>
    <n v="3.11"/>
    <n v="10"/>
    <n v="3.11"/>
    <n v="6.8900000000000006"/>
    <n v="0.68900000000000006"/>
    <s v="C0034"/>
    <x v="40"/>
    <x v="40"/>
    <x v="0"/>
    <x v="6"/>
  </r>
  <r>
    <x v="57"/>
    <x v="16"/>
    <x v="0"/>
    <x v="0"/>
    <d v="1905-07-16T00:00:00"/>
    <s v="SoLAR leD lAnTern"/>
    <s v="Solar Led Lantern"/>
    <x v="2"/>
    <s v="LIGHTING"/>
    <n v="7"/>
    <n v="40"/>
    <n v="40"/>
    <n v="9.3800000000000008"/>
    <n v="280"/>
    <n v="65.660000000000011"/>
    <n v="214.33999999999997"/>
    <n v="0.76549999999999996"/>
    <s v="C0066"/>
    <x v="41"/>
    <x v="41"/>
    <x v="0"/>
    <x v="7"/>
  </r>
  <r>
    <x v="58"/>
    <x v="17"/>
    <x v="0"/>
    <x v="0"/>
    <d v="1905-07-16T00:00:00"/>
    <s v="bIOdegradABlE cLEaNINg cLoTH"/>
    <s v="Biodegradable Cleaning Cloth"/>
    <x v="0"/>
    <s v="CLEANING"/>
    <n v="1"/>
    <n v="10"/>
    <n v="10"/>
    <n v="3.75"/>
    <n v="10"/>
    <n v="3.75"/>
    <n v="6.25"/>
    <n v="0.625"/>
    <s v="C0196"/>
    <x v="42"/>
    <x v="42"/>
    <x v="2"/>
    <x v="0"/>
  </r>
  <r>
    <x v="59"/>
    <x v="17"/>
    <x v="0"/>
    <x v="0"/>
    <d v="1905-07-16T00:00:00"/>
    <s v="ecO CANVAS TOTe Bag"/>
    <s v="Eco Canvas Tote Bag"/>
    <x v="1"/>
    <s v="BAGS"/>
    <n v="6"/>
    <n v="25"/>
    <n v="25"/>
    <n v="7.18"/>
    <n v="150"/>
    <n v="43.08"/>
    <n v="106.92"/>
    <n v="0.71279999999999999"/>
    <s v="C0145"/>
    <x v="43"/>
    <x v="43"/>
    <x v="1"/>
    <x v="6"/>
  </r>
  <r>
    <x v="60"/>
    <x v="17"/>
    <x v="0"/>
    <x v="0"/>
    <d v="1905-07-16T00:00:00"/>
    <s v="COMpOsTaBLe PlAnT POts"/>
    <s v="Compostable Plant Pots"/>
    <x v="4"/>
    <s v="GARDENING"/>
    <n v="3"/>
    <n v="12"/>
    <n v="12"/>
    <n v="4.53"/>
    <n v="36"/>
    <n v="13.59"/>
    <n v="22.41"/>
    <n v="0.62250000000000005"/>
    <s v="C0094"/>
    <x v="44"/>
    <x v="44"/>
    <x v="1"/>
    <x v="1"/>
  </r>
  <r>
    <x v="61"/>
    <x v="18"/>
    <x v="0"/>
    <x v="0"/>
    <d v="1905-07-16T00:00:00"/>
    <s v="bIOdegradABlE cLEaNINg cLoTH"/>
    <s v="Biodegradable Cleaning Cloth"/>
    <x v="0"/>
    <s v="CLEANING"/>
    <n v="2"/>
    <n v="10"/>
    <n v="10"/>
    <n v="3.53"/>
    <n v="20"/>
    <n v="7.06"/>
    <n v="12.940000000000001"/>
    <n v="0.64700000000000002"/>
    <s v="C0105"/>
    <x v="45"/>
    <x v="45"/>
    <x v="1"/>
    <x v="9"/>
  </r>
  <r>
    <x v="62"/>
    <x v="18"/>
    <x v="0"/>
    <x v="0"/>
    <d v="1905-07-16T00:00:00"/>
    <s v="bIOdegradABlE cLEaNINg cLoTH"/>
    <s v="Biodegradable Cleaning Cloth"/>
    <x v="0"/>
    <s v="CLEANING"/>
    <n v="6"/>
    <n v="10"/>
    <n v="10"/>
    <n v="2.13"/>
    <n v="60"/>
    <n v="12.78"/>
    <n v="47.22"/>
    <n v="0.78700000000000003"/>
    <s v="C0064"/>
    <x v="46"/>
    <x v="46"/>
    <x v="1"/>
    <x v="4"/>
  </r>
  <r>
    <x v="63"/>
    <x v="18"/>
    <x v="0"/>
    <x v="0"/>
    <d v="1905-07-16T00:00:00"/>
    <s v="REUsABle bAMboO uTeNSIL sEt"/>
    <s v="Reusable Bamboo Utensil Set"/>
    <x v="3"/>
    <s v="KITCHENWARE"/>
    <n v="3"/>
    <n v="15"/>
    <n v="15"/>
    <n v="3.45"/>
    <n v="45"/>
    <n v="10.350000000000001"/>
    <n v="34.65"/>
    <n v="0.77"/>
    <s v="C0139"/>
    <x v="47"/>
    <x v="47"/>
    <x v="1"/>
    <x v="9"/>
  </r>
  <r>
    <x v="64"/>
    <x v="19"/>
    <x v="0"/>
    <x v="0"/>
    <d v="1905-07-16T00:00:00"/>
    <s v="REUsABle bAMboO uTeNSIL sEt"/>
    <s v="Reusable Bamboo Utensil Set"/>
    <x v="3"/>
    <s v="KITCHENWARE"/>
    <n v="10"/>
    <n v="15"/>
    <n v="15"/>
    <n v="4.71"/>
    <n v="150"/>
    <n v="47.1"/>
    <n v="102.9"/>
    <n v="0.68600000000000005"/>
    <s v="C0065"/>
    <x v="48"/>
    <x v="48"/>
    <x v="1"/>
    <x v="0"/>
  </r>
  <r>
    <x v="65"/>
    <x v="19"/>
    <x v="0"/>
    <x v="0"/>
    <d v="1905-07-16T00:00:00"/>
    <s v="ecO CANVAS TOTe Bag"/>
    <s v="Eco Canvas Tote Bag"/>
    <x v="1"/>
    <s v="BAGS"/>
    <n v="3"/>
    <n v="25"/>
    <n v="25"/>
    <n v="5.42"/>
    <n v="75"/>
    <n v="16.259999999999998"/>
    <n v="58.74"/>
    <n v="0.78320000000000001"/>
    <s v="C0014"/>
    <x v="18"/>
    <x v="18"/>
    <x v="1"/>
    <x v="8"/>
  </r>
  <r>
    <x v="66"/>
    <x v="19"/>
    <x v="0"/>
    <x v="0"/>
    <d v="1905-07-16T00:00:00"/>
    <s v="REUsABle bAMboO uTeNSIL sEt"/>
    <s v="Reusable Bamboo Utensil Set"/>
    <x v="3"/>
    <s v="KITCHENWARE"/>
    <n v="6"/>
    <n v="15"/>
    <n v="15"/>
    <n v="4.32"/>
    <n v="90"/>
    <n v="25.92"/>
    <n v="64.08"/>
    <n v="0.71199999999999997"/>
    <s v="C0062"/>
    <x v="49"/>
    <x v="49"/>
    <x v="1"/>
    <x v="0"/>
  </r>
  <r>
    <x v="67"/>
    <x v="20"/>
    <x v="0"/>
    <x v="0"/>
    <d v="1905-07-16T00:00:00"/>
    <s v="SoLAR leD lAnTern"/>
    <s v="Solar Led Lantern"/>
    <x v="2"/>
    <s v="LIGHTING"/>
    <n v="7"/>
    <n v="40"/>
    <n v="40"/>
    <n v="9.9700000000000006"/>
    <n v="280"/>
    <n v="69.790000000000006"/>
    <n v="210.20999999999998"/>
    <n v="0.75074999999999992"/>
    <s v="C0128"/>
    <x v="50"/>
    <x v="50"/>
    <x v="1"/>
    <x v="7"/>
  </r>
  <r>
    <x v="68"/>
    <x v="20"/>
    <x v="0"/>
    <x v="0"/>
    <d v="1905-07-16T00:00:00"/>
    <s v="COMpOsTaBLe PlAnT POts"/>
    <s v="Compostable Plant Pots"/>
    <x v="4"/>
    <s v="GARDENING"/>
    <n v="1"/>
    <n v="12"/>
    <n v="12"/>
    <n v="3.78"/>
    <n v="12"/>
    <n v="3.78"/>
    <n v="8.2200000000000006"/>
    <n v="0.68500000000000005"/>
    <s v="C0145"/>
    <x v="43"/>
    <x v="43"/>
    <x v="1"/>
    <x v="7"/>
  </r>
  <r>
    <x v="69"/>
    <x v="21"/>
    <x v="0"/>
    <x v="0"/>
    <d v="1905-07-16T00:00:00"/>
    <s v="SoLAR leD lAnTern"/>
    <s v="Solar Led Lantern"/>
    <x v="2"/>
    <s v="LIGHTING"/>
    <n v="2"/>
    <n v="40"/>
    <n v="40"/>
    <n v="8.1999999999999993"/>
    <n v="80"/>
    <n v="16.399999999999999"/>
    <n v="63.6"/>
    <n v="0.79500000000000004"/>
    <s v="C0145"/>
    <x v="43"/>
    <x v="43"/>
    <x v="1"/>
    <x v="7"/>
  </r>
  <r>
    <x v="70"/>
    <x v="21"/>
    <x v="0"/>
    <x v="0"/>
    <d v="1905-07-16T00:00:00"/>
    <s v="SoLAR leD lAnTern"/>
    <s v="Solar Led Lantern"/>
    <x v="2"/>
    <s v="LIGHTING"/>
    <n v="2"/>
    <n v="40"/>
    <n v="40"/>
    <n v="9.2100000000000009"/>
    <n v="80"/>
    <n v="18.420000000000002"/>
    <n v="61.58"/>
    <n v="0.76974999999999993"/>
    <s v="C0045"/>
    <x v="51"/>
    <x v="51"/>
    <x v="1"/>
    <x v="7"/>
  </r>
  <r>
    <x v="71"/>
    <x v="21"/>
    <x v="0"/>
    <x v="0"/>
    <d v="1905-07-16T00:00:00"/>
    <s v="REUsABle bAMboO uTeNSIL sEt"/>
    <s v="Reusable Bamboo Utensil Set"/>
    <x v="3"/>
    <s v="KITCHENWARE"/>
    <n v="7"/>
    <n v="15"/>
    <n v="15"/>
    <n v="5.93"/>
    <n v="105"/>
    <n v="41.51"/>
    <n v="63.49"/>
    <n v="0.60466666666666669"/>
    <s v="C0067"/>
    <x v="52"/>
    <x v="52"/>
    <x v="1"/>
    <x v="0"/>
  </r>
  <r>
    <x v="72"/>
    <x v="21"/>
    <x v="0"/>
    <x v="0"/>
    <d v="1905-07-16T00:00:00"/>
    <s v="REUsABle bAMboO uTeNSIL sEt"/>
    <s v="Reusable Bamboo Utensil Set"/>
    <x v="3"/>
    <s v="KITCHENWARE"/>
    <n v="7"/>
    <n v="15"/>
    <n v="15"/>
    <n v="4.4800000000000004"/>
    <n v="105"/>
    <n v="31.360000000000003"/>
    <n v="73.64"/>
    <n v="0.70133333333333336"/>
    <s v="C0054"/>
    <x v="37"/>
    <x v="37"/>
    <x v="1"/>
    <x v="6"/>
  </r>
  <r>
    <x v="73"/>
    <x v="21"/>
    <x v="0"/>
    <x v="0"/>
    <d v="1905-07-16T00:00:00"/>
    <s v="bIOdegradABlE cLEaNINg cLoTH"/>
    <s v="Biodegradable Cleaning Cloth"/>
    <x v="0"/>
    <s v="CLEANING"/>
    <n v="1"/>
    <n v="10"/>
    <n v="10"/>
    <n v="3.95"/>
    <n v="10"/>
    <n v="3.95"/>
    <n v="6.05"/>
    <n v="0.60499999999999998"/>
    <s v="C0101"/>
    <x v="3"/>
    <x v="3"/>
    <x v="1"/>
    <x v="4"/>
  </r>
  <r>
    <x v="74"/>
    <x v="21"/>
    <x v="0"/>
    <x v="0"/>
    <d v="1905-07-16T00:00:00"/>
    <s v="COMpOsTaBLe PlAnT POts"/>
    <s v="Compostable Plant Pots"/>
    <x v="4"/>
    <s v="GARDENING"/>
    <n v="1"/>
    <n v="12"/>
    <n v="12"/>
    <n v="4.5999999999999996"/>
    <n v="12"/>
    <n v="4.5999999999999996"/>
    <n v="7.4"/>
    <n v="0.6166666666666667"/>
    <s v="C0100"/>
    <x v="52"/>
    <x v="52"/>
    <x v="1"/>
    <x v="7"/>
  </r>
  <r>
    <x v="75"/>
    <x v="22"/>
    <x v="0"/>
    <x v="0"/>
    <d v="1905-07-16T00:00:00"/>
    <s v="ecO CANVAS TOTe Bag"/>
    <s v="Eco Canvas Tote Bag"/>
    <x v="1"/>
    <s v="BAGS"/>
    <n v="4"/>
    <n v="25"/>
    <n v="25"/>
    <n v="8.75"/>
    <n v="100"/>
    <n v="35"/>
    <n v="65"/>
    <n v="0.65"/>
    <s v="C0141"/>
    <x v="16"/>
    <x v="16"/>
    <x v="1"/>
    <x v="5"/>
  </r>
  <r>
    <x v="76"/>
    <x v="23"/>
    <x v="0"/>
    <x v="0"/>
    <d v="1905-07-16T00:00:00"/>
    <s v="bIOdegradABlE cLEaNINg cLoTH"/>
    <s v="Biodegradable Cleaning Cloth"/>
    <x v="0"/>
    <s v="CLEANING"/>
    <n v="8"/>
    <n v="10"/>
    <n v="10"/>
    <n v="2.83"/>
    <n v="80"/>
    <n v="22.64"/>
    <n v="57.36"/>
    <n v="0.71699999999999997"/>
    <s v="C0191"/>
    <x v="17"/>
    <x v="17"/>
    <x v="3"/>
    <x v="0"/>
  </r>
  <r>
    <x v="77"/>
    <x v="23"/>
    <x v="0"/>
    <x v="0"/>
    <d v="1905-07-16T00:00:00"/>
    <s v="ecO CANVAS TOTe Bag"/>
    <s v="Eco Canvas Tote Bag"/>
    <x v="1"/>
    <s v="BAGS"/>
    <n v="8"/>
    <n v="25"/>
    <n v="25"/>
    <n v="5.86"/>
    <n v="200"/>
    <n v="46.88"/>
    <n v="153.12"/>
    <n v="0.76560000000000006"/>
    <s v="C0009"/>
    <x v="53"/>
    <x v="53"/>
    <x v="1"/>
    <x v="4"/>
  </r>
  <r>
    <x v="78"/>
    <x v="23"/>
    <x v="0"/>
    <x v="0"/>
    <d v="1905-07-16T00:00:00"/>
    <s v="ecO CANVAS TOTe Bag"/>
    <s v="Eco Canvas Tote Bag"/>
    <x v="1"/>
    <s v="BAGS"/>
    <n v="4"/>
    <n v="25"/>
    <n v="25"/>
    <n v="9.89"/>
    <n v="100"/>
    <n v="39.56"/>
    <n v="60.44"/>
    <n v="0.60439999999999994"/>
    <s v="C0057"/>
    <x v="54"/>
    <x v="54"/>
    <x v="1"/>
    <x v="8"/>
  </r>
  <r>
    <x v="79"/>
    <x v="24"/>
    <x v="0"/>
    <x v="0"/>
    <d v="1905-07-16T00:00:00"/>
    <s v="SoLAR leD lAnTern"/>
    <s v="Solar Led Lantern"/>
    <x v="2"/>
    <s v="LIGHTING"/>
    <n v="5"/>
    <n v="40"/>
    <n v="40"/>
    <n v="10.28"/>
    <n v="200"/>
    <n v="51.4"/>
    <n v="148.6"/>
    <n v="0.74299999999999999"/>
    <s v="C0120"/>
    <x v="55"/>
    <x v="55"/>
    <x v="1"/>
    <x v="5"/>
  </r>
  <r>
    <x v="80"/>
    <x v="25"/>
    <x v="0"/>
    <x v="0"/>
    <d v="1905-07-16T00:00:00"/>
    <s v="REUsABle bAMboO uTeNSIL sEt"/>
    <s v="Reusable Bamboo Utensil Set"/>
    <x v="3"/>
    <s v="KITCHENWARE"/>
    <n v="7"/>
    <n v="15"/>
    <n v="15"/>
    <n v="5.82"/>
    <n v="105"/>
    <n v="40.74"/>
    <n v="64.259999999999991"/>
    <n v="0.61199999999999988"/>
    <s v="C0139"/>
    <x v="47"/>
    <x v="47"/>
    <x v="2"/>
    <x v="7"/>
  </r>
  <r>
    <x v="81"/>
    <x v="25"/>
    <x v="0"/>
    <x v="0"/>
    <d v="1905-07-16T00:00:00"/>
    <s v="bIOdegradABlE cLEaNINg cLoTH"/>
    <s v="Biodegradable Cleaning Cloth"/>
    <x v="0"/>
    <s v="CLEANING"/>
    <n v="9"/>
    <n v="10"/>
    <n v="10"/>
    <n v="3.04"/>
    <n v="90"/>
    <n v="27.36"/>
    <n v="62.64"/>
    <n v="0.69599999999999995"/>
    <s v="C0156"/>
    <x v="18"/>
    <x v="18"/>
    <x v="1"/>
    <x v="9"/>
  </r>
  <r>
    <x v="82"/>
    <x v="25"/>
    <x v="0"/>
    <x v="0"/>
    <d v="1905-07-16T00:00:00"/>
    <s v="bIOdegradABlE cLEaNINg cLoTH"/>
    <s v="Biodegradable Cleaning Cloth"/>
    <x v="0"/>
    <s v="CLEANING"/>
    <n v="7"/>
    <m/>
    <n v="10"/>
    <n v="2.2400000000000002"/>
    <n v="70"/>
    <n v="15.680000000000001"/>
    <n v="54.32"/>
    <n v="0.77600000000000002"/>
    <s v="C0066"/>
    <x v="41"/>
    <x v="41"/>
    <x v="1"/>
    <x v="9"/>
  </r>
  <r>
    <x v="83"/>
    <x v="26"/>
    <x v="0"/>
    <x v="0"/>
    <d v="1905-07-16T00:00:00"/>
    <s v="ecO CANVAS TOTe Bag"/>
    <s v="Eco Canvas Tote Bag"/>
    <x v="1"/>
    <s v="BAGS"/>
    <n v="2"/>
    <n v="25"/>
    <n v="25"/>
    <n v="6.69"/>
    <n v="50"/>
    <n v="13.38"/>
    <n v="36.619999999999997"/>
    <n v="0.73239999999999994"/>
    <s v="C0195"/>
    <x v="56"/>
    <x v="56"/>
    <x v="1"/>
    <x v="9"/>
  </r>
  <r>
    <x v="84"/>
    <x v="26"/>
    <x v="0"/>
    <x v="0"/>
    <d v="1905-07-16T00:00:00"/>
    <s v="REUsABle bAMboO uTeNSIL sEt"/>
    <s v="Reusable Bamboo Utensil Set"/>
    <x v="3"/>
    <s v="KITCHENWARE"/>
    <n v="9"/>
    <n v="15"/>
    <n v="15"/>
    <n v="3.37"/>
    <n v="135"/>
    <n v="30.330000000000002"/>
    <n v="104.67"/>
    <n v="0.77533333333333332"/>
    <s v="C0182"/>
    <x v="57"/>
    <x v="57"/>
    <x v="1"/>
    <x v="0"/>
  </r>
  <r>
    <x v="85"/>
    <x v="26"/>
    <x v="0"/>
    <x v="0"/>
    <d v="1905-07-16T00:00:00"/>
    <s v="ecO CANVAS TOTe Bag"/>
    <s v="Eco Canvas Tote Bag"/>
    <x v="1"/>
    <s v="BAGS"/>
    <n v="4"/>
    <n v="25"/>
    <n v="25"/>
    <n v="8.91"/>
    <n v="100"/>
    <n v="35.64"/>
    <n v="64.36"/>
    <n v="0.64359999999999995"/>
    <s v="C0021"/>
    <x v="37"/>
    <x v="37"/>
    <x v="2"/>
    <x v="7"/>
  </r>
  <r>
    <x v="86"/>
    <x v="26"/>
    <x v="0"/>
    <x v="0"/>
    <d v="1905-07-16T00:00:00"/>
    <s v="COMpOsTaBLe PlAnT POts"/>
    <s v="Compostable Plant Pots"/>
    <x v="4"/>
    <s v="GARDENING"/>
    <n v="1"/>
    <n v="12"/>
    <n v="12"/>
    <n v="2.87"/>
    <n v="12"/>
    <n v="2.87"/>
    <n v="9.129999999999999"/>
    <n v="0.76083333333333325"/>
    <s v="C0146"/>
    <x v="58"/>
    <x v="58"/>
    <x v="0"/>
    <x v="5"/>
  </r>
  <r>
    <x v="87"/>
    <x v="26"/>
    <x v="0"/>
    <x v="0"/>
    <d v="1905-07-16T00:00:00"/>
    <s v="SoLAR leD lAnTern"/>
    <s v="Solar Led Lantern"/>
    <x v="2"/>
    <s v="LIGHTING"/>
    <n v="6"/>
    <n v="40"/>
    <n v="40"/>
    <n v="11.82"/>
    <n v="240"/>
    <n v="70.92"/>
    <n v="169.07999999999998"/>
    <n v="0.7044999999999999"/>
    <s v="C0171"/>
    <x v="59"/>
    <x v="59"/>
    <x v="1"/>
    <x v="0"/>
  </r>
  <r>
    <x v="88"/>
    <x v="26"/>
    <x v="0"/>
    <x v="0"/>
    <d v="1905-07-16T00:00:00"/>
    <s v="ecO CANVAS TOTe Bag"/>
    <s v="Eco Canvas Tote Bag"/>
    <x v="1"/>
    <s v="BAGS"/>
    <n v="6"/>
    <n v="25"/>
    <n v="25"/>
    <n v="9.0500000000000007"/>
    <n v="150"/>
    <n v="54.300000000000004"/>
    <n v="95.699999999999989"/>
    <n v="0.6379999999999999"/>
    <s v="C0062"/>
    <x v="49"/>
    <x v="49"/>
    <x v="0"/>
    <x v="8"/>
  </r>
  <r>
    <x v="89"/>
    <x v="27"/>
    <x v="0"/>
    <x v="0"/>
    <d v="1905-07-16T00:00:00"/>
    <s v="COMpOsTaBLe PlAnT POts"/>
    <s v="Compostable Plant Pots"/>
    <x v="4"/>
    <s v="GARDENING"/>
    <n v="10"/>
    <n v="12"/>
    <n v="12"/>
    <n v="4.34"/>
    <n v="120"/>
    <n v="43.4"/>
    <n v="76.599999999999994"/>
    <n v="0.63833333333333331"/>
    <s v="C0110"/>
    <x v="26"/>
    <x v="26"/>
    <x v="0"/>
    <x v="7"/>
  </r>
  <r>
    <x v="90"/>
    <x v="27"/>
    <x v="0"/>
    <x v="0"/>
    <d v="1905-07-16T00:00:00"/>
    <s v="ecO CANVAS TOTe Bag"/>
    <s v="Eco Canvas Tote Bag"/>
    <x v="1"/>
    <s v="BAGS"/>
    <n v="3"/>
    <m/>
    <n v="25"/>
    <n v="7.45"/>
    <n v="75"/>
    <n v="22.35"/>
    <n v="52.65"/>
    <n v="0.70199999999999996"/>
    <s v="C0053"/>
    <x v="6"/>
    <x v="6"/>
    <x v="0"/>
    <x v="3"/>
  </r>
  <r>
    <x v="91"/>
    <x v="27"/>
    <x v="0"/>
    <x v="0"/>
    <d v="1905-07-16T00:00:00"/>
    <s v="REUsABle bAMboO uTeNSIL sEt"/>
    <s v="Reusable Bamboo Utensil Set"/>
    <x v="3"/>
    <s v="KITCHENWARE"/>
    <n v="9"/>
    <n v="15"/>
    <n v="15"/>
    <n v="4.92"/>
    <n v="135"/>
    <n v="44.28"/>
    <n v="90.72"/>
    <n v="0.67200000000000004"/>
    <s v="C0016"/>
    <x v="5"/>
    <x v="5"/>
    <x v="3"/>
    <x v="0"/>
  </r>
  <r>
    <x v="92"/>
    <x v="27"/>
    <x v="0"/>
    <x v="0"/>
    <d v="1905-07-16T00:00:00"/>
    <s v="bIOdegradABlE cLEaNINg cLoTH"/>
    <s v="Biodegradable Cleaning Cloth"/>
    <x v="0"/>
    <s v="CLEANING"/>
    <n v="7"/>
    <n v="10"/>
    <n v="10"/>
    <n v="2.4500000000000002"/>
    <n v="70"/>
    <n v="17.150000000000002"/>
    <n v="52.849999999999994"/>
    <n v="0.75499999999999989"/>
    <s v="C0174"/>
    <x v="0"/>
    <x v="0"/>
    <x v="1"/>
    <x v="6"/>
  </r>
  <r>
    <x v="93"/>
    <x v="27"/>
    <x v="0"/>
    <x v="0"/>
    <d v="1905-07-16T00:00:00"/>
    <s v="ecO CANVAS TOTe Bag"/>
    <s v="Eco Canvas Tote Bag"/>
    <x v="1"/>
    <s v="BAGS"/>
    <n v="1"/>
    <n v="25"/>
    <n v="25"/>
    <n v="7.24"/>
    <n v="25"/>
    <n v="7.24"/>
    <n v="17.759999999999998"/>
    <n v="0.71039999999999992"/>
    <s v="C0012"/>
    <x v="13"/>
    <x v="13"/>
    <x v="0"/>
    <x v="9"/>
  </r>
  <r>
    <x v="94"/>
    <x v="27"/>
    <x v="0"/>
    <x v="0"/>
    <d v="1905-07-16T00:00:00"/>
    <s v="SoLAR leD lAnTern"/>
    <s v="Solar Led Lantern"/>
    <x v="2"/>
    <s v="LIGHTING"/>
    <n v="2"/>
    <n v="40"/>
    <n v="40"/>
    <n v="14.07"/>
    <n v="80"/>
    <n v="28.14"/>
    <n v="51.86"/>
    <n v="0.64824999999999999"/>
    <s v="C0014"/>
    <x v="18"/>
    <x v="18"/>
    <x v="2"/>
    <x v="6"/>
  </r>
  <r>
    <x v="95"/>
    <x v="27"/>
    <x v="0"/>
    <x v="0"/>
    <d v="1905-07-16T00:00:00"/>
    <s v="ecO CANVAS TOTe Bag"/>
    <s v="Eco Canvas Tote Bag"/>
    <x v="1"/>
    <s v="BAGS"/>
    <n v="10"/>
    <n v="25"/>
    <n v="25"/>
    <n v="9.9"/>
    <n v="250"/>
    <n v="99"/>
    <n v="151"/>
    <n v="0.60399999999999998"/>
    <s v="C0110"/>
    <x v="26"/>
    <x v="26"/>
    <x v="1"/>
    <x v="9"/>
  </r>
  <r>
    <x v="96"/>
    <x v="28"/>
    <x v="0"/>
    <x v="0"/>
    <d v="1905-07-16T00:00:00"/>
    <s v="SoLAR leD lAnTern"/>
    <s v="Solar Led Lantern"/>
    <x v="2"/>
    <s v="LIGHTING"/>
    <n v="9"/>
    <n v="40"/>
    <n v="40"/>
    <n v="15.18"/>
    <n v="360"/>
    <n v="136.62"/>
    <n v="223.38"/>
    <n v="0.62049999999999994"/>
    <s v="C0194"/>
    <x v="60"/>
    <x v="60"/>
    <x v="3"/>
    <x v="6"/>
  </r>
  <r>
    <x v="97"/>
    <x v="28"/>
    <x v="0"/>
    <x v="0"/>
    <d v="1905-07-16T00:00:00"/>
    <s v="bIOdegradABlE cLEaNINg cLoTH"/>
    <s v="Biodegradable Cleaning Cloth"/>
    <x v="0"/>
    <s v="CLEANING"/>
    <n v="4"/>
    <n v="10"/>
    <n v="10"/>
    <n v="3.54"/>
    <n v="40"/>
    <n v="14.16"/>
    <n v="25.84"/>
    <n v="0.64600000000000002"/>
    <s v="C0188"/>
    <x v="30"/>
    <x v="30"/>
    <x v="1"/>
    <x v="6"/>
  </r>
  <r>
    <x v="98"/>
    <x v="28"/>
    <x v="0"/>
    <x v="0"/>
    <d v="1905-07-16T00:00:00"/>
    <s v="COMpOsTaBLe PlAnT POts"/>
    <s v="Compostable Plant Pots"/>
    <x v="4"/>
    <s v="GARDENING"/>
    <n v="10"/>
    <n v="12"/>
    <n v="12"/>
    <n v="3.79"/>
    <n v="120"/>
    <n v="37.9"/>
    <n v="82.1"/>
    <n v="0.68416666666666659"/>
    <s v="C0095"/>
    <x v="61"/>
    <x v="61"/>
    <x v="1"/>
    <x v="1"/>
  </r>
  <r>
    <x v="99"/>
    <x v="28"/>
    <x v="0"/>
    <x v="0"/>
    <d v="1905-07-16T00:00:00"/>
    <s v="bIOdegradABlE cLEaNINg cLoTH"/>
    <s v="Biodegradable Cleaning Cloth"/>
    <x v="0"/>
    <s v="CLEANING"/>
    <n v="8"/>
    <n v="10"/>
    <n v="10"/>
    <n v="2.6"/>
    <n v="80"/>
    <n v="20.8"/>
    <n v="59.2"/>
    <n v="0.74"/>
    <s v="C0018"/>
    <x v="62"/>
    <x v="62"/>
    <x v="1"/>
    <x v="5"/>
  </r>
  <r>
    <x v="100"/>
    <x v="28"/>
    <x v="0"/>
    <x v="0"/>
    <d v="1905-07-16T00:00:00"/>
    <s v="ecO CANVAS TOTe Bag"/>
    <s v="Eco Canvas Tote Bag"/>
    <x v="1"/>
    <s v="BAGS"/>
    <n v="8"/>
    <n v="25"/>
    <n v="25"/>
    <n v="6.48"/>
    <n v="200"/>
    <n v="51.84"/>
    <n v="148.16"/>
    <n v="0.74080000000000001"/>
    <s v="C0023"/>
    <x v="63"/>
    <x v="63"/>
    <x v="0"/>
    <x v="4"/>
  </r>
  <r>
    <x v="101"/>
    <x v="28"/>
    <x v="0"/>
    <x v="0"/>
    <d v="1905-07-16T00:00:00"/>
    <s v="bIOdegradABlE cLEaNINg cLoTH"/>
    <s v="Biodegradable Cleaning Cloth"/>
    <x v="0"/>
    <s v="CLEANING"/>
    <n v="9"/>
    <n v="10"/>
    <n v="10"/>
    <n v="3.07"/>
    <n v="90"/>
    <n v="27.63"/>
    <n v="62.370000000000005"/>
    <n v="0.69300000000000006"/>
    <s v="C0165"/>
    <x v="8"/>
    <x v="8"/>
    <x v="3"/>
    <x v="9"/>
  </r>
  <r>
    <x v="102"/>
    <x v="29"/>
    <x v="0"/>
    <x v="0"/>
    <d v="1905-07-16T00:00:00"/>
    <s v="SoLAR leD lAnTern"/>
    <s v="Solar Led Lantern"/>
    <x v="2"/>
    <s v="LIGHTING"/>
    <n v="8"/>
    <n v="40"/>
    <n v="40"/>
    <n v="10.88"/>
    <n v="320"/>
    <n v="87.04"/>
    <n v="232.95999999999998"/>
    <n v="0.72799999999999998"/>
    <s v="C0037"/>
    <x v="64"/>
    <x v="64"/>
    <x v="0"/>
    <x v="5"/>
  </r>
  <r>
    <x v="103"/>
    <x v="29"/>
    <x v="0"/>
    <x v="0"/>
    <d v="1905-07-16T00:00:00"/>
    <s v="REUsABle bAMboO uTeNSIL sEt"/>
    <s v="Reusable Bamboo Utensil Set"/>
    <x v="3"/>
    <s v="KITCHENWARE"/>
    <n v="7"/>
    <n v="15"/>
    <n v="15"/>
    <n v="5.75"/>
    <n v="105"/>
    <n v="40.25"/>
    <n v="64.75"/>
    <n v="0.6166666666666667"/>
    <s v="C0007"/>
    <x v="65"/>
    <x v="65"/>
    <x v="1"/>
    <x v="2"/>
  </r>
  <r>
    <x v="104"/>
    <x v="30"/>
    <x v="0"/>
    <x v="0"/>
    <d v="1905-07-16T00:00:00"/>
    <s v="bIOdegradABlE cLEaNINg cLoTH"/>
    <s v="Biodegradable Cleaning Cloth"/>
    <x v="0"/>
    <s v="CLEANING"/>
    <n v="3"/>
    <n v="10"/>
    <n v="10"/>
    <n v="2.88"/>
    <n v="30"/>
    <n v="8.64"/>
    <n v="21.36"/>
    <n v="0.71199999999999997"/>
    <s v="C0124"/>
    <x v="15"/>
    <x v="15"/>
    <x v="0"/>
    <x v="5"/>
  </r>
  <r>
    <x v="105"/>
    <x v="30"/>
    <x v="0"/>
    <x v="0"/>
    <d v="1905-07-16T00:00:00"/>
    <s v="bIOdegradABlE cLEaNINg cLoTH"/>
    <s v="Biodegradable Cleaning Cloth"/>
    <x v="0"/>
    <s v="CLEANING"/>
    <n v="9"/>
    <n v="10"/>
    <n v="10"/>
    <n v="3.15"/>
    <n v="90"/>
    <n v="28.349999999999998"/>
    <n v="61.650000000000006"/>
    <n v="0.68500000000000005"/>
    <s v="C0146"/>
    <x v="58"/>
    <x v="58"/>
    <x v="1"/>
    <x v="6"/>
  </r>
  <r>
    <x v="106"/>
    <x v="30"/>
    <x v="0"/>
    <x v="0"/>
    <d v="1905-07-16T00:00:00"/>
    <s v="ecO CANVAS TOTe Bag"/>
    <s v="Eco Canvas Tote Bag"/>
    <x v="1"/>
    <s v="BAGS"/>
    <n v="1"/>
    <n v="25"/>
    <n v="25"/>
    <n v="5.62"/>
    <n v="25"/>
    <n v="5.62"/>
    <n v="19.38"/>
    <n v="0.7752"/>
    <s v="C0158"/>
    <x v="36"/>
    <x v="36"/>
    <x v="1"/>
    <x v="4"/>
  </r>
  <r>
    <x v="107"/>
    <x v="30"/>
    <x v="0"/>
    <x v="0"/>
    <d v="1905-07-16T00:00:00"/>
    <s v="ecO CANVAS TOTe Bag"/>
    <s v="Eco Canvas Tote Bag"/>
    <x v="1"/>
    <s v="BAGS"/>
    <n v="10"/>
    <n v="25"/>
    <n v="25"/>
    <n v="7.15"/>
    <n v="250"/>
    <n v="71.5"/>
    <n v="178.5"/>
    <n v="0.71399999999999997"/>
    <s v="C0035"/>
    <x v="16"/>
    <x v="16"/>
    <x v="1"/>
    <x v="8"/>
  </r>
  <r>
    <x v="108"/>
    <x v="30"/>
    <x v="0"/>
    <x v="0"/>
    <d v="1905-07-16T00:00:00"/>
    <s v="SoLAR leD lAnTern"/>
    <s v="Solar Led Lantern"/>
    <x v="2"/>
    <s v="LIGHTING"/>
    <n v="10"/>
    <n v="40"/>
    <n v="40"/>
    <n v="14.26"/>
    <n v="400"/>
    <n v="142.6"/>
    <n v="257.39999999999998"/>
    <n v="0.64349999999999996"/>
    <s v="C0114"/>
    <x v="5"/>
    <x v="5"/>
    <x v="1"/>
    <x v="7"/>
  </r>
  <r>
    <x v="109"/>
    <x v="30"/>
    <x v="0"/>
    <x v="0"/>
    <d v="1905-07-16T00:00:00"/>
    <s v="COMpOsTaBLe PlAnT POts"/>
    <s v="Compostable Plant Pots"/>
    <x v="4"/>
    <s v="GARDENING"/>
    <n v="3"/>
    <n v="12"/>
    <n v="12"/>
    <n v="3.43"/>
    <n v="36"/>
    <n v="10.290000000000001"/>
    <n v="25.71"/>
    <n v="0.71416666666666673"/>
    <s v="C0009"/>
    <x v="53"/>
    <x v="53"/>
    <x v="1"/>
    <x v="9"/>
  </r>
  <r>
    <x v="110"/>
    <x v="31"/>
    <x v="1"/>
    <x v="1"/>
    <d v="1905-07-16T00:00:00"/>
    <s v="ecO CANVAS TOTe Bag"/>
    <s v="Eco Canvas Tote Bag"/>
    <x v="1"/>
    <s v="BAGS"/>
    <n v="5"/>
    <n v="25"/>
    <n v="25"/>
    <n v="7.16"/>
    <n v="125"/>
    <n v="35.799999999999997"/>
    <n v="89.2"/>
    <n v="0.71360000000000001"/>
    <s v="C0078"/>
    <x v="35"/>
    <x v="35"/>
    <x v="1"/>
    <x v="2"/>
  </r>
  <r>
    <x v="111"/>
    <x v="31"/>
    <x v="1"/>
    <x v="1"/>
    <d v="1905-07-16T00:00:00"/>
    <s v="SoLAR leD lAnTern"/>
    <s v="Solar Led Lantern"/>
    <x v="2"/>
    <s v="LIGHTING"/>
    <n v="1"/>
    <n v="40"/>
    <n v="40"/>
    <n v="13.32"/>
    <n v="40"/>
    <n v="13.32"/>
    <n v="26.68"/>
    <n v="0.66700000000000004"/>
    <s v="C0122"/>
    <x v="1"/>
    <x v="1"/>
    <x v="1"/>
    <x v="1"/>
  </r>
  <r>
    <x v="112"/>
    <x v="32"/>
    <x v="1"/>
    <x v="1"/>
    <d v="1905-07-16T00:00:00"/>
    <s v="REUsABle bAMboO uTeNSIL sEt"/>
    <s v="Reusable Bamboo Utensil Set"/>
    <x v="3"/>
    <s v="KITCHENWARE"/>
    <n v="8"/>
    <n v="15"/>
    <n v="15"/>
    <n v="4.83"/>
    <n v="120"/>
    <n v="38.64"/>
    <n v="81.36"/>
    <n v="0.67800000000000005"/>
    <s v="C0111"/>
    <x v="49"/>
    <x v="49"/>
    <x v="3"/>
    <x v="9"/>
  </r>
  <r>
    <x v="113"/>
    <x v="33"/>
    <x v="1"/>
    <x v="1"/>
    <d v="1905-07-16T00:00:00"/>
    <s v="ecO CANVAS TOTe Bag"/>
    <s v="Eco Canvas Tote Bag"/>
    <x v="1"/>
    <s v="BAGS"/>
    <n v="2"/>
    <n v="25"/>
    <n v="25"/>
    <n v="5.45"/>
    <n v="50"/>
    <n v="10.9"/>
    <n v="39.1"/>
    <n v="0.78200000000000003"/>
    <s v="C0187"/>
    <x v="48"/>
    <x v="48"/>
    <x v="0"/>
    <x v="7"/>
  </r>
  <r>
    <x v="114"/>
    <x v="34"/>
    <x v="1"/>
    <x v="1"/>
    <d v="1905-07-16T00:00:00"/>
    <s v="ecO CANVAS TOTe Bag"/>
    <s v="Eco Canvas Tote Bag"/>
    <x v="1"/>
    <s v="BAGS"/>
    <n v="9"/>
    <n v="25"/>
    <n v="25"/>
    <n v="6.65"/>
    <n v="225"/>
    <n v="59.85"/>
    <n v="165.15"/>
    <n v="0.73399999999999999"/>
    <s v="C0194"/>
    <x v="60"/>
    <x v="60"/>
    <x v="1"/>
    <x v="9"/>
  </r>
  <r>
    <x v="115"/>
    <x v="35"/>
    <x v="1"/>
    <x v="1"/>
    <d v="1905-07-16T00:00:00"/>
    <s v="bIOdegradABlE cLEaNINg cLoTH"/>
    <s v="Biodegradable Cleaning Cloth"/>
    <x v="0"/>
    <s v="CLEANING"/>
    <n v="1"/>
    <n v="10"/>
    <n v="10"/>
    <n v="2.91"/>
    <n v="10"/>
    <n v="2.91"/>
    <n v="7.09"/>
    <n v="0.70899999999999996"/>
    <s v="C0033"/>
    <x v="25"/>
    <x v="25"/>
    <x v="1"/>
    <x v="7"/>
  </r>
  <r>
    <x v="116"/>
    <x v="36"/>
    <x v="1"/>
    <x v="1"/>
    <d v="1905-07-16T00:00:00"/>
    <s v="bIOdegradABlE cLEaNINg cLoTH"/>
    <s v="Biodegradable Cleaning Cloth"/>
    <x v="0"/>
    <s v="CLEANING"/>
    <n v="8"/>
    <m/>
    <n v="10"/>
    <n v="3.92"/>
    <n v="80"/>
    <n v="31.36"/>
    <n v="48.64"/>
    <n v="0.60799999999999998"/>
    <s v="C0108"/>
    <x v="15"/>
    <x v="15"/>
    <x v="0"/>
    <x v="4"/>
  </r>
  <r>
    <x v="117"/>
    <x v="36"/>
    <x v="1"/>
    <x v="1"/>
    <d v="1905-07-16T00:00:00"/>
    <s v="REUsABle bAMboO uTeNSIL sEt"/>
    <s v="Reusable Bamboo Utensil Set"/>
    <x v="3"/>
    <s v="KITCHENWARE"/>
    <n v="5"/>
    <n v="15"/>
    <n v="15"/>
    <n v="4.6100000000000003"/>
    <n v="75"/>
    <n v="23.05"/>
    <n v="51.95"/>
    <n v="0.69266666666666665"/>
    <s v="C0192"/>
    <x v="66"/>
    <x v="66"/>
    <x v="3"/>
    <x v="7"/>
  </r>
  <r>
    <x v="118"/>
    <x v="36"/>
    <x v="1"/>
    <x v="1"/>
    <d v="1905-07-16T00:00:00"/>
    <s v="bIOdegradABlE cLEaNINg cLoTH"/>
    <s v="Biodegradable Cleaning Cloth"/>
    <x v="0"/>
    <s v="CLEANING"/>
    <n v="4"/>
    <n v="10"/>
    <n v="10"/>
    <n v="3.17"/>
    <n v="40"/>
    <n v="12.68"/>
    <n v="27.32"/>
    <n v="0.68300000000000005"/>
    <s v="C0193"/>
    <x v="67"/>
    <x v="67"/>
    <x v="1"/>
    <x v="4"/>
  </r>
  <r>
    <x v="119"/>
    <x v="36"/>
    <x v="1"/>
    <x v="1"/>
    <d v="1905-07-16T00:00:00"/>
    <s v="SoLAR leD lAnTern"/>
    <s v="Solar Led Lantern"/>
    <x v="2"/>
    <s v="LIGHTING"/>
    <n v="5"/>
    <n v="40"/>
    <n v="40"/>
    <n v="11.02"/>
    <n v="200"/>
    <n v="55.099999999999994"/>
    <n v="144.9"/>
    <n v="0.72450000000000003"/>
    <s v="C0145"/>
    <x v="43"/>
    <x v="43"/>
    <x v="1"/>
    <x v="0"/>
  </r>
  <r>
    <x v="120"/>
    <x v="36"/>
    <x v="1"/>
    <x v="1"/>
    <d v="1905-07-16T00:00:00"/>
    <s v="SoLAR leD lAnTern"/>
    <s v="Solar Led Lantern"/>
    <x v="2"/>
    <s v="LIGHTING"/>
    <n v="1"/>
    <n v="40"/>
    <n v="40"/>
    <n v="12.28"/>
    <n v="40"/>
    <n v="12.28"/>
    <n v="27.72"/>
    <n v="0.69299999999999995"/>
    <s v="C0100"/>
    <x v="52"/>
    <x v="52"/>
    <x v="1"/>
    <x v="5"/>
  </r>
  <r>
    <x v="121"/>
    <x v="37"/>
    <x v="1"/>
    <x v="1"/>
    <d v="1905-07-16T00:00:00"/>
    <s v="COMpOsTaBLe PlAnT POts"/>
    <s v="Compostable Plant Pots"/>
    <x v="4"/>
    <s v="GARDENING"/>
    <n v="10"/>
    <n v="12"/>
    <n v="12"/>
    <n v="3.91"/>
    <n v="120"/>
    <n v="39.1"/>
    <n v="80.900000000000006"/>
    <n v="0.67416666666666669"/>
    <s v="C0166"/>
    <x v="68"/>
    <x v="68"/>
    <x v="0"/>
    <x v="7"/>
  </r>
  <r>
    <x v="122"/>
    <x v="37"/>
    <x v="1"/>
    <x v="1"/>
    <d v="1905-07-16T00:00:00"/>
    <s v="SoLAR leD lAnTern"/>
    <s v="Solar Led Lantern"/>
    <x v="2"/>
    <s v="LIGHTING"/>
    <n v="6"/>
    <n v="40"/>
    <n v="40"/>
    <n v="15"/>
    <n v="240"/>
    <n v="90"/>
    <n v="150"/>
    <n v="0.625"/>
    <s v="C0131"/>
    <x v="69"/>
    <x v="69"/>
    <x v="1"/>
    <x v="1"/>
  </r>
  <r>
    <x v="123"/>
    <x v="38"/>
    <x v="1"/>
    <x v="1"/>
    <d v="1905-07-16T00:00:00"/>
    <s v="REUsABle bAMboO uTeNSIL sEt"/>
    <s v="Reusable Bamboo Utensil Set"/>
    <x v="3"/>
    <s v="KITCHENWARE"/>
    <n v="7"/>
    <n v="15"/>
    <n v="15"/>
    <n v="5.54"/>
    <n v="105"/>
    <n v="38.78"/>
    <n v="66.22"/>
    <n v="0.63066666666666671"/>
    <s v="C0135"/>
    <x v="8"/>
    <x v="8"/>
    <x v="0"/>
    <x v="4"/>
  </r>
  <r>
    <x v="124"/>
    <x v="38"/>
    <x v="1"/>
    <x v="1"/>
    <d v="1905-07-16T00:00:00"/>
    <s v="REUsABle bAMboO uTeNSIL sEt"/>
    <s v="Reusable Bamboo Utensil Set"/>
    <x v="3"/>
    <s v="KITCHENWARE"/>
    <n v="7"/>
    <n v="15"/>
    <n v="15"/>
    <n v="3.16"/>
    <n v="105"/>
    <n v="22.12"/>
    <n v="82.88"/>
    <n v="0.78933333333333333"/>
    <s v="C0112"/>
    <x v="70"/>
    <x v="70"/>
    <x v="1"/>
    <x v="4"/>
  </r>
  <r>
    <x v="125"/>
    <x v="38"/>
    <x v="1"/>
    <x v="1"/>
    <d v="1905-07-16T00:00:00"/>
    <s v="REUsABle bAMboO uTeNSIL sEt"/>
    <s v="Reusable Bamboo Utensil Set"/>
    <x v="3"/>
    <s v="KITCHENWARE"/>
    <n v="5"/>
    <n v="15"/>
    <n v="15"/>
    <n v="4.28"/>
    <n v="75"/>
    <n v="21.400000000000002"/>
    <n v="53.599999999999994"/>
    <n v="0.71466666666666656"/>
    <s v="C0002"/>
    <x v="43"/>
    <x v="43"/>
    <x v="0"/>
    <x v="1"/>
  </r>
  <r>
    <x v="126"/>
    <x v="39"/>
    <x v="1"/>
    <x v="1"/>
    <d v="1905-07-16T00:00:00"/>
    <s v="COMpOsTaBLe PlAnT POts"/>
    <s v="Compostable Plant Pots"/>
    <x v="4"/>
    <s v="GARDENING"/>
    <n v="6"/>
    <n v="12"/>
    <n v="12"/>
    <n v="3.5"/>
    <n v="72"/>
    <n v="21"/>
    <n v="51"/>
    <n v="0.70833333333333337"/>
    <s v="C0160"/>
    <x v="19"/>
    <x v="19"/>
    <x v="1"/>
    <x v="7"/>
  </r>
  <r>
    <x v="127"/>
    <x v="40"/>
    <x v="1"/>
    <x v="1"/>
    <d v="1905-07-16T00:00:00"/>
    <s v="COMpOsTaBLe PlAnT POts"/>
    <s v="Compostable Plant Pots"/>
    <x v="4"/>
    <s v="GARDENING"/>
    <n v="10"/>
    <n v="12"/>
    <n v="12"/>
    <n v="2.52"/>
    <n v="120"/>
    <n v="25.2"/>
    <n v="94.8"/>
    <n v="0.78999999999999992"/>
    <s v="C0075"/>
    <x v="71"/>
    <x v="71"/>
    <x v="1"/>
    <x v="1"/>
  </r>
  <r>
    <x v="128"/>
    <x v="41"/>
    <x v="1"/>
    <x v="1"/>
    <d v="1905-07-16T00:00:00"/>
    <s v="ecO CANVAS TOTe Bag"/>
    <s v="Eco Canvas Tote Bag"/>
    <x v="1"/>
    <s v="BAGS"/>
    <n v="8"/>
    <n v="25"/>
    <n v="25"/>
    <n v="8.44"/>
    <n v="200"/>
    <n v="67.52"/>
    <n v="132.48000000000002"/>
    <n v="0.6624000000000001"/>
    <s v="C0042"/>
    <x v="71"/>
    <x v="71"/>
    <x v="2"/>
    <x v="4"/>
  </r>
  <r>
    <x v="129"/>
    <x v="42"/>
    <x v="1"/>
    <x v="1"/>
    <d v="1905-07-16T00:00:00"/>
    <s v="bIOdegradABlE cLEaNINg cLoTH"/>
    <s v="Biodegradable Cleaning Cloth"/>
    <x v="0"/>
    <s v="CLEANING"/>
    <n v="9"/>
    <n v="10"/>
    <n v="10"/>
    <n v="3.45"/>
    <n v="90"/>
    <n v="31.05"/>
    <n v="58.95"/>
    <n v="0.65500000000000003"/>
    <s v="C0190"/>
    <x v="39"/>
    <x v="39"/>
    <x v="1"/>
    <x v="0"/>
  </r>
  <r>
    <x v="130"/>
    <x v="42"/>
    <x v="1"/>
    <x v="1"/>
    <d v="1905-07-16T00:00:00"/>
    <s v="REUsABle bAMboO uTeNSIL sEt"/>
    <s v="Reusable Bamboo Utensil Set"/>
    <x v="3"/>
    <s v="KITCHENWARE"/>
    <n v="3"/>
    <n v="15"/>
    <n v="15"/>
    <n v="4.2699999999999996"/>
    <n v="45"/>
    <n v="12.809999999999999"/>
    <n v="32.19"/>
    <n v="0.71533333333333327"/>
    <s v="C0141"/>
    <x v="16"/>
    <x v="16"/>
    <x v="0"/>
    <x v="4"/>
  </r>
  <r>
    <x v="131"/>
    <x v="42"/>
    <x v="1"/>
    <x v="1"/>
    <d v="1905-07-16T00:00:00"/>
    <s v="bIOdegradABlE cLEaNINg cLoTH"/>
    <s v="Biodegradable Cleaning Cloth"/>
    <x v="0"/>
    <s v="CLEANING"/>
    <n v="9"/>
    <n v="10"/>
    <n v="10"/>
    <n v="3.07"/>
    <n v="90"/>
    <n v="27.63"/>
    <n v="62.370000000000005"/>
    <n v="0.69300000000000006"/>
    <s v="C0002"/>
    <x v="43"/>
    <x v="43"/>
    <x v="0"/>
    <x v="7"/>
  </r>
  <r>
    <x v="132"/>
    <x v="43"/>
    <x v="1"/>
    <x v="1"/>
    <d v="1905-07-16T00:00:00"/>
    <s v="SoLAR leD lAnTern"/>
    <s v="Solar Led Lantern"/>
    <x v="2"/>
    <s v="LIGHTING"/>
    <n v="7"/>
    <n v="40"/>
    <n v="40"/>
    <n v="12.58"/>
    <n v="280"/>
    <n v="88.06"/>
    <n v="191.94"/>
    <n v="0.6855"/>
    <s v="C0122"/>
    <x v="1"/>
    <x v="1"/>
    <x v="3"/>
    <x v="6"/>
  </r>
  <r>
    <x v="133"/>
    <x v="43"/>
    <x v="1"/>
    <x v="1"/>
    <d v="1905-07-16T00:00:00"/>
    <s v="SoLAR leD lAnTern"/>
    <s v="Solar Led Lantern"/>
    <x v="2"/>
    <s v="LIGHTING"/>
    <n v="2"/>
    <n v="40"/>
    <n v="40"/>
    <n v="9.66"/>
    <n v="80"/>
    <n v="19.32"/>
    <n v="60.68"/>
    <n v="0.75849999999999995"/>
    <s v="C0158"/>
    <x v="36"/>
    <x v="36"/>
    <x v="2"/>
    <x v="4"/>
  </r>
  <r>
    <x v="134"/>
    <x v="43"/>
    <x v="1"/>
    <x v="1"/>
    <d v="1905-07-16T00:00:00"/>
    <s v="ecO CANVAS TOTe Bag"/>
    <s v="Eco Canvas Tote Bag"/>
    <x v="1"/>
    <s v="BAGS"/>
    <n v="2"/>
    <n v="25"/>
    <n v="25"/>
    <n v="9.7100000000000009"/>
    <n v="50"/>
    <n v="19.420000000000002"/>
    <n v="30.58"/>
    <n v="0.61159999999999992"/>
    <s v="C0009"/>
    <x v="53"/>
    <x v="53"/>
    <x v="1"/>
    <x v="4"/>
  </r>
  <r>
    <x v="135"/>
    <x v="44"/>
    <x v="1"/>
    <x v="1"/>
    <d v="1905-07-16T00:00:00"/>
    <s v="SoLAR leD lAnTern"/>
    <s v="Solar Led Lantern"/>
    <x v="2"/>
    <s v="LIGHTING"/>
    <n v="10"/>
    <n v="40"/>
    <n v="40"/>
    <n v="14.95"/>
    <n v="400"/>
    <n v="149.5"/>
    <n v="250.5"/>
    <n v="0.62624999999999997"/>
    <s v="C0031"/>
    <x v="61"/>
    <x v="61"/>
    <x v="1"/>
    <x v="9"/>
  </r>
  <r>
    <x v="136"/>
    <x v="44"/>
    <x v="1"/>
    <x v="1"/>
    <d v="1905-07-16T00:00:00"/>
    <s v="COMpOsTaBLe PlAnT POts"/>
    <s v="Compostable Plant Pots"/>
    <x v="4"/>
    <s v="GARDENING"/>
    <n v="5"/>
    <n v="12"/>
    <n v="12"/>
    <n v="3.63"/>
    <n v="60"/>
    <n v="18.149999999999999"/>
    <n v="41.85"/>
    <n v="0.69750000000000001"/>
    <s v="C0112"/>
    <x v="70"/>
    <x v="70"/>
    <x v="1"/>
    <x v="1"/>
  </r>
  <r>
    <x v="137"/>
    <x v="44"/>
    <x v="1"/>
    <x v="1"/>
    <d v="1905-07-16T00:00:00"/>
    <s v="ecO CANVAS TOTe Bag"/>
    <s v="Eco Canvas Tote Bag"/>
    <x v="1"/>
    <s v="BAGS"/>
    <n v="2"/>
    <n v="25"/>
    <n v="25"/>
    <n v="8.08"/>
    <n v="50"/>
    <n v="16.16"/>
    <n v="33.840000000000003"/>
    <n v="0.67680000000000007"/>
    <s v="C0190"/>
    <x v="39"/>
    <x v="39"/>
    <x v="1"/>
    <x v="1"/>
  </r>
  <r>
    <x v="138"/>
    <x v="44"/>
    <x v="1"/>
    <x v="1"/>
    <d v="1905-07-16T00:00:00"/>
    <s v="bIOdegradABlE cLEaNINg cLoTH"/>
    <s v="Biodegradable Cleaning Cloth"/>
    <x v="0"/>
    <s v="CLEANING"/>
    <n v="9"/>
    <n v="10"/>
    <n v="10"/>
    <n v="3.45"/>
    <n v="90"/>
    <n v="31.05"/>
    <n v="58.95"/>
    <n v="0.65500000000000003"/>
    <s v="C0091"/>
    <x v="72"/>
    <x v="72"/>
    <x v="0"/>
    <x v="3"/>
  </r>
  <r>
    <x v="139"/>
    <x v="44"/>
    <x v="1"/>
    <x v="1"/>
    <d v="1905-07-16T00:00:00"/>
    <s v="COMpOsTaBLe PlAnT POts"/>
    <s v="Compostable Plant Pots"/>
    <x v="4"/>
    <s v="GARDENING"/>
    <n v="5"/>
    <n v="12"/>
    <n v="12"/>
    <n v="4.0199999999999996"/>
    <n v="60"/>
    <n v="20.099999999999998"/>
    <n v="39.900000000000006"/>
    <n v="0.66500000000000015"/>
    <s v="C0162"/>
    <x v="4"/>
    <x v="4"/>
    <x v="1"/>
    <x v="6"/>
  </r>
  <r>
    <x v="140"/>
    <x v="45"/>
    <x v="1"/>
    <x v="1"/>
    <d v="1905-07-16T00:00:00"/>
    <s v="ecO CANVAS TOTe Bag"/>
    <s v="Eco Canvas Tote Bag"/>
    <x v="1"/>
    <s v="BAGS"/>
    <n v="4"/>
    <m/>
    <n v="25"/>
    <n v="8"/>
    <n v="100"/>
    <n v="32"/>
    <n v="68"/>
    <n v="0.68"/>
    <s v="C0133"/>
    <x v="73"/>
    <x v="73"/>
    <x v="1"/>
    <x v="1"/>
  </r>
  <r>
    <x v="141"/>
    <x v="45"/>
    <x v="1"/>
    <x v="1"/>
    <d v="1905-07-16T00:00:00"/>
    <s v="REUsABle bAMboO uTeNSIL sEt"/>
    <s v="Reusable Bamboo Utensil Set"/>
    <x v="3"/>
    <s v="KITCHENWARE"/>
    <n v="1"/>
    <n v="15"/>
    <n v="15"/>
    <n v="5.45"/>
    <n v="15"/>
    <n v="5.45"/>
    <n v="9.5500000000000007"/>
    <n v="0.63666666666666671"/>
    <s v="C0151"/>
    <x v="24"/>
    <x v="24"/>
    <x v="1"/>
    <x v="3"/>
  </r>
  <r>
    <x v="142"/>
    <x v="45"/>
    <x v="1"/>
    <x v="1"/>
    <d v="1905-07-16T00:00:00"/>
    <s v="REUsABle bAMboO uTeNSIL sEt"/>
    <s v="Reusable Bamboo Utensil Set"/>
    <x v="3"/>
    <s v="KITCHENWARE"/>
    <n v="1"/>
    <n v="15"/>
    <n v="15"/>
    <n v="3.59"/>
    <n v="15"/>
    <n v="3.59"/>
    <n v="11.41"/>
    <n v="0.76066666666666671"/>
    <s v="C0109"/>
    <x v="74"/>
    <x v="74"/>
    <x v="3"/>
    <x v="8"/>
  </r>
  <r>
    <x v="143"/>
    <x v="46"/>
    <x v="1"/>
    <x v="1"/>
    <d v="1905-07-16T00:00:00"/>
    <s v="SoLAR leD lAnTern"/>
    <s v="Solar Led Lantern"/>
    <x v="2"/>
    <s v="LIGHTING"/>
    <n v="3"/>
    <n v="40"/>
    <n v="40"/>
    <n v="13.47"/>
    <n v="120"/>
    <n v="40.410000000000004"/>
    <n v="79.59"/>
    <n v="0.66325000000000001"/>
    <s v="C0167"/>
    <x v="23"/>
    <x v="23"/>
    <x v="0"/>
    <x v="1"/>
  </r>
  <r>
    <x v="144"/>
    <x v="46"/>
    <x v="1"/>
    <x v="1"/>
    <d v="1905-07-16T00:00:00"/>
    <s v="COMpOsTaBLe PlAnT POts"/>
    <s v="Compostable Plant Pots"/>
    <x v="4"/>
    <s v="GARDENING"/>
    <n v="8"/>
    <n v="12"/>
    <n v="12"/>
    <n v="2.72"/>
    <n v="96"/>
    <n v="21.76"/>
    <n v="74.239999999999995"/>
    <n v="0.77333333333333332"/>
    <s v="C0111"/>
    <x v="49"/>
    <x v="49"/>
    <x v="1"/>
    <x v="7"/>
  </r>
  <r>
    <x v="145"/>
    <x v="46"/>
    <x v="1"/>
    <x v="1"/>
    <d v="1905-07-16T00:00:00"/>
    <s v="REUsABle bAMboO uTeNSIL sEt"/>
    <s v="Reusable Bamboo Utensil Set"/>
    <x v="3"/>
    <s v="KITCHENWARE"/>
    <n v="1"/>
    <n v="15"/>
    <n v="15"/>
    <n v="3.43"/>
    <n v="15"/>
    <n v="3.43"/>
    <n v="11.57"/>
    <n v="0.77133333333333332"/>
    <s v="C0058"/>
    <x v="74"/>
    <x v="74"/>
    <x v="1"/>
    <x v="6"/>
  </r>
  <r>
    <x v="146"/>
    <x v="47"/>
    <x v="1"/>
    <x v="1"/>
    <d v="1905-07-16T00:00:00"/>
    <s v="bIOdegradABlE cLEaNINg cLoTH"/>
    <s v="Biodegradable Cleaning Cloth"/>
    <x v="0"/>
    <s v="CLEANING"/>
    <n v="1"/>
    <n v="10"/>
    <n v="10"/>
    <n v="3.27"/>
    <n v="10"/>
    <n v="3.27"/>
    <n v="6.73"/>
    <n v="0.67300000000000004"/>
    <s v="C0148"/>
    <x v="48"/>
    <x v="48"/>
    <x v="0"/>
    <x v="3"/>
  </r>
  <r>
    <x v="147"/>
    <x v="47"/>
    <x v="1"/>
    <x v="1"/>
    <d v="1905-07-16T00:00:00"/>
    <s v="bIOdegradABlE cLEaNINg cLoTH"/>
    <s v="Biodegradable Cleaning Cloth"/>
    <x v="0"/>
    <s v="CLEANING"/>
    <n v="6"/>
    <n v="10"/>
    <n v="10"/>
    <n v="3.92"/>
    <n v="60"/>
    <n v="23.52"/>
    <n v="36.480000000000004"/>
    <n v="0.6080000000000001"/>
    <s v="C0127"/>
    <x v="22"/>
    <x v="22"/>
    <x v="1"/>
    <x v="1"/>
  </r>
  <r>
    <x v="148"/>
    <x v="47"/>
    <x v="1"/>
    <x v="1"/>
    <d v="1905-07-16T00:00:00"/>
    <s v="SoLAR leD lAnTern"/>
    <s v="Solar Led Lantern"/>
    <x v="2"/>
    <s v="LIGHTING"/>
    <n v="10"/>
    <n v="40"/>
    <n v="40"/>
    <n v="10.39"/>
    <n v="400"/>
    <n v="103.9"/>
    <n v="296.10000000000002"/>
    <n v="0.74025000000000007"/>
    <s v="C0151"/>
    <x v="24"/>
    <x v="24"/>
    <x v="1"/>
    <x v="4"/>
  </r>
  <r>
    <x v="149"/>
    <x v="48"/>
    <x v="1"/>
    <x v="1"/>
    <d v="1905-07-16T00:00:00"/>
    <s v="COMpOsTaBLe PlAnT POts"/>
    <s v="Compostable Plant Pots"/>
    <x v="4"/>
    <s v="GARDENING"/>
    <n v="1"/>
    <n v="12"/>
    <n v="12"/>
    <n v="3.88"/>
    <n v="12"/>
    <n v="3.88"/>
    <n v="8.120000000000001"/>
    <n v="0.67666666666666675"/>
    <s v="C0006"/>
    <x v="75"/>
    <x v="75"/>
    <x v="1"/>
    <x v="8"/>
  </r>
  <r>
    <x v="150"/>
    <x v="48"/>
    <x v="1"/>
    <x v="1"/>
    <d v="1905-07-16T00:00:00"/>
    <s v="SoLAR leD lAnTern"/>
    <s v="Solar Led Lantern"/>
    <x v="2"/>
    <s v="LIGHTING"/>
    <n v="9"/>
    <n v="40"/>
    <n v="40"/>
    <n v="13.95"/>
    <n v="360"/>
    <n v="125.55"/>
    <n v="234.45"/>
    <n v="0.65125"/>
    <s v="C0183"/>
    <x v="1"/>
    <x v="1"/>
    <x v="1"/>
    <x v="0"/>
  </r>
  <r>
    <x v="151"/>
    <x v="49"/>
    <x v="1"/>
    <x v="1"/>
    <d v="1905-07-16T00:00:00"/>
    <s v="SoLAR leD lAnTern"/>
    <s v="Solar Led Lantern"/>
    <x v="2"/>
    <s v="LIGHTING"/>
    <n v="6"/>
    <n v="40"/>
    <n v="40"/>
    <n v="11.41"/>
    <n v="240"/>
    <n v="68.460000000000008"/>
    <n v="171.54"/>
    <n v="0.71475"/>
    <s v="C0150"/>
    <x v="76"/>
    <x v="76"/>
    <x v="0"/>
    <x v="0"/>
  </r>
  <r>
    <x v="152"/>
    <x v="50"/>
    <x v="1"/>
    <x v="1"/>
    <d v="1905-07-16T00:00:00"/>
    <s v="SoLAR leD lAnTern"/>
    <s v="Solar Led Lantern"/>
    <x v="2"/>
    <s v="LIGHTING"/>
    <n v="10"/>
    <n v="40"/>
    <n v="40"/>
    <n v="15.1"/>
    <n v="400"/>
    <n v="151"/>
    <n v="249"/>
    <n v="0.62250000000000005"/>
    <s v="C0034"/>
    <x v="40"/>
    <x v="40"/>
    <x v="1"/>
    <x v="1"/>
  </r>
  <r>
    <x v="153"/>
    <x v="50"/>
    <x v="1"/>
    <x v="1"/>
    <d v="1905-07-16T00:00:00"/>
    <s v="COMpOsTaBLe PlAnT POts"/>
    <s v="Compostable Plant Pots"/>
    <x v="4"/>
    <s v="GARDENING"/>
    <n v="3"/>
    <n v="12"/>
    <n v="12"/>
    <n v="4.78"/>
    <n v="36"/>
    <n v="14.34"/>
    <n v="21.66"/>
    <n v="0.60166666666666668"/>
    <s v="C0077"/>
    <x v="39"/>
    <x v="39"/>
    <x v="1"/>
    <x v="5"/>
  </r>
  <r>
    <x v="154"/>
    <x v="50"/>
    <x v="1"/>
    <x v="1"/>
    <d v="1905-07-16T00:00:00"/>
    <s v="REUsABle bAMboO uTeNSIL sEt"/>
    <s v="Reusable Bamboo Utensil Set"/>
    <x v="3"/>
    <s v="KITCHENWARE"/>
    <n v="5"/>
    <n v="15"/>
    <n v="15"/>
    <n v="5.09"/>
    <n v="75"/>
    <n v="25.45"/>
    <n v="49.55"/>
    <n v="0.66066666666666662"/>
    <s v="C0015"/>
    <x v="77"/>
    <x v="77"/>
    <x v="1"/>
    <x v="5"/>
  </r>
  <r>
    <x v="155"/>
    <x v="51"/>
    <x v="1"/>
    <x v="1"/>
    <d v="1905-07-16T00:00:00"/>
    <s v="REUsABle bAMboO uTeNSIL sEt"/>
    <s v="Reusable Bamboo Utensil Set"/>
    <x v="3"/>
    <s v="KITCHENWARE"/>
    <n v="5"/>
    <m/>
    <n v="15"/>
    <n v="3.54"/>
    <n v="75"/>
    <n v="17.7"/>
    <n v="57.3"/>
    <n v="0.76400000000000001"/>
    <s v="C0146"/>
    <x v="58"/>
    <x v="58"/>
    <x v="1"/>
    <x v="9"/>
  </r>
  <r>
    <x v="156"/>
    <x v="52"/>
    <x v="1"/>
    <x v="1"/>
    <d v="1905-07-16T00:00:00"/>
    <s v="SoLAR leD lAnTern"/>
    <s v="Solar Led Lantern"/>
    <x v="2"/>
    <s v="LIGHTING"/>
    <n v="3"/>
    <n v="40"/>
    <n v="40"/>
    <n v="13.26"/>
    <n v="120"/>
    <n v="39.78"/>
    <n v="80.22"/>
    <n v="0.66849999999999998"/>
    <s v="C0044"/>
    <x v="78"/>
    <x v="78"/>
    <x v="1"/>
    <x v="0"/>
  </r>
  <r>
    <x v="157"/>
    <x v="52"/>
    <x v="1"/>
    <x v="1"/>
    <d v="1905-07-16T00:00:00"/>
    <s v="SoLAR leD lAnTern"/>
    <s v="Solar Led Lantern"/>
    <x v="2"/>
    <s v="LIGHTING"/>
    <n v="7"/>
    <m/>
    <n v="40"/>
    <n v="8.94"/>
    <n v="280"/>
    <n v="62.58"/>
    <n v="217.42000000000002"/>
    <n v="0.77650000000000008"/>
    <s v="C0076"/>
    <x v="2"/>
    <x v="2"/>
    <x v="1"/>
    <x v="6"/>
  </r>
  <r>
    <x v="158"/>
    <x v="52"/>
    <x v="1"/>
    <x v="1"/>
    <d v="1905-07-16T00:00:00"/>
    <s v="COMpOsTaBLe PlAnT POts"/>
    <s v="Compostable Plant Pots"/>
    <x v="4"/>
    <s v="GARDENING"/>
    <n v="2"/>
    <n v="12"/>
    <n v="12"/>
    <n v="2.78"/>
    <n v="24"/>
    <n v="5.56"/>
    <n v="18.440000000000001"/>
    <n v="0.76833333333333342"/>
    <s v="C0141"/>
    <x v="16"/>
    <x v="16"/>
    <x v="1"/>
    <x v="0"/>
  </r>
  <r>
    <x v="159"/>
    <x v="52"/>
    <x v="1"/>
    <x v="1"/>
    <d v="1905-07-16T00:00:00"/>
    <s v="SoLAR leD lAnTern"/>
    <s v="Solar Led Lantern"/>
    <x v="2"/>
    <s v="LIGHTING"/>
    <n v="10"/>
    <n v="40"/>
    <n v="40"/>
    <n v="9.31"/>
    <n v="400"/>
    <n v="93.100000000000009"/>
    <n v="306.89999999999998"/>
    <n v="0.76724999999999999"/>
    <s v="C0030"/>
    <x v="34"/>
    <x v="34"/>
    <x v="1"/>
    <x v="2"/>
  </r>
  <r>
    <x v="160"/>
    <x v="53"/>
    <x v="1"/>
    <x v="1"/>
    <d v="1905-07-16T00:00:00"/>
    <s v="REUsABle bAMboO uTeNSIL sEt"/>
    <s v="Reusable Bamboo Utensil Set"/>
    <x v="3"/>
    <s v="KITCHENWARE"/>
    <n v="1"/>
    <n v="15"/>
    <n v="15"/>
    <n v="4.33"/>
    <n v="15"/>
    <n v="4.33"/>
    <n v="10.67"/>
    <n v="0.71133333333333337"/>
    <s v="C0175"/>
    <x v="79"/>
    <x v="79"/>
    <x v="1"/>
    <x v="4"/>
  </r>
  <r>
    <x v="161"/>
    <x v="53"/>
    <x v="1"/>
    <x v="1"/>
    <d v="1905-07-16T00:00:00"/>
    <s v="SoLAR leD lAnTern"/>
    <s v="Solar Led Lantern"/>
    <x v="2"/>
    <s v="LIGHTING"/>
    <n v="10"/>
    <n v="40"/>
    <n v="40"/>
    <n v="9.86"/>
    <n v="400"/>
    <n v="98.6"/>
    <n v="301.39999999999998"/>
    <n v="0.75349999999999995"/>
    <s v="C0141"/>
    <x v="16"/>
    <x v="16"/>
    <x v="0"/>
    <x v="9"/>
  </r>
  <r>
    <x v="162"/>
    <x v="53"/>
    <x v="1"/>
    <x v="1"/>
    <d v="1905-07-16T00:00:00"/>
    <s v="COMpOsTaBLe PlAnT POts"/>
    <s v="Compostable Plant Pots"/>
    <x v="4"/>
    <s v="GARDENING"/>
    <n v="8"/>
    <n v="12"/>
    <n v="12"/>
    <n v="4.18"/>
    <n v="96"/>
    <n v="33.44"/>
    <n v="62.56"/>
    <n v="0.65166666666666673"/>
    <s v="C0091"/>
    <x v="72"/>
    <x v="72"/>
    <x v="2"/>
    <x v="6"/>
  </r>
  <r>
    <x v="163"/>
    <x v="54"/>
    <x v="1"/>
    <x v="1"/>
    <d v="1905-07-16T00:00:00"/>
    <s v="SoLAR leD lAnTern"/>
    <s v="Solar Led Lantern"/>
    <x v="2"/>
    <s v="LIGHTING"/>
    <n v="7"/>
    <n v="40"/>
    <n v="40"/>
    <n v="8.01"/>
    <n v="280"/>
    <n v="56.07"/>
    <n v="223.93"/>
    <n v="0.79975000000000007"/>
    <s v="C0038"/>
    <x v="22"/>
    <x v="22"/>
    <x v="0"/>
    <x v="5"/>
  </r>
  <r>
    <x v="164"/>
    <x v="54"/>
    <x v="1"/>
    <x v="1"/>
    <d v="1905-07-16T00:00:00"/>
    <s v="bIOdegradABlE cLEaNINg cLoTH"/>
    <s v="Biodegradable Cleaning Cloth"/>
    <x v="0"/>
    <s v="CLEANING"/>
    <n v="8"/>
    <n v="10"/>
    <n v="10"/>
    <n v="2.31"/>
    <n v="80"/>
    <n v="18.48"/>
    <n v="61.519999999999996"/>
    <n v="0.76899999999999991"/>
    <s v="C0021"/>
    <x v="37"/>
    <x v="37"/>
    <x v="3"/>
    <x v="2"/>
  </r>
  <r>
    <x v="165"/>
    <x v="54"/>
    <x v="1"/>
    <x v="1"/>
    <d v="1905-07-16T00:00:00"/>
    <s v="REUsABle bAMboO uTeNSIL sEt"/>
    <s v="Reusable Bamboo Utensil Set"/>
    <x v="3"/>
    <s v="KITCHENWARE"/>
    <n v="9"/>
    <n v="15"/>
    <n v="15"/>
    <n v="3.27"/>
    <n v="135"/>
    <n v="29.43"/>
    <n v="105.57"/>
    <n v="0.78199999999999992"/>
    <s v="C0149"/>
    <x v="10"/>
    <x v="10"/>
    <x v="0"/>
    <x v="5"/>
  </r>
  <r>
    <x v="166"/>
    <x v="54"/>
    <x v="1"/>
    <x v="1"/>
    <d v="1905-07-16T00:00:00"/>
    <s v="SoLAR leD lAnTern"/>
    <s v="Solar Led Lantern"/>
    <x v="2"/>
    <s v="LIGHTING"/>
    <n v="8"/>
    <n v="40"/>
    <n v="40"/>
    <n v="15.81"/>
    <n v="320"/>
    <n v="126.48"/>
    <n v="193.51999999999998"/>
    <n v="0.6047499999999999"/>
    <s v="C0097"/>
    <x v="26"/>
    <x v="26"/>
    <x v="0"/>
    <x v="3"/>
  </r>
  <r>
    <x v="167"/>
    <x v="55"/>
    <x v="1"/>
    <x v="1"/>
    <d v="1905-07-16T00:00:00"/>
    <s v="SoLAR leD lAnTern"/>
    <s v="Solar Led Lantern"/>
    <x v="2"/>
    <s v="LIGHTING"/>
    <n v="7"/>
    <n v="40"/>
    <n v="40"/>
    <n v="9.9700000000000006"/>
    <n v="280"/>
    <n v="69.790000000000006"/>
    <n v="210.20999999999998"/>
    <n v="0.75074999999999992"/>
    <s v="C0084"/>
    <x v="28"/>
    <x v="28"/>
    <x v="1"/>
    <x v="3"/>
  </r>
  <r>
    <x v="168"/>
    <x v="55"/>
    <x v="1"/>
    <x v="1"/>
    <d v="1905-07-16T00:00:00"/>
    <s v="ecO CANVAS TOTe Bag"/>
    <s v="Eco Canvas Tote Bag"/>
    <x v="1"/>
    <s v="BAGS"/>
    <n v="3"/>
    <n v="25"/>
    <n v="25"/>
    <n v="5.54"/>
    <n v="75"/>
    <n v="16.62"/>
    <n v="58.379999999999995"/>
    <n v="0.77839999999999998"/>
    <s v="C0006"/>
    <x v="75"/>
    <x v="75"/>
    <x v="0"/>
    <x v="7"/>
  </r>
  <r>
    <x v="169"/>
    <x v="55"/>
    <x v="1"/>
    <x v="1"/>
    <d v="1905-07-16T00:00:00"/>
    <s v="REUsABle bAMboO uTeNSIL sEt"/>
    <s v="Reusable Bamboo Utensil Set"/>
    <x v="3"/>
    <s v="KITCHENWARE"/>
    <n v="6"/>
    <n v="15"/>
    <n v="15"/>
    <n v="3.31"/>
    <n v="90"/>
    <n v="19.86"/>
    <n v="70.14"/>
    <n v="0.77933333333333332"/>
    <s v="C0030"/>
    <x v="34"/>
    <x v="34"/>
    <x v="2"/>
    <x v="7"/>
  </r>
  <r>
    <x v="170"/>
    <x v="55"/>
    <x v="1"/>
    <x v="1"/>
    <d v="1905-07-16T00:00:00"/>
    <s v="bIOdegradABlE cLEaNINg cLoTH"/>
    <s v="Biodegradable Cleaning Cloth"/>
    <x v="0"/>
    <s v="CLEANING"/>
    <n v="10"/>
    <n v="10"/>
    <n v="10"/>
    <n v="2.98"/>
    <n v="100"/>
    <n v="29.8"/>
    <n v="70.2"/>
    <n v="0.70200000000000007"/>
    <s v="C0144"/>
    <x v="80"/>
    <x v="80"/>
    <x v="1"/>
    <x v="2"/>
  </r>
  <r>
    <x v="171"/>
    <x v="56"/>
    <x v="1"/>
    <x v="1"/>
    <d v="1905-07-16T00:00:00"/>
    <s v="ecO CANVAS TOTe Bag"/>
    <s v="Eco Canvas Tote Bag"/>
    <x v="1"/>
    <s v="BAGS"/>
    <n v="10"/>
    <n v="25"/>
    <n v="25"/>
    <n v="6.26"/>
    <n v="250"/>
    <n v="62.599999999999994"/>
    <n v="187.4"/>
    <n v="0.74960000000000004"/>
    <s v="C0087"/>
    <x v="49"/>
    <x v="49"/>
    <x v="1"/>
    <x v="9"/>
  </r>
  <r>
    <x v="172"/>
    <x v="56"/>
    <x v="1"/>
    <x v="1"/>
    <d v="1905-07-16T00:00:00"/>
    <s v="SoLAR leD lAnTern"/>
    <s v="Solar Led Lantern"/>
    <x v="2"/>
    <s v="LIGHTING"/>
    <n v="5"/>
    <n v="40"/>
    <n v="40"/>
    <n v="15.18"/>
    <n v="200"/>
    <n v="75.900000000000006"/>
    <n v="124.1"/>
    <n v="0.62049999999999994"/>
    <s v="C0012"/>
    <x v="13"/>
    <x v="13"/>
    <x v="0"/>
    <x v="3"/>
  </r>
  <r>
    <x v="173"/>
    <x v="56"/>
    <x v="1"/>
    <x v="1"/>
    <d v="1905-07-16T00:00:00"/>
    <s v="SoLAR leD lAnTern"/>
    <s v="Solar Led Lantern"/>
    <x v="2"/>
    <s v="LIGHTING"/>
    <n v="1"/>
    <n v="40"/>
    <n v="40"/>
    <n v="9.3699999999999992"/>
    <n v="40"/>
    <n v="9.3699999999999992"/>
    <n v="30.630000000000003"/>
    <n v="0.76575000000000004"/>
    <s v="C0009"/>
    <x v="53"/>
    <x v="53"/>
    <x v="0"/>
    <x v="5"/>
  </r>
  <r>
    <x v="174"/>
    <x v="56"/>
    <x v="1"/>
    <x v="1"/>
    <d v="1905-07-16T00:00:00"/>
    <s v="ecO CANVAS TOTe Bag"/>
    <s v="Eco Canvas Tote Bag"/>
    <x v="1"/>
    <s v="BAGS"/>
    <n v="5"/>
    <n v="25"/>
    <n v="25"/>
    <n v="6.89"/>
    <n v="125"/>
    <n v="34.449999999999996"/>
    <n v="90.550000000000011"/>
    <n v="0.72440000000000004"/>
    <s v="C0200"/>
    <x v="0"/>
    <x v="0"/>
    <x v="0"/>
    <x v="7"/>
  </r>
  <r>
    <x v="175"/>
    <x v="56"/>
    <x v="1"/>
    <x v="1"/>
    <d v="1905-07-16T00:00:00"/>
    <s v="SoLAR leD lAnTern"/>
    <s v="Solar Led Lantern"/>
    <x v="2"/>
    <s v="LIGHTING"/>
    <n v="10"/>
    <n v="40"/>
    <n v="40"/>
    <n v="11.7"/>
    <n v="400"/>
    <n v="117"/>
    <n v="283"/>
    <n v="0.70750000000000002"/>
    <s v="C0041"/>
    <x v="45"/>
    <x v="45"/>
    <x v="2"/>
    <x v="8"/>
  </r>
  <r>
    <x v="176"/>
    <x v="57"/>
    <x v="1"/>
    <x v="1"/>
    <d v="1905-07-16T00:00:00"/>
    <s v="ecO CANVAS TOTe Bag"/>
    <s v="Eco Canvas Tote Bag"/>
    <x v="1"/>
    <s v="BAGS"/>
    <n v="2"/>
    <n v="25"/>
    <n v="25"/>
    <n v="7.19"/>
    <n v="50"/>
    <n v="14.38"/>
    <n v="35.619999999999997"/>
    <n v="0.71239999999999992"/>
    <s v="C0058"/>
    <x v="74"/>
    <x v="74"/>
    <x v="1"/>
    <x v="5"/>
  </r>
  <r>
    <x v="177"/>
    <x v="58"/>
    <x v="2"/>
    <x v="2"/>
    <d v="1905-07-16T00:00:00"/>
    <s v="bIOdegradABlE cLEaNINg cLoTH"/>
    <s v="Biodegradable Cleaning Cloth"/>
    <x v="0"/>
    <s v="CLEANING"/>
    <n v="8"/>
    <n v="10"/>
    <n v="10"/>
    <n v="3.89"/>
    <n v="80"/>
    <n v="31.12"/>
    <n v="48.879999999999995"/>
    <n v="0.61099999999999999"/>
    <s v="C0050"/>
    <x v="74"/>
    <x v="74"/>
    <x v="0"/>
    <x v="3"/>
  </r>
  <r>
    <x v="178"/>
    <x v="58"/>
    <x v="2"/>
    <x v="2"/>
    <d v="1905-07-16T00:00:00"/>
    <s v="ecO CANVAS TOTe Bag"/>
    <s v="Eco Canvas Tote Bag"/>
    <x v="1"/>
    <s v="BAGS"/>
    <n v="2"/>
    <n v="25"/>
    <n v="25"/>
    <n v="5.81"/>
    <n v="50"/>
    <n v="11.62"/>
    <n v="38.380000000000003"/>
    <n v="0.76760000000000006"/>
    <s v="C0060"/>
    <x v="80"/>
    <x v="80"/>
    <x v="1"/>
    <x v="6"/>
  </r>
  <r>
    <x v="179"/>
    <x v="59"/>
    <x v="2"/>
    <x v="2"/>
    <d v="1905-07-16T00:00:00"/>
    <s v="REUsABle bAMboO uTeNSIL sEt"/>
    <s v="Reusable Bamboo Utensil Set"/>
    <x v="3"/>
    <s v="KITCHENWARE"/>
    <n v="5"/>
    <m/>
    <n v="15"/>
    <n v="4.7"/>
    <n v="75"/>
    <n v="23.5"/>
    <n v="51.5"/>
    <n v="0.68666666666666665"/>
    <s v="C0178"/>
    <x v="19"/>
    <x v="19"/>
    <x v="0"/>
    <x v="4"/>
  </r>
  <r>
    <x v="180"/>
    <x v="59"/>
    <x v="2"/>
    <x v="2"/>
    <d v="1905-07-16T00:00:00"/>
    <s v="SoLAR leD lAnTern"/>
    <s v="Solar Led Lantern"/>
    <x v="2"/>
    <s v="LIGHTING"/>
    <n v="9"/>
    <n v="40"/>
    <n v="40"/>
    <n v="9.41"/>
    <n v="360"/>
    <n v="84.69"/>
    <n v="275.31"/>
    <n v="0.76475000000000004"/>
    <s v="C0185"/>
    <x v="55"/>
    <x v="55"/>
    <x v="3"/>
    <x v="5"/>
  </r>
  <r>
    <x v="181"/>
    <x v="59"/>
    <x v="2"/>
    <x v="2"/>
    <d v="1905-07-16T00:00:00"/>
    <s v="REUsABle bAMboO uTeNSIL sEt"/>
    <s v="Reusable Bamboo Utensil Set"/>
    <x v="3"/>
    <s v="KITCHENWARE"/>
    <n v="4"/>
    <n v="15"/>
    <n v="15"/>
    <n v="4.91"/>
    <n v="60"/>
    <n v="19.64"/>
    <n v="40.36"/>
    <n v="0.67266666666666663"/>
    <s v="C0108"/>
    <x v="15"/>
    <x v="15"/>
    <x v="2"/>
    <x v="5"/>
  </r>
  <r>
    <x v="182"/>
    <x v="59"/>
    <x v="2"/>
    <x v="2"/>
    <d v="1905-07-16T00:00:00"/>
    <s v="REUsABle bAMboO uTeNSIL sEt"/>
    <s v="Reusable Bamboo Utensil Set"/>
    <x v="3"/>
    <s v="KITCHENWARE"/>
    <n v="8"/>
    <n v="15"/>
    <n v="15"/>
    <n v="3.02"/>
    <n v="120"/>
    <n v="24.16"/>
    <n v="95.84"/>
    <n v="0.79866666666666675"/>
    <s v="C0014"/>
    <x v="18"/>
    <x v="18"/>
    <x v="1"/>
    <x v="8"/>
  </r>
  <r>
    <x v="183"/>
    <x v="59"/>
    <x v="2"/>
    <x v="2"/>
    <d v="1905-07-16T00:00:00"/>
    <s v="ecO CANVAS TOTe Bag"/>
    <s v="Eco Canvas Tote Bag"/>
    <x v="1"/>
    <s v="BAGS"/>
    <n v="1"/>
    <n v="25"/>
    <n v="25"/>
    <n v="5.23"/>
    <n v="25"/>
    <n v="5.23"/>
    <n v="19.77"/>
    <n v="0.79079999999999995"/>
    <s v="C0189"/>
    <x v="42"/>
    <x v="42"/>
    <x v="1"/>
    <x v="4"/>
  </r>
  <r>
    <x v="184"/>
    <x v="60"/>
    <x v="2"/>
    <x v="2"/>
    <d v="1905-07-16T00:00:00"/>
    <s v="ecO CANVAS TOTe Bag"/>
    <s v="Eco Canvas Tote Bag"/>
    <x v="1"/>
    <s v="BAGS"/>
    <n v="8"/>
    <n v="25"/>
    <n v="25"/>
    <n v="6.86"/>
    <n v="200"/>
    <n v="54.88"/>
    <n v="145.12"/>
    <n v="0.72560000000000002"/>
    <s v="C0041"/>
    <x v="45"/>
    <x v="45"/>
    <x v="3"/>
    <x v="9"/>
  </r>
  <r>
    <x v="185"/>
    <x v="60"/>
    <x v="2"/>
    <x v="2"/>
    <d v="1905-07-16T00:00:00"/>
    <s v="REUsABle bAMboO uTeNSIL sEt"/>
    <s v="Reusable Bamboo Utensil Set"/>
    <x v="3"/>
    <s v="KITCHENWARE"/>
    <n v="1"/>
    <n v="15"/>
    <n v="15"/>
    <n v="3.91"/>
    <n v="15"/>
    <n v="3.91"/>
    <n v="11.09"/>
    <n v="0.73933333333333329"/>
    <s v="C0034"/>
    <x v="40"/>
    <x v="40"/>
    <x v="0"/>
    <x v="4"/>
  </r>
  <r>
    <x v="186"/>
    <x v="60"/>
    <x v="2"/>
    <x v="2"/>
    <d v="1905-07-16T00:00:00"/>
    <s v="SoLAR leD lAnTern"/>
    <s v="Solar Led Lantern"/>
    <x v="2"/>
    <s v="LIGHTING"/>
    <n v="8"/>
    <m/>
    <n v="40"/>
    <n v="14.99"/>
    <n v="320"/>
    <n v="119.92"/>
    <n v="200.07999999999998"/>
    <n v="0.62524999999999997"/>
    <s v="C0154"/>
    <x v="81"/>
    <x v="81"/>
    <x v="1"/>
    <x v="6"/>
  </r>
  <r>
    <x v="187"/>
    <x v="61"/>
    <x v="2"/>
    <x v="2"/>
    <d v="1905-07-16T00:00:00"/>
    <s v="REUsABle bAMboO uTeNSIL sEt"/>
    <s v="Reusable Bamboo Utensil Set"/>
    <x v="3"/>
    <s v="KITCHENWARE"/>
    <n v="3"/>
    <n v="15"/>
    <n v="15"/>
    <n v="3.87"/>
    <n v="45"/>
    <n v="11.61"/>
    <n v="33.39"/>
    <n v="0.74199999999999999"/>
    <s v="C0057"/>
    <x v="54"/>
    <x v="54"/>
    <x v="1"/>
    <x v="1"/>
  </r>
  <r>
    <x v="188"/>
    <x v="61"/>
    <x v="2"/>
    <x v="2"/>
    <d v="1905-07-16T00:00:00"/>
    <s v="COMpOsTaBLe PlAnT POts"/>
    <s v="Compostable Plant Pots"/>
    <x v="4"/>
    <s v="GARDENING"/>
    <n v="5"/>
    <n v="12"/>
    <n v="12"/>
    <n v="2.98"/>
    <n v="60"/>
    <n v="14.9"/>
    <n v="45.1"/>
    <n v="0.75166666666666671"/>
    <s v="C0108"/>
    <x v="15"/>
    <x v="15"/>
    <x v="1"/>
    <x v="5"/>
  </r>
  <r>
    <x v="189"/>
    <x v="61"/>
    <x v="2"/>
    <x v="2"/>
    <d v="1905-07-16T00:00:00"/>
    <s v="COMpOsTaBLe PlAnT POts"/>
    <s v="Compostable Plant Pots"/>
    <x v="4"/>
    <s v="GARDENING"/>
    <n v="1"/>
    <n v="12"/>
    <n v="12"/>
    <n v="3.44"/>
    <n v="12"/>
    <n v="3.44"/>
    <n v="8.56"/>
    <n v="0.71333333333333337"/>
    <s v="C0062"/>
    <x v="49"/>
    <x v="49"/>
    <x v="0"/>
    <x v="5"/>
  </r>
  <r>
    <x v="190"/>
    <x v="62"/>
    <x v="2"/>
    <x v="2"/>
    <d v="1905-07-16T00:00:00"/>
    <s v="REUsABle bAMboO uTeNSIL sEt"/>
    <s v="Reusable Bamboo Utensil Set"/>
    <x v="3"/>
    <s v="KITCHENWARE"/>
    <n v="7"/>
    <n v="15"/>
    <n v="15"/>
    <n v="5.35"/>
    <n v="105"/>
    <n v="37.449999999999996"/>
    <n v="67.550000000000011"/>
    <n v="0.64333333333333342"/>
    <s v="C0025"/>
    <x v="58"/>
    <x v="58"/>
    <x v="1"/>
    <x v="0"/>
  </r>
  <r>
    <x v="191"/>
    <x v="63"/>
    <x v="2"/>
    <x v="2"/>
    <d v="1905-07-16T00:00:00"/>
    <s v="REUsABle bAMboO uTeNSIL sEt"/>
    <s v="Reusable Bamboo Utensil Set"/>
    <x v="3"/>
    <s v="KITCHENWARE"/>
    <n v="7"/>
    <n v="15"/>
    <n v="15"/>
    <n v="5.0999999999999996"/>
    <n v="105"/>
    <n v="35.699999999999996"/>
    <n v="69.300000000000011"/>
    <n v="0.66000000000000014"/>
    <s v="C0096"/>
    <x v="82"/>
    <x v="82"/>
    <x v="1"/>
    <x v="4"/>
  </r>
  <r>
    <x v="192"/>
    <x v="63"/>
    <x v="2"/>
    <x v="2"/>
    <d v="1905-07-16T00:00:00"/>
    <s v="COMpOsTaBLe PlAnT POts"/>
    <s v="Compostable Plant Pots"/>
    <x v="4"/>
    <s v="GARDENING"/>
    <n v="2"/>
    <n v="12"/>
    <n v="12"/>
    <n v="4.1100000000000003"/>
    <n v="24"/>
    <n v="8.2200000000000006"/>
    <n v="15.78"/>
    <n v="0.65749999999999997"/>
    <s v="C0125"/>
    <x v="83"/>
    <x v="83"/>
    <x v="0"/>
    <x v="1"/>
  </r>
  <r>
    <x v="193"/>
    <x v="63"/>
    <x v="2"/>
    <x v="2"/>
    <d v="1905-07-16T00:00:00"/>
    <s v="bIOdegradABlE cLEaNINg cLoTH"/>
    <s v="Biodegradable Cleaning Cloth"/>
    <x v="0"/>
    <s v="CLEANING"/>
    <n v="3"/>
    <n v="10"/>
    <n v="10"/>
    <n v="3.11"/>
    <n v="30"/>
    <n v="9.33"/>
    <n v="20.67"/>
    <n v="0.68900000000000006"/>
    <s v="C0009"/>
    <x v="53"/>
    <x v="53"/>
    <x v="1"/>
    <x v="1"/>
  </r>
  <r>
    <x v="194"/>
    <x v="63"/>
    <x v="2"/>
    <x v="2"/>
    <d v="1905-07-16T00:00:00"/>
    <s v="bIOdegradABlE cLEaNINg cLoTH"/>
    <s v="Biodegradable Cleaning Cloth"/>
    <x v="0"/>
    <s v="CLEANING"/>
    <n v="5"/>
    <n v="10"/>
    <n v="10"/>
    <n v="2.19"/>
    <n v="50"/>
    <n v="10.95"/>
    <n v="39.049999999999997"/>
    <n v="0.78099999999999992"/>
    <s v="C0040"/>
    <x v="84"/>
    <x v="84"/>
    <x v="3"/>
    <x v="4"/>
  </r>
  <r>
    <x v="195"/>
    <x v="63"/>
    <x v="2"/>
    <x v="2"/>
    <d v="1905-07-16T00:00:00"/>
    <s v="COMpOsTaBLe PlAnT POts"/>
    <s v="Compostable Plant Pots"/>
    <x v="4"/>
    <s v="GARDENING"/>
    <n v="7"/>
    <n v="12"/>
    <n v="12"/>
    <n v="3.6"/>
    <n v="84"/>
    <n v="25.2"/>
    <n v="58.8"/>
    <n v="0.7"/>
    <s v="C0110"/>
    <x v="26"/>
    <x v="26"/>
    <x v="0"/>
    <x v="1"/>
  </r>
  <r>
    <x v="196"/>
    <x v="63"/>
    <x v="2"/>
    <x v="2"/>
    <d v="1905-07-16T00:00:00"/>
    <s v="bIOdegradABlE cLEaNINg cLoTH"/>
    <s v="Biodegradable Cleaning Cloth"/>
    <x v="0"/>
    <s v="CLEANING"/>
    <n v="2"/>
    <n v="10"/>
    <n v="10"/>
    <n v="3.92"/>
    <n v="20"/>
    <n v="7.84"/>
    <n v="12.16"/>
    <n v="0.60799999999999998"/>
    <s v="C0085"/>
    <x v="29"/>
    <x v="29"/>
    <x v="1"/>
    <x v="9"/>
  </r>
  <r>
    <x v="197"/>
    <x v="63"/>
    <x v="2"/>
    <x v="2"/>
    <d v="1905-07-16T00:00:00"/>
    <s v="ecO CANVAS TOTe Bag"/>
    <s v="Eco Canvas Tote Bag"/>
    <x v="1"/>
    <s v="BAGS"/>
    <n v="10"/>
    <n v="25"/>
    <n v="25"/>
    <n v="6.02"/>
    <n v="250"/>
    <n v="60.199999999999996"/>
    <n v="189.8"/>
    <n v="0.7592000000000001"/>
    <s v="C0135"/>
    <x v="8"/>
    <x v="8"/>
    <x v="2"/>
    <x v="5"/>
  </r>
  <r>
    <x v="198"/>
    <x v="64"/>
    <x v="2"/>
    <x v="2"/>
    <d v="1905-07-16T00:00:00"/>
    <s v="ecO CANVAS TOTe Bag"/>
    <s v="Eco Canvas Tote Bag"/>
    <x v="1"/>
    <s v="BAGS"/>
    <n v="2"/>
    <m/>
    <n v="25"/>
    <n v="5.62"/>
    <n v="50"/>
    <n v="11.24"/>
    <n v="38.76"/>
    <n v="0.7752"/>
    <s v="C0102"/>
    <x v="85"/>
    <x v="85"/>
    <x v="0"/>
    <x v="0"/>
  </r>
  <r>
    <x v="199"/>
    <x v="64"/>
    <x v="2"/>
    <x v="2"/>
    <d v="1905-07-16T00:00:00"/>
    <s v="COMpOsTaBLe PlAnT POts"/>
    <s v="Compostable Plant Pots"/>
    <x v="4"/>
    <s v="GARDENING"/>
    <n v="7"/>
    <n v="12"/>
    <n v="12"/>
    <n v="4.74"/>
    <n v="84"/>
    <n v="33.18"/>
    <n v="50.82"/>
    <n v="0.60499999999999998"/>
    <s v="C0182"/>
    <x v="57"/>
    <x v="57"/>
    <x v="0"/>
    <x v="9"/>
  </r>
  <r>
    <x v="200"/>
    <x v="65"/>
    <x v="2"/>
    <x v="2"/>
    <d v="1905-07-16T00:00:00"/>
    <s v="ecO CANVAS TOTe Bag"/>
    <s v="Eco Canvas Tote Bag"/>
    <x v="1"/>
    <s v="BAGS"/>
    <n v="3"/>
    <n v="25"/>
    <n v="25"/>
    <n v="8.43"/>
    <n v="75"/>
    <n v="25.29"/>
    <n v="49.71"/>
    <n v="0.66280000000000006"/>
    <s v="C0003"/>
    <x v="86"/>
    <x v="86"/>
    <x v="0"/>
    <x v="2"/>
  </r>
  <r>
    <x v="201"/>
    <x v="65"/>
    <x v="2"/>
    <x v="2"/>
    <d v="1905-07-16T00:00:00"/>
    <s v="SoLAR leD lAnTern"/>
    <s v="Solar Led Lantern"/>
    <x v="2"/>
    <s v="LIGHTING"/>
    <n v="10"/>
    <n v="40"/>
    <n v="40"/>
    <n v="14.31"/>
    <n v="400"/>
    <n v="143.1"/>
    <n v="256.89999999999998"/>
    <n v="0.64224999999999999"/>
    <s v="C0044"/>
    <x v="78"/>
    <x v="78"/>
    <x v="1"/>
    <x v="3"/>
  </r>
  <r>
    <x v="202"/>
    <x v="65"/>
    <x v="2"/>
    <x v="2"/>
    <d v="1905-07-16T00:00:00"/>
    <s v="bIOdegradABlE cLEaNINg cLoTH"/>
    <s v="Biodegradable Cleaning Cloth"/>
    <x v="0"/>
    <s v="CLEANING"/>
    <n v="9"/>
    <n v="10"/>
    <n v="10"/>
    <n v="2.67"/>
    <n v="90"/>
    <n v="24.03"/>
    <n v="65.97"/>
    <n v="0.73299999999999998"/>
    <s v="C0048"/>
    <x v="87"/>
    <x v="87"/>
    <x v="0"/>
    <x v="8"/>
  </r>
  <r>
    <x v="203"/>
    <x v="65"/>
    <x v="2"/>
    <x v="2"/>
    <d v="1905-07-16T00:00:00"/>
    <s v="COMpOsTaBLe PlAnT POts"/>
    <s v="Compostable Plant Pots"/>
    <x v="4"/>
    <s v="GARDENING"/>
    <n v="4"/>
    <n v="12"/>
    <n v="12"/>
    <n v="2.87"/>
    <n v="48"/>
    <n v="11.48"/>
    <n v="36.519999999999996"/>
    <n v="0.76083333333333325"/>
    <s v="C0199"/>
    <x v="20"/>
    <x v="20"/>
    <x v="1"/>
    <x v="0"/>
  </r>
  <r>
    <x v="204"/>
    <x v="65"/>
    <x v="2"/>
    <x v="2"/>
    <d v="1905-07-16T00:00:00"/>
    <s v="ecO CANVAS TOTe Bag"/>
    <s v="Eco Canvas Tote Bag"/>
    <x v="1"/>
    <s v="BAGS"/>
    <n v="10"/>
    <m/>
    <n v="25"/>
    <n v="8.3699999999999992"/>
    <n v="250"/>
    <n v="83.699999999999989"/>
    <n v="166.3"/>
    <n v="0.66520000000000001"/>
    <s v="C0108"/>
    <x v="15"/>
    <x v="15"/>
    <x v="1"/>
    <x v="7"/>
  </r>
  <r>
    <x v="205"/>
    <x v="65"/>
    <x v="2"/>
    <x v="2"/>
    <d v="1905-07-16T00:00:00"/>
    <s v="SoLAR leD lAnTern"/>
    <s v="Solar Led Lantern"/>
    <x v="2"/>
    <s v="LIGHTING"/>
    <n v="4"/>
    <n v="40"/>
    <n v="40"/>
    <n v="12.92"/>
    <n v="160"/>
    <n v="51.68"/>
    <n v="108.32"/>
    <n v="0.67699999999999994"/>
    <s v="C0058"/>
    <x v="74"/>
    <x v="74"/>
    <x v="1"/>
    <x v="2"/>
  </r>
  <r>
    <x v="206"/>
    <x v="66"/>
    <x v="2"/>
    <x v="2"/>
    <d v="1905-07-16T00:00:00"/>
    <s v="bIOdegradABlE cLEaNINg cLoTH"/>
    <s v="Biodegradable Cleaning Cloth"/>
    <x v="0"/>
    <s v="CLEANING"/>
    <n v="6"/>
    <n v="10"/>
    <n v="10"/>
    <n v="3.16"/>
    <n v="60"/>
    <n v="18.96"/>
    <n v="41.04"/>
    <n v="0.68399999999999994"/>
    <s v="C0193"/>
    <x v="67"/>
    <x v="67"/>
    <x v="1"/>
    <x v="8"/>
  </r>
  <r>
    <x v="207"/>
    <x v="66"/>
    <x v="2"/>
    <x v="2"/>
    <d v="1905-07-16T00:00:00"/>
    <s v="bIOdegradABlE cLEaNINg cLoTH"/>
    <s v="Biodegradable Cleaning Cloth"/>
    <x v="0"/>
    <s v="CLEANING"/>
    <n v="9"/>
    <n v="10"/>
    <n v="10"/>
    <n v="2.2999999999999998"/>
    <n v="90"/>
    <n v="20.7"/>
    <n v="69.3"/>
    <n v="0.77"/>
    <s v="C0175"/>
    <x v="79"/>
    <x v="79"/>
    <x v="1"/>
    <x v="0"/>
  </r>
  <r>
    <x v="208"/>
    <x v="66"/>
    <x v="2"/>
    <x v="2"/>
    <d v="1905-07-16T00:00:00"/>
    <s v="ecO CANVAS TOTe Bag"/>
    <s v="Eco Canvas Tote Bag"/>
    <x v="1"/>
    <s v="BAGS"/>
    <n v="1"/>
    <n v="25"/>
    <n v="25"/>
    <n v="8.83"/>
    <n v="25"/>
    <n v="8.83"/>
    <n v="16.170000000000002"/>
    <n v="0.64680000000000004"/>
    <s v="C0104"/>
    <x v="21"/>
    <x v="21"/>
    <x v="1"/>
    <x v="2"/>
  </r>
  <r>
    <x v="209"/>
    <x v="67"/>
    <x v="2"/>
    <x v="2"/>
    <d v="1905-07-16T00:00:00"/>
    <s v="REUsABle bAMboO uTeNSIL sEt"/>
    <s v="Reusable Bamboo Utensil Set"/>
    <x v="3"/>
    <s v="KITCHENWARE"/>
    <n v="9"/>
    <n v="15"/>
    <n v="15"/>
    <n v="5.95"/>
    <n v="135"/>
    <n v="53.550000000000004"/>
    <n v="81.449999999999989"/>
    <n v="0.60333333333333328"/>
    <s v="C0200"/>
    <x v="0"/>
    <x v="0"/>
    <x v="0"/>
    <x v="0"/>
  </r>
  <r>
    <x v="210"/>
    <x v="67"/>
    <x v="2"/>
    <x v="2"/>
    <d v="1905-07-16T00:00:00"/>
    <s v="SoLAR leD lAnTern"/>
    <s v="Solar Led Lantern"/>
    <x v="2"/>
    <s v="LIGHTING"/>
    <n v="2"/>
    <n v="40"/>
    <n v="40"/>
    <n v="12.52"/>
    <n v="80"/>
    <n v="25.04"/>
    <n v="54.96"/>
    <n v="0.68700000000000006"/>
    <s v="C0050"/>
    <x v="74"/>
    <x v="74"/>
    <x v="1"/>
    <x v="6"/>
  </r>
  <r>
    <x v="211"/>
    <x v="67"/>
    <x v="2"/>
    <x v="2"/>
    <d v="1905-07-16T00:00:00"/>
    <s v="SoLAR leD lAnTern"/>
    <s v="Solar Led Lantern"/>
    <x v="2"/>
    <s v="LIGHTING"/>
    <n v="8"/>
    <n v="40"/>
    <n v="40"/>
    <n v="12.66"/>
    <n v="320"/>
    <n v="101.28"/>
    <n v="218.72"/>
    <n v="0.6835"/>
    <s v="C0043"/>
    <x v="31"/>
    <x v="31"/>
    <x v="1"/>
    <x v="1"/>
  </r>
  <r>
    <x v="212"/>
    <x v="67"/>
    <x v="2"/>
    <x v="2"/>
    <d v="1905-07-16T00:00:00"/>
    <s v="ecO CANVAS TOTe Bag"/>
    <s v="Eco Canvas Tote Bag"/>
    <x v="1"/>
    <s v="BAGS"/>
    <n v="7"/>
    <n v="25"/>
    <n v="25"/>
    <n v="7.98"/>
    <n v="175"/>
    <n v="55.86"/>
    <n v="119.14"/>
    <n v="0.68079999999999996"/>
    <s v="C0072"/>
    <x v="88"/>
    <x v="88"/>
    <x v="2"/>
    <x v="2"/>
  </r>
  <r>
    <x v="213"/>
    <x v="67"/>
    <x v="2"/>
    <x v="2"/>
    <d v="1905-07-16T00:00:00"/>
    <s v="SoLAR leD lAnTern"/>
    <s v="Solar Led Lantern"/>
    <x v="2"/>
    <s v="LIGHTING"/>
    <n v="7"/>
    <n v="40"/>
    <n v="40"/>
    <n v="8.81"/>
    <n v="280"/>
    <n v="61.67"/>
    <n v="218.32999999999998"/>
    <n v="0.77974999999999994"/>
    <s v="C0193"/>
    <x v="67"/>
    <x v="67"/>
    <x v="1"/>
    <x v="0"/>
  </r>
  <r>
    <x v="214"/>
    <x v="67"/>
    <x v="2"/>
    <x v="2"/>
    <d v="1905-07-16T00:00:00"/>
    <s v="REUsABle bAMboO uTeNSIL sEt"/>
    <s v="Reusable Bamboo Utensil Set"/>
    <x v="3"/>
    <s v="KITCHENWARE"/>
    <n v="5"/>
    <n v="15"/>
    <n v="15"/>
    <n v="5.82"/>
    <n v="75"/>
    <n v="29.1"/>
    <n v="45.9"/>
    <n v="0.61199999999999999"/>
    <s v="C0143"/>
    <x v="89"/>
    <x v="89"/>
    <x v="1"/>
    <x v="6"/>
  </r>
  <r>
    <x v="215"/>
    <x v="68"/>
    <x v="2"/>
    <x v="2"/>
    <d v="1905-07-16T00:00:00"/>
    <s v="bIOdegradABlE cLEaNINg cLoTH"/>
    <s v="Biodegradable Cleaning Cloth"/>
    <x v="0"/>
    <s v="CLEANING"/>
    <n v="8"/>
    <n v="10"/>
    <n v="10"/>
    <n v="2.13"/>
    <n v="80"/>
    <n v="17.04"/>
    <n v="62.96"/>
    <n v="0.78700000000000003"/>
    <s v="C0126"/>
    <x v="90"/>
    <x v="90"/>
    <x v="3"/>
    <x v="3"/>
  </r>
  <r>
    <x v="216"/>
    <x v="68"/>
    <x v="2"/>
    <x v="2"/>
    <d v="1905-07-16T00:00:00"/>
    <s v="COMpOsTaBLe PlAnT POts"/>
    <s v="Compostable Plant Pots"/>
    <x v="4"/>
    <s v="GARDENING"/>
    <n v="2"/>
    <n v="12"/>
    <n v="12"/>
    <n v="3.59"/>
    <n v="24"/>
    <n v="7.18"/>
    <n v="16.82"/>
    <n v="0.70083333333333331"/>
    <s v="C0055"/>
    <x v="91"/>
    <x v="91"/>
    <x v="3"/>
    <x v="3"/>
  </r>
  <r>
    <x v="217"/>
    <x v="68"/>
    <x v="2"/>
    <x v="2"/>
    <d v="1905-07-16T00:00:00"/>
    <s v="bIOdegradABlE cLEaNINg cLoTH"/>
    <s v="Biodegradable Cleaning Cloth"/>
    <x v="0"/>
    <s v="CLEANING"/>
    <n v="5"/>
    <n v="10"/>
    <n v="10"/>
    <n v="2.5099999999999998"/>
    <n v="50"/>
    <n v="12.549999999999999"/>
    <n v="37.450000000000003"/>
    <n v="0.74900000000000011"/>
    <s v="C0147"/>
    <x v="30"/>
    <x v="30"/>
    <x v="0"/>
    <x v="7"/>
  </r>
  <r>
    <x v="218"/>
    <x v="69"/>
    <x v="2"/>
    <x v="2"/>
    <d v="1905-07-16T00:00:00"/>
    <s v="ecO CANVAS TOTe Bag"/>
    <s v="Eco Canvas Tote Bag"/>
    <x v="1"/>
    <s v="BAGS"/>
    <n v="4"/>
    <n v="25"/>
    <n v="25"/>
    <n v="8.09"/>
    <n v="100"/>
    <n v="32.36"/>
    <n v="67.64"/>
    <n v="0.6764"/>
    <s v="C0075"/>
    <x v="71"/>
    <x v="71"/>
    <x v="2"/>
    <x v="2"/>
  </r>
  <r>
    <x v="219"/>
    <x v="70"/>
    <x v="2"/>
    <x v="2"/>
    <d v="1905-07-16T00:00:00"/>
    <s v="COMpOsTaBLe PlAnT POts"/>
    <s v="Compostable Plant Pots"/>
    <x v="4"/>
    <s v="GARDENING"/>
    <n v="10"/>
    <n v="12"/>
    <n v="12"/>
    <n v="2.69"/>
    <n v="120"/>
    <n v="26.9"/>
    <n v="93.1"/>
    <n v="0.77583333333333326"/>
    <s v="C0144"/>
    <x v="80"/>
    <x v="80"/>
    <x v="3"/>
    <x v="5"/>
  </r>
  <r>
    <x v="220"/>
    <x v="71"/>
    <x v="2"/>
    <x v="2"/>
    <d v="1905-07-16T00:00:00"/>
    <s v="COMpOsTaBLe PlAnT POts"/>
    <s v="Compostable Plant Pots"/>
    <x v="4"/>
    <s v="GARDENING"/>
    <n v="1"/>
    <n v="12"/>
    <n v="12"/>
    <n v="4.71"/>
    <n v="12"/>
    <n v="4.71"/>
    <n v="7.29"/>
    <n v="0.60750000000000004"/>
    <s v="C0112"/>
    <x v="70"/>
    <x v="70"/>
    <x v="0"/>
    <x v="8"/>
  </r>
  <r>
    <x v="221"/>
    <x v="72"/>
    <x v="2"/>
    <x v="2"/>
    <d v="1905-07-16T00:00:00"/>
    <s v="bIOdegradABlE cLEaNINg cLoTH"/>
    <s v="Biodegradable Cleaning Cloth"/>
    <x v="0"/>
    <s v="CLEANING"/>
    <n v="5"/>
    <n v="10"/>
    <n v="10"/>
    <n v="3.65"/>
    <n v="50"/>
    <n v="18.25"/>
    <n v="31.75"/>
    <n v="0.63500000000000001"/>
    <s v="C0126"/>
    <x v="90"/>
    <x v="90"/>
    <x v="1"/>
    <x v="4"/>
  </r>
  <r>
    <x v="222"/>
    <x v="72"/>
    <x v="2"/>
    <x v="2"/>
    <d v="1905-07-16T00:00:00"/>
    <s v="bIOdegradABlE cLEaNINg cLoTH"/>
    <s v="Biodegradable Cleaning Cloth"/>
    <x v="0"/>
    <s v="CLEANING"/>
    <n v="9"/>
    <n v="10"/>
    <n v="10"/>
    <n v="2.21"/>
    <n v="90"/>
    <n v="19.89"/>
    <n v="70.11"/>
    <n v="0.77900000000000003"/>
    <s v="C0058"/>
    <x v="74"/>
    <x v="74"/>
    <x v="1"/>
    <x v="1"/>
  </r>
  <r>
    <x v="223"/>
    <x v="72"/>
    <x v="2"/>
    <x v="2"/>
    <d v="1905-07-16T00:00:00"/>
    <s v="bIOdegradABlE cLEaNINg cLoTH"/>
    <s v="Biodegradable Cleaning Cloth"/>
    <x v="0"/>
    <s v="CLEANING"/>
    <n v="3"/>
    <n v="10"/>
    <n v="10"/>
    <n v="2.73"/>
    <n v="30"/>
    <n v="8.19"/>
    <n v="21.810000000000002"/>
    <n v="0.72700000000000009"/>
    <s v="C0001"/>
    <x v="92"/>
    <x v="92"/>
    <x v="1"/>
    <x v="9"/>
  </r>
  <r>
    <x v="224"/>
    <x v="73"/>
    <x v="2"/>
    <x v="2"/>
    <d v="1905-07-16T00:00:00"/>
    <s v="REUsABle bAMboO uTeNSIL sEt"/>
    <s v="Reusable Bamboo Utensil Set"/>
    <x v="3"/>
    <s v="KITCHENWARE"/>
    <n v="8"/>
    <n v="15"/>
    <n v="15"/>
    <n v="5.9"/>
    <n v="120"/>
    <n v="47.2"/>
    <n v="72.8"/>
    <n v="0.60666666666666669"/>
    <s v="C0182"/>
    <x v="57"/>
    <x v="57"/>
    <x v="1"/>
    <x v="8"/>
  </r>
  <r>
    <x v="225"/>
    <x v="73"/>
    <x v="2"/>
    <x v="2"/>
    <d v="1905-07-16T00:00:00"/>
    <s v="COMpOsTaBLe PlAnT POts"/>
    <s v="Compostable Plant Pots"/>
    <x v="4"/>
    <s v="GARDENING"/>
    <n v="2"/>
    <n v="12"/>
    <n v="12"/>
    <n v="3.27"/>
    <n v="24"/>
    <n v="6.54"/>
    <n v="17.46"/>
    <n v="0.72750000000000004"/>
    <s v="C0077"/>
    <x v="39"/>
    <x v="39"/>
    <x v="0"/>
    <x v="7"/>
  </r>
  <r>
    <x v="226"/>
    <x v="73"/>
    <x v="2"/>
    <x v="2"/>
    <d v="1905-07-16T00:00:00"/>
    <s v="REUsABle bAMboO uTeNSIL sEt"/>
    <s v="Reusable Bamboo Utensil Set"/>
    <x v="3"/>
    <s v="KITCHENWARE"/>
    <n v="2"/>
    <n v="15"/>
    <n v="15"/>
    <n v="4.99"/>
    <n v="30"/>
    <n v="9.98"/>
    <n v="20.02"/>
    <n v="0.66733333333333333"/>
    <s v="C0036"/>
    <x v="93"/>
    <x v="93"/>
    <x v="2"/>
    <x v="6"/>
  </r>
  <r>
    <x v="227"/>
    <x v="73"/>
    <x v="2"/>
    <x v="2"/>
    <d v="1905-07-16T00:00:00"/>
    <s v="bIOdegradABlE cLEaNINg cLoTH"/>
    <s v="Biodegradable Cleaning Cloth"/>
    <x v="0"/>
    <s v="CLEANING"/>
    <n v="6"/>
    <n v="10"/>
    <n v="10"/>
    <n v="2.0299999999999998"/>
    <n v="60"/>
    <n v="12.18"/>
    <n v="47.82"/>
    <n v="0.79700000000000004"/>
    <s v="C0157"/>
    <x v="27"/>
    <x v="27"/>
    <x v="2"/>
    <x v="1"/>
  </r>
  <r>
    <x v="228"/>
    <x v="74"/>
    <x v="2"/>
    <x v="2"/>
    <d v="1905-07-16T00:00:00"/>
    <s v="REUsABle bAMboO uTeNSIL sEt"/>
    <s v="Reusable Bamboo Utensil Set"/>
    <x v="3"/>
    <s v="KITCHENWARE"/>
    <n v="6"/>
    <n v="15"/>
    <n v="15"/>
    <n v="3.55"/>
    <n v="90"/>
    <n v="21.299999999999997"/>
    <n v="68.7"/>
    <n v="0.76333333333333342"/>
    <s v="C0103"/>
    <x v="3"/>
    <x v="3"/>
    <x v="1"/>
    <x v="8"/>
  </r>
  <r>
    <x v="229"/>
    <x v="74"/>
    <x v="2"/>
    <x v="2"/>
    <d v="1905-07-16T00:00:00"/>
    <s v="ecO CANVAS TOTe Bag"/>
    <s v="Eco Canvas Tote Bag"/>
    <x v="1"/>
    <s v="BAGS"/>
    <n v="9"/>
    <n v="25"/>
    <n v="25"/>
    <n v="6.29"/>
    <n v="225"/>
    <n v="56.61"/>
    <n v="168.39"/>
    <n v="0.74839999999999995"/>
    <s v="C0147"/>
    <x v="30"/>
    <x v="30"/>
    <x v="1"/>
    <x v="3"/>
  </r>
  <r>
    <x v="230"/>
    <x v="74"/>
    <x v="2"/>
    <x v="2"/>
    <d v="1905-07-16T00:00:00"/>
    <s v="bIOdegradABlE cLEaNINg cLoTH"/>
    <s v="Biodegradable Cleaning Cloth"/>
    <x v="0"/>
    <s v="CLEANING"/>
    <n v="4"/>
    <n v="10"/>
    <n v="10"/>
    <n v="3.87"/>
    <n v="40"/>
    <n v="15.48"/>
    <n v="24.52"/>
    <n v="0.61299999999999999"/>
    <s v="C0162"/>
    <x v="4"/>
    <x v="4"/>
    <x v="1"/>
    <x v="6"/>
  </r>
  <r>
    <x v="231"/>
    <x v="74"/>
    <x v="2"/>
    <x v="2"/>
    <d v="1905-07-16T00:00:00"/>
    <s v="SoLAR leD lAnTern"/>
    <s v="Solar Led Lantern"/>
    <x v="2"/>
    <s v="LIGHTING"/>
    <n v="1"/>
    <n v="40"/>
    <n v="40"/>
    <n v="9.98"/>
    <n v="40"/>
    <n v="9.98"/>
    <n v="30.02"/>
    <n v="0.75049999999999994"/>
    <s v="C0069"/>
    <x v="3"/>
    <x v="3"/>
    <x v="1"/>
    <x v="1"/>
  </r>
  <r>
    <x v="232"/>
    <x v="75"/>
    <x v="2"/>
    <x v="2"/>
    <d v="1905-07-16T00:00:00"/>
    <s v="ecO CANVAS TOTe Bag"/>
    <s v="Eco Canvas Tote Bag"/>
    <x v="1"/>
    <s v="BAGS"/>
    <n v="3"/>
    <n v="25"/>
    <n v="25"/>
    <n v="8.7100000000000009"/>
    <n v="75"/>
    <n v="26.130000000000003"/>
    <n v="48.87"/>
    <n v="0.65159999999999996"/>
    <s v="C0168"/>
    <x v="62"/>
    <x v="62"/>
    <x v="1"/>
    <x v="6"/>
  </r>
  <r>
    <x v="233"/>
    <x v="76"/>
    <x v="2"/>
    <x v="2"/>
    <d v="1905-07-16T00:00:00"/>
    <s v="ecO CANVAS TOTe Bag"/>
    <s v="Eco Canvas Tote Bag"/>
    <x v="1"/>
    <s v="BAGS"/>
    <n v="8"/>
    <n v="25"/>
    <n v="25"/>
    <n v="9.14"/>
    <n v="200"/>
    <n v="73.12"/>
    <n v="126.88"/>
    <n v="0.63439999999999996"/>
    <s v="C0002"/>
    <x v="43"/>
    <x v="43"/>
    <x v="1"/>
    <x v="7"/>
  </r>
  <r>
    <x v="234"/>
    <x v="76"/>
    <x v="2"/>
    <x v="2"/>
    <d v="1905-07-16T00:00:00"/>
    <s v="bIOdegradABlE cLEaNINg cLoTH"/>
    <s v="Biodegradable Cleaning Cloth"/>
    <x v="0"/>
    <s v="CLEANING"/>
    <n v="1"/>
    <n v="10"/>
    <n v="10"/>
    <n v="3.91"/>
    <n v="10"/>
    <n v="3.91"/>
    <n v="6.09"/>
    <n v="0.60899999999999999"/>
    <s v="C0069"/>
    <x v="3"/>
    <x v="3"/>
    <x v="1"/>
    <x v="9"/>
  </r>
  <r>
    <x v="235"/>
    <x v="77"/>
    <x v="2"/>
    <x v="2"/>
    <d v="1905-07-16T00:00:00"/>
    <s v="ecO CANVAS TOTe Bag"/>
    <s v="Eco Canvas Tote Bag"/>
    <x v="1"/>
    <s v="BAGS"/>
    <n v="3"/>
    <n v="25"/>
    <n v="25"/>
    <n v="5.7"/>
    <n v="75"/>
    <n v="17.100000000000001"/>
    <n v="57.9"/>
    <n v="0.77200000000000002"/>
    <s v="C0137"/>
    <x v="52"/>
    <x v="52"/>
    <x v="0"/>
    <x v="4"/>
  </r>
  <r>
    <x v="236"/>
    <x v="78"/>
    <x v="2"/>
    <x v="2"/>
    <d v="1905-07-16T00:00:00"/>
    <s v="COMpOsTaBLe PlAnT POts"/>
    <s v="Compostable Plant Pots"/>
    <x v="4"/>
    <s v="GARDENING"/>
    <n v="8"/>
    <n v="12"/>
    <n v="12"/>
    <n v="2.88"/>
    <n v="96"/>
    <n v="23.04"/>
    <n v="72.960000000000008"/>
    <n v="0.76000000000000012"/>
    <s v="C0023"/>
    <x v="63"/>
    <x v="63"/>
    <x v="2"/>
    <x v="3"/>
  </r>
  <r>
    <x v="237"/>
    <x v="78"/>
    <x v="2"/>
    <x v="2"/>
    <d v="1905-07-16T00:00:00"/>
    <s v="COMpOsTaBLe PlAnT POts"/>
    <s v="Compostable Plant Pots"/>
    <x v="4"/>
    <s v="GARDENING"/>
    <n v="1"/>
    <n v="12"/>
    <n v="12"/>
    <n v="3.25"/>
    <n v="12"/>
    <n v="3.25"/>
    <n v="8.75"/>
    <n v="0.72916666666666663"/>
    <s v="C0036"/>
    <x v="93"/>
    <x v="93"/>
    <x v="2"/>
    <x v="6"/>
  </r>
  <r>
    <x v="238"/>
    <x v="78"/>
    <x v="2"/>
    <x v="2"/>
    <d v="1905-07-16T00:00:00"/>
    <s v="REUsABle bAMboO uTeNSIL sEt"/>
    <s v="Reusable Bamboo Utensil Set"/>
    <x v="3"/>
    <s v="KITCHENWARE"/>
    <n v="7"/>
    <n v="15"/>
    <n v="15"/>
    <n v="3.63"/>
    <n v="105"/>
    <n v="25.41"/>
    <n v="79.59"/>
    <n v="0.75800000000000001"/>
    <s v="C0004"/>
    <x v="94"/>
    <x v="94"/>
    <x v="1"/>
    <x v="8"/>
  </r>
  <r>
    <x v="239"/>
    <x v="78"/>
    <x v="2"/>
    <x v="2"/>
    <d v="1905-07-16T00:00:00"/>
    <s v="bIOdegradABlE cLEaNINg cLoTH"/>
    <s v="Biodegradable Cleaning Cloth"/>
    <x v="0"/>
    <s v="CLEANING"/>
    <n v="5"/>
    <n v="10"/>
    <n v="10"/>
    <n v="3.98"/>
    <n v="50"/>
    <n v="19.899999999999999"/>
    <n v="30.1"/>
    <n v="0.60199999999999998"/>
    <s v="C0176"/>
    <x v="9"/>
    <x v="9"/>
    <x v="1"/>
    <x v="9"/>
  </r>
  <r>
    <x v="240"/>
    <x v="79"/>
    <x v="2"/>
    <x v="2"/>
    <d v="1905-07-16T00:00:00"/>
    <s v="REUsABle bAMboO uTeNSIL sEt"/>
    <s v="Reusable Bamboo Utensil Set"/>
    <x v="3"/>
    <s v="KITCHENWARE"/>
    <n v="4"/>
    <n v="15"/>
    <n v="15"/>
    <n v="3.4"/>
    <n v="60"/>
    <n v="13.6"/>
    <n v="46.4"/>
    <n v="0.77333333333333332"/>
    <s v="C0200"/>
    <x v="0"/>
    <x v="0"/>
    <x v="0"/>
    <x v="8"/>
  </r>
  <r>
    <x v="241"/>
    <x v="79"/>
    <x v="2"/>
    <x v="2"/>
    <d v="1905-07-16T00:00:00"/>
    <s v="SoLAR leD lAnTern"/>
    <s v="Solar Led Lantern"/>
    <x v="2"/>
    <s v="LIGHTING"/>
    <n v="9"/>
    <n v="40"/>
    <n v="40"/>
    <n v="10.92"/>
    <n v="360"/>
    <n v="98.28"/>
    <n v="261.72000000000003"/>
    <n v="0.72700000000000009"/>
    <s v="C0062"/>
    <x v="49"/>
    <x v="49"/>
    <x v="2"/>
    <x v="1"/>
  </r>
  <r>
    <x v="242"/>
    <x v="79"/>
    <x v="2"/>
    <x v="2"/>
    <d v="1905-07-16T00:00:00"/>
    <s v="bIOdegradABlE cLEaNINg cLoTH"/>
    <s v="Biodegradable Cleaning Cloth"/>
    <x v="0"/>
    <s v="CLEANING"/>
    <n v="3"/>
    <n v="10"/>
    <n v="10"/>
    <n v="2.91"/>
    <n v="30"/>
    <n v="8.73"/>
    <n v="21.27"/>
    <n v="0.70899999999999996"/>
    <s v="C0181"/>
    <x v="26"/>
    <x v="26"/>
    <x v="0"/>
    <x v="5"/>
  </r>
  <r>
    <x v="243"/>
    <x v="79"/>
    <x v="2"/>
    <x v="2"/>
    <d v="1905-07-16T00:00:00"/>
    <s v="SoLAR leD lAnTern"/>
    <s v="Solar Led Lantern"/>
    <x v="2"/>
    <s v="LIGHTING"/>
    <n v="2"/>
    <n v="40"/>
    <n v="40"/>
    <n v="11.01"/>
    <n v="80"/>
    <n v="22.02"/>
    <n v="57.980000000000004"/>
    <n v="0.72475000000000001"/>
    <s v="C0140"/>
    <x v="95"/>
    <x v="95"/>
    <x v="0"/>
    <x v="7"/>
  </r>
  <r>
    <x v="244"/>
    <x v="80"/>
    <x v="2"/>
    <x v="2"/>
    <d v="1905-07-16T00:00:00"/>
    <s v="REUsABle bAMboO uTeNSIL sEt"/>
    <s v="Reusable Bamboo Utensil Set"/>
    <x v="3"/>
    <s v="KITCHENWARE"/>
    <n v="2"/>
    <n v="15"/>
    <n v="15"/>
    <n v="4.99"/>
    <n v="30"/>
    <n v="9.98"/>
    <n v="20.02"/>
    <n v="0.66733333333333333"/>
    <s v="C0154"/>
    <x v="81"/>
    <x v="81"/>
    <x v="1"/>
    <x v="2"/>
  </r>
  <r>
    <x v="245"/>
    <x v="80"/>
    <x v="2"/>
    <x v="2"/>
    <d v="1905-07-16T00:00:00"/>
    <s v="SoLAR leD lAnTern"/>
    <s v="Solar Led Lantern"/>
    <x v="2"/>
    <s v="LIGHTING"/>
    <n v="2"/>
    <n v="40"/>
    <n v="40"/>
    <n v="10.69"/>
    <n v="80"/>
    <n v="21.38"/>
    <n v="58.620000000000005"/>
    <n v="0.73275000000000001"/>
    <s v="C0015"/>
    <x v="77"/>
    <x v="77"/>
    <x v="1"/>
    <x v="7"/>
  </r>
  <r>
    <x v="246"/>
    <x v="81"/>
    <x v="2"/>
    <x v="2"/>
    <d v="1905-07-16T00:00:00"/>
    <s v="SoLAR leD lAnTern"/>
    <s v="Solar Led Lantern"/>
    <x v="2"/>
    <s v="LIGHTING"/>
    <n v="10"/>
    <n v="40"/>
    <n v="40"/>
    <n v="9.1"/>
    <n v="400"/>
    <n v="91"/>
    <n v="309"/>
    <n v="0.77249999999999996"/>
    <s v="C0048"/>
    <x v="87"/>
    <x v="87"/>
    <x v="1"/>
    <x v="6"/>
  </r>
  <r>
    <x v="247"/>
    <x v="81"/>
    <x v="2"/>
    <x v="2"/>
    <d v="1905-07-16T00:00:00"/>
    <s v="SoLAR leD lAnTern"/>
    <s v="Solar Led Lantern"/>
    <x v="2"/>
    <s v="LIGHTING"/>
    <n v="5"/>
    <n v="40"/>
    <n v="40"/>
    <n v="11.38"/>
    <n v="200"/>
    <n v="56.900000000000006"/>
    <n v="143.1"/>
    <n v="0.71550000000000002"/>
    <s v="C0194"/>
    <x v="60"/>
    <x v="60"/>
    <x v="1"/>
    <x v="7"/>
  </r>
  <r>
    <x v="248"/>
    <x v="81"/>
    <x v="2"/>
    <x v="2"/>
    <d v="1905-07-16T00:00:00"/>
    <s v="SoLAR leD lAnTern"/>
    <s v="Solar Led Lantern"/>
    <x v="2"/>
    <s v="LIGHTING"/>
    <n v="2"/>
    <n v="40"/>
    <n v="40"/>
    <n v="13.29"/>
    <n v="80"/>
    <n v="26.58"/>
    <n v="53.42"/>
    <n v="0.66775000000000007"/>
    <s v="C0068"/>
    <x v="96"/>
    <x v="96"/>
    <x v="1"/>
    <x v="8"/>
  </r>
  <r>
    <x v="249"/>
    <x v="81"/>
    <x v="2"/>
    <x v="2"/>
    <d v="1905-07-16T00:00:00"/>
    <s v="SoLAR leD lAnTern"/>
    <s v="Solar Led Lantern"/>
    <x v="2"/>
    <s v="LIGHTING"/>
    <n v="1"/>
    <n v="40"/>
    <n v="40"/>
    <n v="14.99"/>
    <n v="40"/>
    <n v="14.99"/>
    <n v="25.009999999999998"/>
    <n v="0.62524999999999997"/>
    <s v="C0200"/>
    <x v="0"/>
    <x v="0"/>
    <x v="2"/>
    <x v="1"/>
  </r>
  <r>
    <x v="250"/>
    <x v="81"/>
    <x v="2"/>
    <x v="2"/>
    <d v="1905-07-16T00:00:00"/>
    <s v="ecO CANVAS TOTe Bag"/>
    <s v="Eco Canvas Tote Bag"/>
    <x v="1"/>
    <s v="BAGS"/>
    <n v="2"/>
    <n v="25"/>
    <n v="25"/>
    <n v="5.01"/>
    <n v="50"/>
    <n v="10.02"/>
    <n v="39.980000000000004"/>
    <n v="0.79960000000000009"/>
    <s v="C0004"/>
    <x v="94"/>
    <x v="94"/>
    <x v="0"/>
    <x v="8"/>
  </r>
  <r>
    <x v="251"/>
    <x v="82"/>
    <x v="2"/>
    <x v="2"/>
    <d v="1905-07-16T00:00:00"/>
    <s v="COMpOsTaBLe PlAnT POts"/>
    <s v="Compostable Plant Pots"/>
    <x v="4"/>
    <s v="GARDENING"/>
    <n v="9"/>
    <n v="12"/>
    <n v="12"/>
    <n v="2.99"/>
    <n v="108"/>
    <n v="26.910000000000004"/>
    <n v="81.09"/>
    <n v="0.75083333333333335"/>
    <s v="C0003"/>
    <x v="86"/>
    <x v="86"/>
    <x v="1"/>
    <x v="5"/>
  </r>
  <r>
    <x v="252"/>
    <x v="82"/>
    <x v="2"/>
    <x v="2"/>
    <d v="1905-07-16T00:00:00"/>
    <s v="SoLAR leD lAnTern"/>
    <s v="Solar Led Lantern"/>
    <x v="2"/>
    <s v="LIGHTING"/>
    <n v="3"/>
    <n v="40"/>
    <n v="40"/>
    <n v="12.12"/>
    <n v="120"/>
    <n v="36.36"/>
    <n v="83.64"/>
    <n v="0.69699999999999995"/>
    <s v="C0132"/>
    <x v="97"/>
    <x v="97"/>
    <x v="1"/>
    <x v="9"/>
  </r>
  <r>
    <x v="253"/>
    <x v="82"/>
    <x v="2"/>
    <x v="2"/>
    <d v="1905-07-16T00:00:00"/>
    <s v="COMpOsTaBLe PlAnT POts"/>
    <s v="Compostable Plant Pots"/>
    <x v="4"/>
    <s v="GARDENING"/>
    <n v="1"/>
    <n v="12"/>
    <n v="12"/>
    <n v="3.21"/>
    <n v="12"/>
    <n v="3.21"/>
    <n v="8.7899999999999991"/>
    <n v="0.73249999999999993"/>
    <s v="C0148"/>
    <x v="48"/>
    <x v="48"/>
    <x v="0"/>
    <x v="1"/>
  </r>
  <r>
    <x v="254"/>
    <x v="83"/>
    <x v="2"/>
    <x v="2"/>
    <d v="1905-07-16T00:00:00"/>
    <s v="COMpOsTaBLe PlAnT POts"/>
    <s v="Compostable Plant Pots"/>
    <x v="4"/>
    <s v="GARDENING"/>
    <n v="5"/>
    <n v="12"/>
    <n v="12"/>
    <n v="3.41"/>
    <n v="60"/>
    <n v="17.05"/>
    <n v="42.95"/>
    <n v="0.71583333333333343"/>
    <s v="C0165"/>
    <x v="8"/>
    <x v="8"/>
    <x v="1"/>
    <x v="0"/>
  </r>
  <r>
    <x v="255"/>
    <x v="83"/>
    <x v="2"/>
    <x v="2"/>
    <d v="1905-07-16T00:00:00"/>
    <s v="REUsABle bAMboO uTeNSIL sEt"/>
    <s v="Reusable Bamboo Utensil Set"/>
    <x v="3"/>
    <s v="KITCHENWARE"/>
    <n v="9"/>
    <n v="15"/>
    <n v="15"/>
    <n v="3.88"/>
    <n v="135"/>
    <n v="34.92"/>
    <n v="100.08"/>
    <n v="0.74133333333333329"/>
    <s v="C0030"/>
    <x v="34"/>
    <x v="34"/>
    <x v="1"/>
    <x v="6"/>
  </r>
  <r>
    <x v="256"/>
    <x v="83"/>
    <x v="2"/>
    <x v="2"/>
    <d v="1905-07-16T00:00:00"/>
    <s v="SoLAR leD lAnTern"/>
    <s v="Solar Led Lantern"/>
    <x v="2"/>
    <s v="LIGHTING"/>
    <n v="10"/>
    <n v="40"/>
    <n v="40"/>
    <n v="11.05"/>
    <n v="400"/>
    <n v="110.5"/>
    <n v="289.5"/>
    <n v="0.72375"/>
    <s v="C0126"/>
    <x v="90"/>
    <x v="90"/>
    <x v="1"/>
    <x v="8"/>
  </r>
  <r>
    <x v="257"/>
    <x v="83"/>
    <x v="2"/>
    <x v="2"/>
    <d v="1905-07-16T00:00:00"/>
    <s v="bIOdegradABlE cLEaNINg cLoTH"/>
    <s v="Biodegradable Cleaning Cloth"/>
    <x v="0"/>
    <s v="CLEANING"/>
    <n v="2"/>
    <n v="10"/>
    <n v="10"/>
    <n v="3.43"/>
    <n v="20"/>
    <n v="6.86"/>
    <n v="13.14"/>
    <n v="0.65700000000000003"/>
    <s v="C0200"/>
    <x v="0"/>
    <x v="0"/>
    <x v="3"/>
    <x v="8"/>
  </r>
  <r>
    <x v="258"/>
    <x v="84"/>
    <x v="2"/>
    <x v="2"/>
    <d v="1905-07-16T00:00:00"/>
    <s v="ecO CANVAS TOTe Bag"/>
    <s v="Eco Canvas Tote Bag"/>
    <x v="1"/>
    <s v="BAGS"/>
    <n v="2"/>
    <n v="25"/>
    <n v="25"/>
    <n v="6.89"/>
    <n v="50"/>
    <n v="13.78"/>
    <n v="36.22"/>
    <n v="0.72439999999999993"/>
    <s v="C0071"/>
    <x v="7"/>
    <x v="7"/>
    <x v="3"/>
    <x v="9"/>
  </r>
  <r>
    <x v="259"/>
    <x v="84"/>
    <x v="2"/>
    <x v="2"/>
    <d v="1905-07-16T00:00:00"/>
    <s v="bIOdegradABlE cLEaNINg cLoTH"/>
    <s v="Biodegradable Cleaning Cloth"/>
    <x v="0"/>
    <s v="CLEANING"/>
    <n v="7"/>
    <n v="10"/>
    <n v="10"/>
    <n v="2.2000000000000002"/>
    <n v="70"/>
    <n v="15.400000000000002"/>
    <n v="54.599999999999994"/>
    <n v="0.77999999999999992"/>
    <s v="C0126"/>
    <x v="90"/>
    <x v="90"/>
    <x v="0"/>
    <x v="0"/>
  </r>
  <r>
    <x v="260"/>
    <x v="84"/>
    <x v="2"/>
    <x v="2"/>
    <d v="1905-07-16T00:00:00"/>
    <s v="ecO CANVAS TOTe Bag"/>
    <s v="Eco Canvas Tote Bag"/>
    <x v="1"/>
    <s v="BAGS"/>
    <n v="7"/>
    <n v="25"/>
    <n v="25"/>
    <n v="5.89"/>
    <n v="175"/>
    <n v="41.23"/>
    <n v="133.77000000000001"/>
    <n v="0.76440000000000008"/>
    <s v="C0068"/>
    <x v="96"/>
    <x v="96"/>
    <x v="1"/>
    <x v="5"/>
  </r>
  <r>
    <x v="261"/>
    <x v="84"/>
    <x v="2"/>
    <x v="2"/>
    <d v="1905-07-16T00:00:00"/>
    <s v="ecO CANVAS TOTe Bag"/>
    <s v="Eco Canvas Tote Bag"/>
    <x v="1"/>
    <s v="BAGS"/>
    <n v="8"/>
    <n v="25"/>
    <n v="25"/>
    <n v="8.61"/>
    <n v="200"/>
    <n v="68.88"/>
    <n v="131.12"/>
    <n v="0.65560000000000007"/>
    <s v="C0067"/>
    <x v="52"/>
    <x v="52"/>
    <x v="1"/>
    <x v="0"/>
  </r>
  <r>
    <x v="262"/>
    <x v="85"/>
    <x v="2"/>
    <x v="2"/>
    <d v="1905-07-16T00:00:00"/>
    <s v="bIOdegradABlE cLEaNINg cLoTH"/>
    <s v="Biodegradable Cleaning Cloth"/>
    <x v="0"/>
    <s v="CLEANING"/>
    <n v="5"/>
    <n v="10"/>
    <n v="10"/>
    <n v="2.82"/>
    <n v="50"/>
    <n v="14.1"/>
    <n v="35.9"/>
    <n v="0.71799999999999997"/>
    <s v="C0045"/>
    <x v="51"/>
    <x v="51"/>
    <x v="1"/>
    <x v="9"/>
  </r>
  <r>
    <x v="263"/>
    <x v="85"/>
    <x v="2"/>
    <x v="2"/>
    <d v="1905-07-16T00:00:00"/>
    <s v="SoLAR leD lAnTern"/>
    <s v="Solar Led Lantern"/>
    <x v="2"/>
    <s v="LIGHTING"/>
    <n v="10"/>
    <n v="40"/>
    <n v="40"/>
    <n v="11.87"/>
    <n v="400"/>
    <n v="118.69999999999999"/>
    <n v="281.3"/>
    <n v="0.70325000000000004"/>
    <s v="C0166"/>
    <x v="68"/>
    <x v="68"/>
    <x v="1"/>
    <x v="6"/>
  </r>
  <r>
    <x v="264"/>
    <x v="86"/>
    <x v="2"/>
    <x v="2"/>
    <d v="1905-07-16T00:00:00"/>
    <s v="REUsABle bAMboO uTeNSIL sEt"/>
    <s v="Reusable Bamboo Utensil Set"/>
    <x v="3"/>
    <s v="KITCHENWARE"/>
    <n v="1"/>
    <n v="15"/>
    <n v="15"/>
    <n v="5.3"/>
    <n v="15"/>
    <n v="5.3"/>
    <n v="9.6999999999999993"/>
    <n v="0.64666666666666661"/>
    <s v="C0191"/>
    <x v="17"/>
    <x v="17"/>
    <x v="1"/>
    <x v="1"/>
  </r>
  <r>
    <x v="265"/>
    <x v="86"/>
    <x v="2"/>
    <x v="2"/>
    <d v="1905-07-16T00:00:00"/>
    <s v="ecO CANVAS TOTe Bag"/>
    <s v="Eco Canvas Tote Bag"/>
    <x v="1"/>
    <s v="BAGS"/>
    <n v="4"/>
    <n v="25"/>
    <n v="25"/>
    <n v="9.4600000000000009"/>
    <n v="100"/>
    <n v="37.840000000000003"/>
    <n v="62.16"/>
    <n v="0.62159999999999993"/>
    <s v="C0192"/>
    <x v="66"/>
    <x v="66"/>
    <x v="3"/>
    <x v="8"/>
  </r>
  <r>
    <x v="266"/>
    <x v="87"/>
    <x v="2"/>
    <x v="2"/>
    <d v="1905-07-16T00:00:00"/>
    <s v="SoLAR leD lAnTern"/>
    <s v="Solar Led Lantern"/>
    <x v="2"/>
    <s v="LIGHTING"/>
    <n v="1"/>
    <n v="40"/>
    <n v="40"/>
    <n v="12.13"/>
    <n v="40"/>
    <n v="12.13"/>
    <n v="27.869999999999997"/>
    <n v="0.69674999999999998"/>
    <s v="C0162"/>
    <x v="4"/>
    <x v="4"/>
    <x v="2"/>
    <x v="3"/>
  </r>
  <r>
    <x v="267"/>
    <x v="87"/>
    <x v="2"/>
    <x v="2"/>
    <d v="1905-07-16T00:00:00"/>
    <s v="COMpOsTaBLe PlAnT POts"/>
    <s v="Compostable Plant Pots"/>
    <x v="4"/>
    <s v="GARDENING"/>
    <n v="4"/>
    <n v="12"/>
    <n v="12"/>
    <n v="3.9"/>
    <n v="48"/>
    <n v="15.6"/>
    <n v="32.4"/>
    <n v="0.67499999999999993"/>
    <s v="C0068"/>
    <x v="96"/>
    <x v="96"/>
    <x v="1"/>
    <x v="9"/>
  </r>
  <r>
    <x v="268"/>
    <x v="87"/>
    <x v="2"/>
    <x v="2"/>
    <d v="1905-07-16T00:00:00"/>
    <s v="bIOdegradABlE cLEaNINg cLoTH"/>
    <s v="Biodegradable Cleaning Cloth"/>
    <x v="0"/>
    <s v="CLEANING"/>
    <n v="3"/>
    <n v="10"/>
    <n v="10"/>
    <n v="2.69"/>
    <n v="30"/>
    <n v="8.07"/>
    <n v="21.93"/>
    <n v="0.73099999999999998"/>
    <s v="C0043"/>
    <x v="31"/>
    <x v="31"/>
    <x v="2"/>
    <x v="5"/>
  </r>
  <r>
    <x v="269"/>
    <x v="87"/>
    <x v="2"/>
    <x v="2"/>
    <d v="1905-07-16T00:00:00"/>
    <s v="SoLAR leD lAnTern"/>
    <s v="Solar Led Lantern"/>
    <x v="2"/>
    <s v="LIGHTING"/>
    <n v="3"/>
    <n v="40"/>
    <n v="40"/>
    <n v="12.8"/>
    <n v="120"/>
    <n v="38.400000000000006"/>
    <n v="81.599999999999994"/>
    <n v="0.67999999999999994"/>
    <s v="C0017"/>
    <x v="17"/>
    <x v="17"/>
    <x v="1"/>
    <x v="7"/>
  </r>
  <r>
    <x v="270"/>
    <x v="87"/>
    <x v="2"/>
    <x v="2"/>
    <d v="1905-07-16T00:00:00"/>
    <s v="REUsABle bAMboO uTeNSIL sEt"/>
    <s v="Reusable Bamboo Utensil Set"/>
    <x v="3"/>
    <s v="KITCHENWARE"/>
    <n v="8"/>
    <n v="15"/>
    <n v="15"/>
    <n v="3.64"/>
    <n v="120"/>
    <n v="29.12"/>
    <n v="90.88"/>
    <n v="0.7573333333333333"/>
    <s v="C0197"/>
    <x v="68"/>
    <x v="68"/>
    <x v="1"/>
    <x v="4"/>
  </r>
  <r>
    <x v="271"/>
    <x v="87"/>
    <x v="2"/>
    <x v="2"/>
    <d v="1905-07-16T00:00:00"/>
    <s v="bIOdegradABlE cLEaNINg cLoTH"/>
    <s v="Biodegradable Cleaning Cloth"/>
    <x v="0"/>
    <s v="CLEANING"/>
    <n v="9"/>
    <n v="10"/>
    <n v="10"/>
    <n v="3.6"/>
    <n v="90"/>
    <n v="32.4"/>
    <n v="57.6"/>
    <n v="0.64"/>
    <s v="C0186"/>
    <x v="98"/>
    <x v="98"/>
    <x v="1"/>
    <x v="7"/>
  </r>
  <r>
    <x v="272"/>
    <x v="88"/>
    <x v="3"/>
    <x v="3"/>
    <d v="1905-07-16T00:00:00"/>
    <s v="ecO CANVAS TOTe Bag"/>
    <s v="Eco Canvas Tote Bag"/>
    <x v="1"/>
    <s v="BAGS"/>
    <n v="7"/>
    <m/>
    <n v="25"/>
    <n v="5.07"/>
    <n v="175"/>
    <n v="35.49"/>
    <n v="139.51"/>
    <n v="0.79719999999999991"/>
    <s v="C0050"/>
    <x v="74"/>
    <x v="74"/>
    <x v="1"/>
    <x v="2"/>
  </r>
  <r>
    <x v="273"/>
    <x v="88"/>
    <x v="3"/>
    <x v="3"/>
    <d v="1905-07-16T00:00:00"/>
    <s v="COMpOsTaBLe PlAnT POts"/>
    <s v="Compostable Plant Pots"/>
    <x v="4"/>
    <s v="GARDENING"/>
    <n v="3"/>
    <n v="12"/>
    <n v="12"/>
    <n v="3.17"/>
    <n v="36"/>
    <n v="9.51"/>
    <n v="26.490000000000002"/>
    <n v="0.73583333333333334"/>
    <s v="C0067"/>
    <x v="52"/>
    <x v="52"/>
    <x v="1"/>
    <x v="4"/>
  </r>
  <r>
    <x v="274"/>
    <x v="89"/>
    <x v="3"/>
    <x v="3"/>
    <d v="1905-07-16T00:00:00"/>
    <s v="COMpOsTaBLe PlAnT POts"/>
    <s v="Compostable Plant Pots"/>
    <x v="4"/>
    <s v="GARDENING"/>
    <n v="10"/>
    <n v="12"/>
    <n v="12"/>
    <n v="3.9"/>
    <n v="120"/>
    <n v="39"/>
    <n v="81"/>
    <n v="0.67500000000000004"/>
    <s v="C0161"/>
    <x v="18"/>
    <x v="18"/>
    <x v="1"/>
    <x v="9"/>
  </r>
  <r>
    <x v="275"/>
    <x v="89"/>
    <x v="3"/>
    <x v="3"/>
    <d v="1905-07-16T00:00:00"/>
    <s v="REUsABle bAMboO uTeNSIL sEt"/>
    <s v="Reusable Bamboo Utensil Set"/>
    <x v="3"/>
    <s v="KITCHENWARE"/>
    <n v="8"/>
    <n v="15"/>
    <n v="15"/>
    <n v="4.9400000000000004"/>
    <n v="120"/>
    <n v="39.520000000000003"/>
    <n v="80.47999999999999"/>
    <n v="0.67066666666666663"/>
    <s v="C0005"/>
    <x v="99"/>
    <x v="99"/>
    <x v="1"/>
    <x v="1"/>
  </r>
  <r>
    <x v="276"/>
    <x v="89"/>
    <x v="3"/>
    <x v="3"/>
    <d v="1905-07-16T00:00:00"/>
    <s v="REUsABle bAMboO uTeNSIL sEt"/>
    <s v="Reusable Bamboo Utensil Set"/>
    <x v="3"/>
    <s v="KITCHENWARE"/>
    <n v="1"/>
    <n v="15"/>
    <n v="15"/>
    <n v="5.04"/>
    <n v="15"/>
    <n v="5.04"/>
    <n v="9.9600000000000009"/>
    <n v="0.66400000000000003"/>
    <s v="C0079"/>
    <x v="100"/>
    <x v="100"/>
    <x v="1"/>
    <x v="2"/>
  </r>
  <r>
    <x v="277"/>
    <x v="90"/>
    <x v="3"/>
    <x v="3"/>
    <d v="1905-07-16T00:00:00"/>
    <s v="SoLAR leD lAnTern"/>
    <s v="Solar Led Lantern"/>
    <x v="2"/>
    <s v="LIGHTING"/>
    <n v="9"/>
    <n v="40"/>
    <n v="40"/>
    <n v="12.88"/>
    <n v="360"/>
    <n v="115.92"/>
    <n v="244.07999999999998"/>
    <n v="0.67799999999999994"/>
    <s v="C0052"/>
    <x v="6"/>
    <x v="6"/>
    <x v="0"/>
    <x v="4"/>
  </r>
  <r>
    <x v="278"/>
    <x v="90"/>
    <x v="3"/>
    <x v="3"/>
    <d v="1905-07-16T00:00:00"/>
    <s v="REUsABle bAMboO uTeNSIL sEt"/>
    <s v="Reusable Bamboo Utensil Set"/>
    <x v="3"/>
    <s v="KITCHENWARE"/>
    <n v="2"/>
    <n v="15"/>
    <n v="15"/>
    <n v="5.45"/>
    <n v="30"/>
    <n v="10.9"/>
    <n v="19.100000000000001"/>
    <n v="0.63666666666666671"/>
    <s v="C0152"/>
    <x v="101"/>
    <x v="101"/>
    <x v="0"/>
    <x v="1"/>
  </r>
  <r>
    <x v="279"/>
    <x v="90"/>
    <x v="3"/>
    <x v="3"/>
    <d v="1905-07-16T00:00:00"/>
    <s v="COMpOsTaBLe PlAnT POts"/>
    <s v="Compostable Plant Pots"/>
    <x v="4"/>
    <s v="GARDENING"/>
    <n v="5"/>
    <n v="12"/>
    <n v="12"/>
    <n v="3.06"/>
    <n v="60"/>
    <n v="15.3"/>
    <n v="44.7"/>
    <n v="0.745"/>
    <s v="C0128"/>
    <x v="50"/>
    <x v="50"/>
    <x v="1"/>
    <x v="2"/>
  </r>
  <r>
    <x v="280"/>
    <x v="91"/>
    <x v="3"/>
    <x v="3"/>
    <d v="1905-07-16T00:00:00"/>
    <s v="bIOdegradABlE cLEaNINg cLoTH"/>
    <s v="Biodegradable Cleaning Cloth"/>
    <x v="0"/>
    <s v="CLEANING"/>
    <n v="9"/>
    <n v="10"/>
    <n v="10"/>
    <n v="2.23"/>
    <n v="90"/>
    <n v="20.07"/>
    <n v="69.930000000000007"/>
    <n v="0.77700000000000002"/>
    <s v="C0081"/>
    <x v="33"/>
    <x v="33"/>
    <x v="0"/>
    <x v="2"/>
  </r>
  <r>
    <x v="281"/>
    <x v="91"/>
    <x v="3"/>
    <x v="3"/>
    <d v="1905-07-16T00:00:00"/>
    <s v="ecO CANVAS TOTe Bag"/>
    <s v="Eco Canvas Tote Bag"/>
    <x v="1"/>
    <s v="BAGS"/>
    <n v="3"/>
    <n v="25"/>
    <n v="25"/>
    <n v="8.42"/>
    <n v="75"/>
    <n v="25.259999999999998"/>
    <n v="49.74"/>
    <n v="0.66320000000000001"/>
    <s v="C0002"/>
    <x v="43"/>
    <x v="43"/>
    <x v="1"/>
    <x v="1"/>
  </r>
  <r>
    <x v="282"/>
    <x v="91"/>
    <x v="3"/>
    <x v="3"/>
    <d v="1905-07-16T00:00:00"/>
    <s v="SoLAR leD lAnTern"/>
    <s v="Solar Led Lantern"/>
    <x v="2"/>
    <s v="LIGHTING"/>
    <n v="10"/>
    <n v="40"/>
    <n v="40"/>
    <n v="12.79"/>
    <n v="400"/>
    <n v="127.89999999999999"/>
    <n v="272.10000000000002"/>
    <n v="0.68025000000000002"/>
    <s v="C0047"/>
    <x v="35"/>
    <x v="35"/>
    <x v="3"/>
    <x v="8"/>
  </r>
  <r>
    <x v="283"/>
    <x v="91"/>
    <x v="3"/>
    <x v="3"/>
    <d v="1905-07-16T00:00:00"/>
    <s v="bIOdegradABlE cLEaNINg cLoTH"/>
    <s v="Biodegradable Cleaning Cloth"/>
    <x v="0"/>
    <s v="CLEANING"/>
    <n v="8"/>
    <n v="10"/>
    <n v="10"/>
    <n v="2.65"/>
    <n v="80"/>
    <n v="21.2"/>
    <n v="58.8"/>
    <n v="0.73499999999999999"/>
    <s v="C0142"/>
    <x v="102"/>
    <x v="102"/>
    <x v="1"/>
    <x v="6"/>
  </r>
  <r>
    <x v="284"/>
    <x v="92"/>
    <x v="3"/>
    <x v="3"/>
    <d v="1905-07-16T00:00:00"/>
    <s v="SoLAR leD lAnTern"/>
    <s v="Solar Led Lantern"/>
    <x v="2"/>
    <s v="LIGHTING"/>
    <n v="5"/>
    <n v="40"/>
    <n v="40"/>
    <n v="8.31"/>
    <n v="200"/>
    <n v="41.550000000000004"/>
    <n v="158.44999999999999"/>
    <n v="0.7922499999999999"/>
    <s v="C0098"/>
    <x v="98"/>
    <x v="98"/>
    <x v="0"/>
    <x v="2"/>
  </r>
  <r>
    <x v="285"/>
    <x v="93"/>
    <x v="3"/>
    <x v="3"/>
    <d v="1905-07-16T00:00:00"/>
    <s v="SoLAR leD lAnTern"/>
    <s v="Solar Led Lantern"/>
    <x v="2"/>
    <s v="LIGHTING"/>
    <n v="8"/>
    <n v="40"/>
    <n v="40"/>
    <n v="10.88"/>
    <n v="320"/>
    <n v="87.04"/>
    <n v="232.95999999999998"/>
    <n v="0.72799999999999998"/>
    <s v="C0051"/>
    <x v="16"/>
    <x v="16"/>
    <x v="0"/>
    <x v="8"/>
  </r>
  <r>
    <x v="286"/>
    <x v="93"/>
    <x v="3"/>
    <x v="3"/>
    <d v="1905-07-16T00:00:00"/>
    <s v="COMpOsTaBLe PlAnT POts"/>
    <s v="Compostable Plant Pots"/>
    <x v="4"/>
    <s v="GARDENING"/>
    <n v="6"/>
    <n v="12"/>
    <n v="12"/>
    <n v="4.78"/>
    <n v="72"/>
    <n v="28.68"/>
    <n v="43.32"/>
    <n v="0.60166666666666668"/>
    <s v="C0161"/>
    <x v="18"/>
    <x v="18"/>
    <x v="0"/>
    <x v="9"/>
  </r>
  <r>
    <x v="287"/>
    <x v="93"/>
    <x v="3"/>
    <x v="3"/>
    <d v="1905-07-16T00:00:00"/>
    <s v="ecO CANVAS TOTe Bag"/>
    <s v="Eco Canvas Tote Bag"/>
    <x v="1"/>
    <s v="BAGS"/>
    <n v="1"/>
    <n v="25"/>
    <n v="25"/>
    <n v="9.26"/>
    <n v="25"/>
    <n v="9.26"/>
    <n v="15.74"/>
    <n v="0.62960000000000005"/>
    <s v="C0098"/>
    <x v="98"/>
    <x v="98"/>
    <x v="1"/>
    <x v="9"/>
  </r>
  <r>
    <x v="288"/>
    <x v="94"/>
    <x v="3"/>
    <x v="3"/>
    <d v="1905-07-16T00:00:00"/>
    <s v="ecO CANVAS TOTe Bag"/>
    <s v="Eco Canvas Tote Bag"/>
    <x v="1"/>
    <s v="BAGS"/>
    <n v="9"/>
    <n v="25"/>
    <n v="25"/>
    <n v="8.39"/>
    <n v="225"/>
    <n v="75.510000000000005"/>
    <n v="149.49"/>
    <n v="0.66439999999999999"/>
    <s v="C0138"/>
    <x v="50"/>
    <x v="50"/>
    <x v="0"/>
    <x v="1"/>
  </r>
  <r>
    <x v="289"/>
    <x v="94"/>
    <x v="3"/>
    <x v="3"/>
    <d v="1905-07-16T00:00:00"/>
    <s v="ecO CANVAS TOTe Bag"/>
    <s v="Eco Canvas Tote Bag"/>
    <x v="1"/>
    <s v="BAGS"/>
    <n v="4"/>
    <n v="25"/>
    <n v="25"/>
    <n v="6.45"/>
    <n v="100"/>
    <n v="25.8"/>
    <n v="74.2"/>
    <n v="0.74199999999999999"/>
    <s v="C0065"/>
    <x v="48"/>
    <x v="48"/>
    <x v="1"/>
    <x v="7"/>
  </r>
  <r>
    <x v="290"/>
    <x v="94"/>
    <x v="3"/>
    <x v="3"/>
    <d v="1905-07-16T00:00:00"/>
    <s v="ecO CANVAS TOTe Bag"/>
    <s v="Eco Canvas Tote Bag"/>
    <x v="1"/>
    <s v="BAGS"/>
    <n v="4"/>
    <n v="25"/>
    <n v="25"/>
    <n v="8.35"/>
    <n v="100"/>
    <n v="33.4"/>
    <n v="66.599999999999994"/>
    <n v="0.66599999999999993"/>
    <s v="C0085"/>
    <x v="29"/>
    <x v="29"/>
    <x v="1"/>
    <x v="6"/>
  </r>
  <r>
    <x v="291"/>
    <x v="95"/>
    <x v="3"/>
    <x v="3"/>
    <d v="1905-07-16T00:00:00"/>
    <s v="REUsABle bAMboO uTeNSIL sEt"/>
    <s v="Reusable Bamboo Utensil Set"/>
    <x v="3"/>
    <s v="KITCHENWARE"/>
    <n v="7"/>
    <n v="15"/>
    <n v="15"/>
    <n v="5.75"/>
    <n v="105"/>
    <n v="40.25"/>
    <n v="64.75"/>
    <n v="0.6166666666666667"/>
    <s v="C0051"/>
    <x v="16"/>
    <x v="16"/>
    <x v="0"/>
    <x v="6"/>
  </r>
  <r>
    <x v="292"/>
    <x v="95"/>
    <x v="3"/>
    <x v="3"/>
    <d v="1905-07-16T00:00:00"/>
    <s v="COMpOsTaBLe PlAnT POts"/>
    <s v="Compostable Plant Pots"/>
    <x v="4"/>
    <s v="GARDENING"/>
    <n v="7"/>
    <n v="12"/>
    <n v="12"/>
    <n v="3.53"/>
    <n v="84"/>
    <n v="24.709999999999997"/>
    <n v="59.290000000000006"/>
    <n v="0.70583333333333342"/>
    <s v="C0100"/>
    <x v="52"/>
    <x v="52"/>
    <x v="3"/>
    <x v="6"/>
  </r>
  <r>
    <x v="293"/>
    <x v="95"/>
    <x v="3"/>
    <x v="3"/>
    <d v="1905-07-16T00:00:00"/>
    <s v="ecO CANVAS TOTe Bag"/>
    <s v="Eco Canvas Tote Bag"/>
    <x v="1"/>
    <s v="BAGS"/>
    <n v="9"/>
    <n v="25"/>
    <n v="25"/>
    <n v="5.36"/>
    <n v="225"/>
    <n v="48.24"/>
    <n v="176.76"/>
    <n v="0.78559999999999997"/>
    <s v="C0197"/>
    <x v="68"/>
    <x v="68"/>
    <x v="1"/>
    <x v="3"/>
  </r>
  <r>
    <x v="294"/>
    <x v="95"/>
    <x v="3"/>
    <x v="3"/>
    <d v="1905-07-16T00:00:00"/>
    <s v="bIOdegradABlE cLEaNINg cLoTH"/>
    <s v="Biodegradable Cleaning Cloth"/>
    <x v="0"/>
    <s v="CLEANING"/>
    <n v="8"/>
    <n v="10"/>
    <n v="10"/>
    <n v="3.52"/>
    <n v="80"/>
    <n v="28.16"/>
    <n v="51.84"/>
    <n v="0.64800000000000002"/>
    <s v="C0119"/>
    <x v="21"/>
    <x v="21"/>
    <x v="1"/>
    <x v="8"/>
  </r>
  <r>
    <x v="295"/>
    <x v="96"/>
    <x v="3"/>
    <x v="3"/>
    <d v="1905-07-16T00:00:00"/>
    <s v="bIOdegradABlE cLEaNINg cLoTH"/>
    <s v="Biodegradable Cleaning Cloth"/>
    <x v="0"/>
    <s v="CLEANING"/>
    <n v="10"/>
    <n v="10"/>
    <n v="10"/>
    <n v="2.86"/>
    <n v="100"/>
    <n v="28.599999999999998"/>
    <n v="71.400000000000006"/>
    <n v="0.71400000000000008"/>
    <s v="C0183"/>
    <x v="1"/>
    <x v="1"/>
    <x v="1"/>
    <x v="4"/>
  </r>
  <r>
    <x v="296"/>
    <x v="96"/>
    <x v="3"/>
    <x v="3"/>
    <d v="1905-07-16T00:00:00"/>
    <s v="bIOdegradABlE cLEaNINg cLoTH"/>
    <s v="Biodegradable Cleaning Cloth"/>
    <x v="0"/>
    <s v="CLEANING"/>
    <n v="3"/>
    <n v="10"/>
    <n v="10"/>
    <n v="2.5299999999999998"/>
    <n v="30"/>
    <n v="7.59"/>
    <n v="22.41"/>
    <n v="0.747"/>
    <s v="C0116"/>
    <x v="80"/>
    <x v="80"/>
    <x v="1"/>
    <x v="9"/>
  </r>
  <r>
    <x v="297"/>
    <x v="96"/>
    <x v="3"/>
    <x v="3"/>
    <d v="1905-07-16T00:00:00"/>
    <s v="bIOdegradABlE cLEaNINg cLoTH"/>
    <s v="Biodegradable Cleaning Cloth"/>
    <x v="0"/>
    <s v="CLEANING"/>
    <n v="2"/>
    <n v="10"/>
    <n v="10"/>
    <n v="3.58"/>
    <n v="20"/>
    <n v="7.16"/>
    <n v="12.84"/>
    <n v="0.64200000000000002"/>
    <s v="C0151"/>
    <x v="24"/>
    <x v="24"/>
    <x v="0"/>
    <x v="7"/>
  </r>
  <r>
    <x v="298"/>
    <x v="97"/>
    <x v="3"/>
    <x v="3"/>
    <d v="1905-07-16T00:00:00"/>
    <s v="REUsABle bAMboO uTeNSIL sEt"/>
    <s v="Reusable Bamboo Utensil Set"/>
    <x v="3"/>
    <s v="KITCHENWARE"/>
    <n v="10"/>
    <n v="15"/>
    <n v="15"/>
    <n v="5.89"/>
    <n v="150"/>
    <n v="58.9"/>
    <n v="91.1"/>
    <n v="0.60733333333333328"/>
    <s v="C0011"/>
    <x v="50"/>
    <x v="50"/>
    <x v="0"/>
    <x v="3"/>
  </r>
  <r>
    <x v="299"/>
    <x v="97"/>
    <x v="3"/>
    <x v="3"/>
    <d v="1905-07-16T00:00:00"/>
    <s v="ecO CANVAS TOTe Bag"/>
    <s v="Eco Canvas Tote Bag"/>
    <x v="1"/>
    <s v="BAGS"/>
    <n v="3"/>
    <n v="25"/>
    <n v="25"/>
    <n v="5.6"/>
    <n v="75"/>
    <n v="16.799999999999997"/>
    <n v="58.2"/>
    <n v="0.77600000000000002"/>
    <s v="C0095"/>
    <x v="61"/>
    <x v="61"/>
    <x v="1"/>
    <x v="8"/>
  </r>
  <r>
    <x v="300"/>
    <x v="97"/>
    <x v="3"/>
    <x v="3"/>
    <d v="1905-07-16T00:00:00"/>
    <s v="bIOdegradABlE cLEaNINg cLoTH"/>
    <s v="Biodegradable Cleaning Cloth"/>
    <x v="0"/>
    <s v="CLEANING"/>
    <n v="4"/>
    <n v="10"/>
    <n v="10"/>
    <n v="2.4300000000000002"/>
    <n v="40"/>
    <n v="9.7200000000000006"/>
    <n v="30.28"/>
    <n v="0.75700000000000001"/>
    <s v="C0078"/>
    <x v="35"/>
    <x v="35"/>
    <x v="1"/>
    <x v="3"/>
  </r>
  <r>
    <x v="301"/>
    <x v="98"/>
    <x v="3"/>
    <x v="3"/>
    <d v="1905-07-16T00:00:00"/>
    <s v="SoLAR leD lAnTern"/>
    <s v="Solar Led Lantern"/>
    <x v="2"/>
    <s v="LIGHTING"/>
    <n v="3"/>
    <n v="40"/>
    <n v="40"/>
    <n v="15.83"/>
    <n v="120"/>
    <n v="47.49"/>
    <n v="72.509999999999991"/>
    <n v="0.60424999999999995"/>
    <s v="C0155"/>
    <x v="89"/>
    <x v="89"/>
    <x v="1"/>
    <x v="8"/>
  </r>
  <r>
    <x v="302"/>
    <x v="99"/>
    <x v="3"/>
    <x v="3"/>
    <d v="1905-07-16T00:00:00"/>
    <s v="SoLAR leD lAnTern"/>
    <s v="Solar Led Lantern"/>
    <x v="2"/>
    <s v="LIGHTING"/>
    <n v="4"/>
    <n v="40"/>
    <n v="40"/>
    <n v="8.26"/>
    <n v="160"/>
    <n v="33.04"/>
    <n v="126.96000000000001"/>
    <n v="0.79350000000000009"/>
    <s v="C0146"/>
    <x v="58"/>
    <x v="58"/>
    <x v="3"/>
    <x v="5"/>
  </r>
  <r>
    <x v="303"/>
    <x v="99"/>
    <x v="3"/>
    <x v="3"/>
    <d v="1905-07-16T00:00:00"/>
    <s v="SoLAR leD lAnTern"/>
    <s v="Solar Led Lantern"/>
    <x v="2"/>
    <s v="LIGHTING"/>
    <n v="2"/>
    <n v="40"/>
    <n v="40"/>
    <n v="8.09"/>
    <n v="80"/>
    <n v="16.18"/>
    <n v="63.82"/>
    <n v="0.79774999999999996"/>
    <s v="C0078"/>
    <x v="35"/>
    <x v="35"/>
    <x v="3"/>
    <x v="1"/>
  </r>
  <r>
    <x v="304"/>
    <x v="99"/>
    <x v="3"/>
    <x v="3"/>
    <d v="1905-07-16T00:00:00"/>
    <s v="SoLAR leD lAnTern"/>
    <s v="Solar Led Lantern"/>
    <x v="2"/>
    <s v="LIGHTING"/>
    <n v="10"/>
    <n v="40"/>
    <n v="40"/>
    <n v="8.0399999999999991"/>
    <n v="400"/>
    <n v="80.399999999999991"/>
    <n v="319.60000000000002"/>
    <n v="0.79900000000000004"/>
    <s v="C0133"/>
    <x v="73"/>
    <x v="73"/>
    <x v="1"/>
    <x v="1"/>
  </r>
  <r>
    <x v="305"/>
    <x v="100"/>
    <x v="3"/>
    <x v="3"/>
    <d v="1905-07-16T00:00:00"/>
    <s v="ecO CANVAS TOTe Bag"/>
    <s v="Eco Canvas Tote Bag"/>
    <x v="1"/>
    <s v="BAGS"/>
    <n v="8"/>
    <n v="25"/>
    <n v="25"/>
    <n v="5.87"/>
    <n v="200"/>
    <n v="46.96"/>
    <n v="153.04"/>
    <n v="0.76519999999999999"/>
    <s v="C0144"/>
    <x v="80"/>
    <x v="80"/>
    <x v="1"/>
    <x v="1"/>
  </r>
  <r>
    <x v="306"/>
    <x v="100"/>
    <x v="3"/>
    <x v="3"/>
    <d v="1905-07-16T00:00:00"/>
    <s v="REUsABle bAMboO uTeNSIL sEt"/>
    <s v="Reusable Bamboo Utensil Set"/>
    <x v="3"/>
    <s v="KITCHENWARE"/>
    <n v="1"/>
    <n v="15"/>
    <n v="15"/>
    <n v="5.9"/>
    <n v="15"/>
    <n v="5.9"/>
    <n v="9.1"/>
    <n v="0.60666666666666669"/>
    <s v="C0119"/>
    <x v="21"/>
    <x v="21"/>
    <x v="1"/>
    <x v="6"/>
  </r>
  <r>
    <x v="307"/>
    <x v="100"/>
    <x v="3"/>
    <x v="3"/>
    <d v="1905-07-16T00:00:00"/>
    <s v="SoLAR leD lAnTern"/>
    <s v="Solar Led Lantern"/>
    <x v="2"/>
    <s v="LIGHTING"/>
    <n v="3"/>
    <n v="40"/>
    <n v="40"/>
    <n v="14.85"/>
    <n v="120"/>
    <n v="44.55"/>
    <n v="75.45"/>
    <n v="0.62875000000000003"/>
    <s v="C0044"/>
    <x v="78"/>
    <x v="78"/>
    <x v="3"/>
    <x v="5"/>
  </r>
  <r>
    <x v="308"/>
    <x v="101"/>
    <x v="3"/>
    <x v="3"/>
    <d v="1905-07-16T00:00:00"/>
    <s v="SoLAR leD lAnTern"/>
    <s v="Solar Led Lantern"/>
    <x v="2"/>
    <s v="LIGHTING"/>
    <n v="4"/>
    <n v="40"/>
    <n v="40"/>
    <n v="15.39"/>
    <n v="160"/>
    <n v="61.56"/>
    <n v="98.44"/>
    <n v="0.61524999999999996"/>
    <s v="C0157"/>
    <x v="27"/>
    <x v="27"/>
    <x v="0"/>
    <x v="6"/>
  </r>
  <r>
    <x v="309"/>
    <x v="101"/>
    <x v="3"/>
    <x v="3"/>
    <d v="1905-07-16T00:00:00"/>
    <s v="COMpOsTaBLe PlAnT POts"/>
    <s v="Compostable Plant Pots"/>
    <x v="4"/>
    <s v="GARDENING"/>
    <n v="2"/>
    <n v="12"/>
    <n v="12"/>
    <n v="3.33"/>
    <n v="24"/>
    <n v="6.66"/>
    <n v="17.34"/>
    <n v="0.72250000000000003"/>
    <s v="C0112"/>
    <x v="70"/>
    <x v="70"/>
    <x v="1"/>
    <x v="1"/>
  </r>
  <r>
    <x v="310"/>
    <x v="101"/>
    <x v="3"/>
    <x v="3"/>
    <d v="1905-07-16T00:00:00"/>
    <s v="SoLAR leD lAnTern"/>
    <s v="Solar Led Lantern"/>
    <x v="2"/>
    <s v="LIGHTING"/>
    <n v="8"/>
    <n v="40"/>
    <n v="40"/>
    <n v="8.81"/>
    <n v="320"/>
    <n v="70.48"/>
    <n v="249.51999999999998"/>
    <n v="0.77974999999999994"/>
    <s v="C0135"/>
    <x v="8"/>
    <x v="8"/>
    <x v="1"/>
    <x v="7"/>
  </r>
  <r>
    <x v="311"/>
    <x v="102"/>
    <x v="3"/>
    <x v="3"/>
    <d v="1905-07-16T00:00:00"/>
    <s v="SoLAR leD lAnTern"/>
    <s v="Solar Led Lantern"/>
    <x v="2"/>
    <s v="LIGHTING"/>
    <n v="5"/>
    <n v="40"/>
    <n v="40"/>
    <n v="15.08"/>
    <n v="200"/>
    <n v="75.400000000000006"/>
    <n v="124.6"/>
    <n v="0.623"/>
    <s v="C0185"/>
    <x v="55"/>
    <x v="55"/>
    <x v="0"/>
    <x v="0"/>
  </r>
  <r>
    <x v="312"/>
    <x v="102"/>
    <x v="3"/>
    <x v="3"/>
    <d v="1905-07-16T00:00:00"/>
    <s v="SoLAR leD lAnTern"/>
    <s v="Solar Led Lantern"/>
    <x v="2"/>
    <s v="LIGHTING"/>
    <n v="8"/>
    <n v="40"/>
    <n v="40"/>
    <n v="11.5"/>
    <n v="320"/>
    <n v="92"/>
    <n v="228"/>
    <n v="0.71250000000000002"/>
    <s v="C0065"/>
    <x v="48"/>
    <x v="48"/>
    <x v="3"/>
    <x v="8"/>
  </r>
  <r>
    <x v="313"/>
    <x v="102"/>
    <x v="3"/>
    <x v="3"/>
    <d v="1905-07-16T00:00:00"/>
    <s v="bIOdegradABlE cLEaNINg cLoTH"/>
    <s v="Biodegradable Cleaning Cloth"/>
    <x v="0"/>
    <s v="CLEANING"/>
    <n v="9"/>
    <n v="10"/>
    <n v="10"/>
    <n v="2.65"/>
    <n v="90"/>
    <n v="23.849999999999998"/>
    <n v="66.150000000000006"/>
    <n v="0.7350000000000001"/>
    <s v="C0103"/>
    <x v="3"/>
    <x v="3"/>
    <x v="1"/>
    <x v="6"/>
  </r>
  <r>
    <x v="314"/>
    <x v="103"/>
    <x v="3"/>
    <x v="3"/>
    <d v="1905-07-16T00:00:00"/>
    <s v="bIOdegradABlE cLEaNINg cLoTH"/>
    <s v="Biodegradable Cleaning Cloth"/>
    <x v="0"/>
    <s v="CLEANING"/>
    <n v="2"/>
    <n v="10"/>
    <n v="10"/>
    <n v="3.22"/>
    <n v="20"/>
    <n v="6.44"/>
    <n v="13.559999999999999"/>
    <n v="0.67799999999999994"/>
    <s v="C0130"/>
    <x v="48"/>
    <x v="48"/>
    <x v="1"/>
    <x v="7"/>
  </r>
  <r>
    <x v="315"/>
    <x v="103"/>
    <x v="3"/>
    <x v="3"/>
    <d v="1905-07-16T00:00:00"/>
    <s v="ecO CANVAS TOTe Bag"/>
    <s v="Eco Canvas Tote Bag"/>
    <x v="1"/>
    <s v="BAGS"/>
    <n v="6"/>
    <n v="25"/>
    <n v="25"/>
    <n v="7.37"/>
    <n v="150"/>
    <n v="44.22"/>
    <n v="105.78"/>
    <n v="0.70520000000000005"/>
    <s v="C0181"/>
    <x v="26"/>
    <x v="26"/>
    <x v="0"/>
    <x v="1"/>
  </r>
  <r>
    <x v="316"/>
    <x v="104"/>
    <x v="3"/>
    <x v="3"/>
    <d v="1905-07-16T00:00:00"/>
    <s v="COMpOsTaBLe PlAnT POts"/>
    <s v="Compostable Plant Pots"/>
    <x v="4"/>
    <s v="GARDENING"/>
    <n v="5"/>
    <n v="12"/>
    <n v="12"/>
    <n v="2.5499999999999998"/>
    <n v="60"/>
    <n v="12.75"/>
    <n v="47.25"/>
    <n v="0.78749999999999998"/>
    <s v="C0076"/>
    <x v="2"/>
    <x v="2"/>
    <x v="0"/>
    <x v="0"/>
  </r>
  <r>
    <x v="317"/>
    <x v="104"/>
    <x v="3"/>
    <x v="3"/>
    <d v="1905-07-16T00:00:00"/>
    <s v="ecO CANVAS TOTe Bag"/>
    <s v="Eco Canvas Tote Bag"/>
    <x v="1"/>
    <s v="BAGS"/>
    <n v="4"/>
    <m/>
    <n v="25"/>
    <n v="6.2"/>
    <n v="100"/>
    <n v="24.8"/>
    <n v="75.2"/>
    <n v="0.752"/>
    <s v="C0126"/>
    <x v="90"/>
    <x v="90"/>
    <x v="0"/>
    <x v="1"/>
  </r>
  <r>
    <x v="318"/>
    <x v="104"/>
    <x v="3"/>
    <x v="3"/>
    <d v="1905-07-16T00:00:00"/>
    <s v="ecO CANVAS TOTe Bag"/>
    <s v="Eco Canvas Tote Bag"/>
    <x v="1"/>
    <s v="BAGS"/>
    <n v="4"/>
    <n v="25"/>
    <n v="25"/>
    <n v="7.53"/>
    <n v="100"/>
    <n v="30.12"/>
    <n v="69.88"/>
    <n v="0.69879999999999998"/>
    <s v="C0124"/>
    <x v="15"/>
    <x v="15"/>
    <x v="1"/>
    <x v="3"/>
  </r>
  <r>
    <x v="319"/>
    <x v="105"/>
    <x v="3"/>
    <x v="3"/>
    <d v="1905-07-16T00:00:00"/>
    <s v="ecO CANVAS TOTe Bag"/>
    <s v="Eco Canvas Tote Bag"/>
    <x v="1"/>
    <s v="BAGS"/>
    <n v="1"/>
    <n v="25"/>
    <n v="25"/>
    <n v="7.07"/>
    <n v="25"/>
    <n v="7.07"/>
    <n v="17.93"/>
    <n v="0.71719999999999995"/>
    <s v="C0004"/>
    <x v="94"/>
    <x v="94"/>
    <x v="3"/>
    <x v="7"/>
  </r>
  <r>
    <x v="320"/>
    <x v="106"/>
    <x v="3"/>
    <x v="3"/>
    <d v="1905-07-16T00:00:00"/>
    <s v="bIOdegradABlE cLEaNINg cLoTH"/>
    <s v="Biodegradable Cleaning Cloth"/>
    <x v="0"/>
    <s v="CLEANING"/>
    <n v="7"/>
    <n v="10"/>
    <n v="10"/>
    <n v="3.53"/>
    <n v="70"/>
    <n v="24.709999999999997"/>
    <n v="45.290000000000006"/>
    <n v="0.64700000000000013"/>
    <s v="C0151"/>
    <x v="24"/>
    <x v="24"/>
    <x v="1"/>
    <x v="7"/>
  </r>
  <r>
    <x v="321"/>
    <x v="106"/>
    <x v="3"/>
    <x v="3"/>
    <d v="1905-07-16T00:00:00"/>
    <s v="SoLAR leD lAnTern"/>
    <s v="Solar Led Lantern"/>
    <x v="2"/>
    <s v="LIGHTING"/>
    <n v="7"/>
    <n v="40"/>
    <n v="40"/>
    <n v="8.4"/>
    <n v="280"/>
    <n v="58.800000000000004"/>
    <n v="221.2"/>
    <n v="0.78999999999999992"/>
    <s v="C0147"/>
    <x v="30"/>
    <x v="30"/>
    <x v="1"/>
    <x v="0"/>
  </r>
  <r>
    <x v="322"/>
    <x v="106"/>
    <x v="3"/>
    <x v="3"/>
    <d v="1905-07-16T00:00:00"/>
    <s v="COMpOsTaBLe PlAnT POts"/>
    <s v="Compostable Plant Pots"/>
    <x v="4"/>
    <s v="GARDENING"/>
    <n v="7"/>
    <n v="12"/>
    <n v="12"/>
    <n v="4.59"/>
    <n v="84"/>
    <n v="32.129999999999995"/>
    <n v="51.870000000000005"/>
    <n v="0.61750000000000005"/>
    <s v="C0167"/>
    <x v="23"/>
    <x v="23"/>
    <x v="1"/>
    <x v="9"/>
  </r>
  <r>
    <x v="323"/>
    <x v="107"/>
    <x v="3"/>
    <x v="3"/>
    <d v="1905-07-16T00:00:00"/>
    <s v="COMpOsTaBLe PlAnT POts"/>
    <s v="Compostable Plant Pots"/>
    <x v="4"/>
    <s v="GARDENING"/>
    <n v="9"/>
    <n v="12"/>
    <n v="12"/>
    <n v="3.18"/>
    <n v="108"/>
    <n v="28.62"/>
    <n v="79.38"/>
    <n v="0.73499999999999999"/>
    <s v="C0096"/>
    <x v="82"/>
    <x v="82"/>
    <x v="1"/>
    <x v="4"/>
  </r>
  <r>
    <x v="324"/>
    <x v="107"/>
    <x v="3"/>
    <x v="3"/>
    <d v="1905-07-16T00:00:00"/>
    <s v="bIOdegradABlE cLEaNINg cLoTH"/>
    <s v="Biodegradable Cleaning Cloth"/>
    <x v="0"/>
    <s v="CLEANING"/>
    <n v="8"/>
    <m/>
    <n v="10"/>
    <n v="2.5499999999999998"/>
    <n v="80"/>
    <n v="20.399999999999999"/>
    <n v="59.6"/>
    <n v="0.745"/>
    <s v="C0031"/>
    <x v="61"/>
    <x v="61"/>
    <x v="0"/>
    <x v="5"/>
  </r>
  <r>
    <x v="325"/>
    <x v="107"/>
    <x v="3"/>
    <x v="3"/>
    <d v="1905-07-16T00:00:00"/>
    <s v="ecO CANVAS TOTe Bag"/>
    <s v="Eco Canvas Tote Bag"/>
    <x v="1"/>
    <s v="BAGS"/>
    <n v="1"/>
    <n v="25"/>
    <n v="25"/>
    <n v="6.87"/>
    <n v="25"/>
    <n v="6.87"/>
    <n v="18.13"/>
    <n v="0.72519999999999996"/>
    <s v="C0087"/>
    <x v="49"/>
    <x v="49"/>
    <x v="1"/>
    <x v="4"/>
  </r>
  <r>
    <x v="326"/>
    <x v="108"/>
    <x v="3"/>
    <x v="3"/>
    <d v="1905-07-16T00:00:00"/>
    <s v="SoLAR leD lAnTern"/>
    <s v="Solar Led Lantern"/>
    <x v="2"/>
    <s v="LIGHTING"/>
    <n v="2"/>
    <n v="40"/>
    <n v="40"/>
    <n v="14.17"/>
    <n v="80"/>
    <n v="28.34"/>
    <n v="51.66"/>
    <n v="0.64574999999999994"/>
    <s v="C0093"/>
    <x v="76"/>
    <x v="76"/>
    <x v="1"/>
    <x v="1"/>
  </r>
  <r>
    <x v="327"/>
    <x v="108"/>
    <x v="3"/>
    <x v="3"/>
    <d v="1905-07-16T00:00:00"/>
    <s v="ecO CANVAS TOTe Bag"/>
    <s v="Eco Canvas Tote Bag"/>
    <x v="1"/>
    <s v="BAGS"/>
    <n v="4"/>
    <n v="25"/>
    <n v="25"/>
    <n v="6.54"/>
    <n v="100"/>
    <n v="26.16"/>
    <n v="73.84"/>
    <n v="0.73840000000000006"/>
    <s v="C0025"/>
    <x v="58"/>
    <x v="58"/>
    <x v="3"/>
    <x v="9"/>
  </r>
  <r>
    <x v="328"/>
    <x v="108"/>
    <x v="3"/>
    <x v="3"/>
    <d v="1905-07-16T00:00:00"/>
    <s v="SoLAR leD lAnTern"/>
    <s v="Solar Led Lantern"/>
    <x v="2"/>
    <s v="LIGHTING"/>
    <n v="9"/>
    <n v="40"/>
    <n v="40"/>
    <n v="13.64"/>
    <n v="360"/>
    <n v="122.76"/>
    <n v="237.24"/>
    <n v="0.65900000000000003"/>
    <s v="C0078"/>
    <x v="35"/>
    <x v="35"/>
    <x v="1"/>
    <x v="3"/>
  </r>
  <r>
    <x v="329"/>
    <x v="109"/>
    <x v="3"/>
    <x v="3"/>
    <d v="1905-07-16T00:00:00"/>
    <s v="ecO CANVAS TOTe Bag"/>
    <s v="Eco Canvas Tote Bag"/>
    <x v="1"/>
    <s v="BAGS"/>
    <n v="3"/>
    <n v="25"/>
    <n v="25"/>
    <n v="9.17"/>
    <n v="75"/>
    <n v="27.509999999999998"/>
    <n v="47.49"/>
    <n v="0.63319999999999999"/>
    <s v="C0050"/>
    <x v="74"/>
    <x v="74"/>
    <x v="0"/>
    <x v="1"/>
  </r>
  <r>
    <x v="330"/>
    <x v="109"/>
    <x v="3"/>
    <x v="3"/>
    <d v="1905-07-16T00:00:00"/>
    <s v="ecO CANVAS TOTe Bag"/>
    <s v="Eco Canvas Tote Bag"/>
    <x v="1"/>
    <s v="BAGS"/>
    <n v="9"/>
    <n v="25"/>
    <n v="25"/>
    <n v="7.13"/>
    <n v="225"/>
    <n v="64.17"/>
    <n v="160.82999999999998"/>
    <n v="0.71479999999999988"/>
    <s v="C0120"/>
    <x v="55"/>
    <x v="55"/>
    <x v="1"/>
    <x v="7"/>
  </r>
  <r>
    <x v="331"/>
    <x v="109"/>
    <x v="3"/>
    <x v="3"/>
    <d v="1905-07-16T00:00:00"/>
    <s v="REUsABle bAMboO uTeNSIL sEt"/>
    <s v="Reusable Bamboo Utensil Set"/>
    <x v="3"/>
    <s v="KITCHENWARE"/>
    <n v="5"/>
    <n v="15"/>
    <n v="15"/>
    <n v="4.1100000000000003"/>
    <n v="75"/>
    <n v="20.55"/>
    <n v="54.45"/>
    <n v="0.72600000000000009"/>
    <s v="C0018"/>
    <x v="62"/>
    <x v="62"/>
    <x v="1"/>
    <x v="4"/>
  </r>
  <r>
    <x v="332"/>
    <x v="109"/>
    <x v="3"/>
    <x v="3"/>
    <d v="1905-07-16T00:00:00"/>
    <s v="ecO CANVAS TOTe Bag"/>
    <s v="Eco Canvas Tote Bag"/>
    <x v="1"/>
    <s v="BAGS"/>
    <n v="5"/>
    <n v="25"/>
    <n v="25"/>
    <n v="8.42"/>
    <n v="125"/>
    <n v="42.1"/>
    <n v="82.9"/>
    <n v="0.66320000000000001"/>
    <s v="C0165"/>
    <x v="8"/>
    <x v="8"/>
    <x v="1"/>
    <x v="6"/>
  </r>
  <r>
    <x v="333"/>
    <x v="110"/>
    <x v="3"/>
    <x v="3"/>
    <d v="1905-07-16T00:00:00"/>
    <s v="COMpOsTaBLe PlAnT POts"/>
    <s v="Compostable Plant Pots"/>
    <x v="4"/>
    <s v="GARDENING"/>
    <n v="5"/>
    <n v="12"/>
    <n v="12"/>
    <n v="3.23"/>
    <n v="60"/>
    <n v="16.149999999999999"/>
    <n v="43.85"/>
    <n v="0.73083333333333333"/>
    <s v="C0172"/>
    <x v="103"/>
    <x v="103"/>
    <x v="1"/>
    <x v="1"/>
  </r>
  <r>
    <x v="334"/>
    <x v="110"/>
    <x v="3"/>
    <x v="3"/>
    <d v="1905-07-16T00:00:00"/>
    <s v="COMpOsTaBLe PlAnT POts"/>
    <s v="Compostable Plant Pots"/>
    <x v="4"/>
    <s v="GARDENING"/>
    <n v="3"/>
    <n v="12"/>
    <n v="12"/>
    <n v="2.87"/>
    <n v="36"/>
    <n v="8.61"/>
    <n v="27.39"/>
    <n v="0.76083333333333336"/>
    <s v="C0148"/>
    <x v="48"/>
    <x v="48"/>
    <x v="1"/>
    <x v="5"/>
  </r>
  <r>
    <x v="335"/>
    <x v="110"/>
    <x v="3"/>
    <x v="3"/>
    <d v="1905-07-16T00:00:00"/>
    <s v="SoLAR leD lAnTern"/>
    <s v="Solar Led Lantern"/>
    <x v="2"/>
    <s v="LIGHTING"/>
    <n v="9"/>
    <n v="40"/>
    <n v="40"/>
    <n v="12.44"/>
    <n v="360"/>
    <n v="111.96"/>
    <n v="248.04000000000002"/>
    <n v="0.68900000000000006"/>
    <s v="C0067"/>
    <x v="52"/>
    <x v="52"/>
    <x v="1"/>
    <x v="5"/>
  </r>
  <r>
    <x v="336"/>
    <x v="111"/>
    <x v="3"/>
    <x v="3"/>
    <d v="1905-07-16T00:00:00"/>
    <s v="COMpOsTaBLe PlAnT POts"/>
    <s v="Compostable Plant Pots"/>
    <x v="4"/>
    <s v="GARDENING"/>
    <n v="1"/>
    <n v="12"/>
    <n v="12"/>
    <n v="2.86"/>
    <n v="12"/>
    <n v="2.86"/>
    <n v="9.14"/>
    <n v="0.76166666666666671"/>
    <s v="C0100"/>
    <x v="52"/>
    <x v="52"/>
    <x v="2"/>
    <x v="7"/>
  </r>
  <r>
    <x v="337"/>
    <x v="112"/>
    <x v="3"/>
    <x v="3"/>
    <d v="1905-07-16T00:00:00"/>
    <s v="bIOdegradABlE cLEaNINg cLoTH"/>
    <s v="Biodegradable Cleaning Cloth"/>
    <x v="0"/>
    <s v="CLEANING"/>
    <n v="2"/>
    <n v="10"/>
    <n v="10"/>
    <n v="3.23"/>
    <n v="20"/>
    <n v="6.46"/>
    <n v="13.54"/>
    <n v="0.67699999999999994"/>
    <s v="C0037"/>
    <x v="64"/>
    <x v="64"/>
    <x v="0"/>
    <x v="9"/>
  </r>
  <r>
    <x v="338"/>
    <x v="112"/>
    <x v="3"/>
    <x v="3"/>
    <d v="1905-07-16T00:00:00"/>
    <s v="SoLAR leD lAnTern"/>
    <s v="Solar Led Lantern"/>
    <x v="2"/>
    <s v="LIGHTING"/>
    <n v="6"/>
    <n v="40"/>
    <n v="40"/>
    <n v="13.49"/>
    <n v="240"/>
    <n v="80.94"/>
    <n v="159.06"/>
    <n v="0.66275000000000006"/>
    <s v="C0084"/>
    <x v="28"/>
    <x v="28"/>
    <x v="1"/>
    <x v="8"/>
  </r>
  <r>
    <x v="339"/>
    <x v="113"/>
    <x v="3"/>
    <x v="3"/>
    <d v="1905-07-16T00:00:00"/>
    <s v="REUsABle bAMboO uTeNSIL sEt"/>
    <s v="Reusable Bamboo Utensil Set"/>
    <x v="3"/>
    <s v="KITCHENWARE"/>
    <n v="8"/>
    <n v="15"/>
    <n v="15"/>
    <n v="3.88"/>
    <n v="120"/>
    <n v="31.04"/>
    <n v="88.960000000000008"/>
    <n v="0.7413333333333334"/>
    <s v="C0008"/>
    <x v="68"/>
    <x v="68"/>
    <x v="0"/>
    <x v="9"/>
  </r>
  <r>
    <x v="340"/>
    <x v="113"/>
    <x v="3"/>
    <x v="3"/>
    <d v="1905-07-16T00:00:00"/>
    <s v="ecO CANVAS TOTe Bag"/>
    <s v="Eco Canvas Tote Bag"/>
    <x v="1"/>
    <s v="BAGS"/>
    <n v="3"/>
    <n v="25"/>
    <n v="25"/>
    <n v="6.73"/>
    <n v="75"/>
    <n v="20.190000000000001"/>
    <n v="54.81"/>
    <n v="0.73080000000000001"/>
    <s v="C0162"/>
    <x v="4"/>
    <x v="4"/>
    <x v="1"/>
    <x v="0"/>
  </r>
  <r>
    <x v="341"/>
    <x v="113"/>
    <x v="3"/>
    <x v="3"/>
    <d v="1905-07-16T00:00:00"/>
    <s v="COMpOsTaBLe PlAnT POts"/>
    <s v="Compostable Plant Pots"/>
    <x v="4"/>
    <s v="GARDENING"/>
    <n v="3"/>
    <n v="12"/>
    <n v="12"/>
    <n v="4.47"/>
    <n v="36"/>
    <n v="13.41"/>
    <n v="22.59"/>
    <n v="0.62749999999999995"/>
    <s v="C0151"/>
    <x v="24"/>
    <x v="24"/>
    <x v="0"/>
    <x v="8"/>
  </r>
  <r>
    <x v="342"/>
    <x v="114"/>
    <x v="3"/>
    <x v="3"/>
    <d v="1905-07-16T00:00:00"/>
    <s v="COMpOsTaBLe PlAnT POts"/>
    <s v="Compostable Plant Pots"/>
    <x v="4"/>
    <s v="GARDENING"/>
    <n v="6"/>
    <n v="12"/>
    <n v="12"/>
    <n v="3.76"/>
    <n v="72"/>
    <n v="22.56"/>
    <n v="49.44"/>
    <n v="0.68666666666666665"/>
    <s v="C0045"/>
    <x v="51"/>
    <x v="51"/>
    <x v="2"/>
    <x v="2"/>
  </r>
  <r>
    <x v="343"/>
    <x v="114"/>
    <x v="3"/>
    <x v="3"/>
    <d v="1905-07-16T00:00:00"/>
    <s v="COMpOsTaBLe PlAnT POts"/>
    <s v="Compostable Plant Pots"/>
    <x v="4"/>
    <s v="GARDENING"/>
    <n v="10"/>
    <n v="12"/>
    <n v="12"/>
    <n v="4.42"/>
    <n v="120"/>
    <n v="44.2"/>
    <n v="75.8"/>
    <n v="0.6316666666666666"/>
    <s v="C0021"/>
    <x v="37"/>
    <x v="37"/>
    <x v="1"/>
    <x v="3"/>
  </r>
  <r>
    <x v="344"/>
    <x v="114"/>
    <x v="3"/>
    <x v="3"/>
    <d v="1905-07-16T00:00:00"/>
    <s v="bIOdegradABlE cLEaNINg cLoTH"/>
    <s v="Biodegradable Cleaning Cloth"/>
    <x v="0"/>
    <s v="CLEANING"/>
    <n v="7"/>
    <n v="10"/>
    <n v="10"/>
    <n v="2.29"/>
    <n v="70"/>
    <n v="16.03"/>
    <n v="53.97"/>
    <n v="0.77100000000000002"/>
    <s v="C0024"/>
    <x v="104"/>
    <x v="104"/>
    <x v="0"/>
    <x v="1"/>
  </r>
  <r>
    <x v="345"/>
    <x v="115"/>
    <x v="3"/>
    <x v="3"/>
    <d v="1905-07-16T00:00:00"/>
    <s v="REUsABle bAMboO uTeNSIL sEt"/>
    <s v="Reusable Bamboo Utensil Set"/>
    <x v="3"/>
    <s v="KITCHENWARE"/>
    <n v="6"/>
    <n v="15"/>
    <n v="15"/>
    <n v="5.4"/>
    <n v="90"/>
    <n v="32.400000000000006"/>
    <n v="57.599999999999994"/>
    <n v="0.6399999999999999"/>
    <s v="C0042"/>
    <x v="71"/>
    <x v="71"/>
    <x v="1"/>
    <x v="6"/>
  </r>
  <r>
    <x v="346"/>
    <x v="115"/>
    <x v="3"/>
    <x v="3"/>
    <d v="1905-07-16T00:00:00"/>
    <s v="SoLAR leD lAnTern"/>
    <s v="Solar Led Lantern"/>
    <x v="2"/>
    <s v="LIGHTING"/>
    <n v="7"/>
    <n v="40"/>
    <n v="40"/>
    <n v="9.5"/>
    <n v="280"/>
    <n v="66.5"/>
    <n v="213.5"/>
    <n v="0.76249999999999996"/>
    <s v="C0037"/>
    <x v="64"/>
    <x v="64"/>
    <x v="3"/>
    <x v="3"/>
  </r>
  <r>
    <x v="347"/>
    <x v="115"/>
    <x v="3"/>
    <x v="3"/>
    <d v="1905-07-16T00:00:00"/>
    <s v="SoLAR leD lAnTern"/>
    <s v="Solar Led Lantern"/>
    <x v="2"/>
    <s v="LIGHTING"/>
    <n v="7"/>
    <n v="40"/>
    <n v="40"/>
    <n v="13.33"/>
    <n v="280"/>
    <n v="93.31"/>
    <n v="186.69"/>
    <n v="0.66674999999999995"/>
    <s v="C0156"/>
    <x v="18"/>
    <x v="18"/>
    <x v="0"/>
    <x v="6"/>
  </r>
  <r>
    <x v="348"/>
    <x v="115"/>
    <x v="3"/>
    <x v="3"/>
    <d v="1905-07-16T00:00:00"/>
    <s v="SoLAR leD lAnTern"/>
    <s v="Solar Led Lantern"/>
    <x v="2"/>
    <s v="LIGHTING"/>
    <n v="9"/>
    <n v="40"/>
    <n v="40"/>
    <n v="15.98"/>
    <n v="360"/>
    <n v="143.82"/>
    <n v="216.18"/>
    <n v="0.60050000000000003"/>
    <s v="C0155"/>
    <x v="89"/>
    <x v="89"/>
    <x v="2"/>
    <x v="7"/>
  </r>
  <r>
    <x v="349"/>
    <x v="115"/>
    <x v="3"/>
    <x v="3"/>
    <d v="1905-07-16T00:00:00"/>
    <s v="ecO CANVAS TOTe Bag"/>
    <s v="Eco Canvas Tote Bag"/>
    <x v="1"/>
    <s v="BAGS"/>
    <n v="3"/>
    <n v="25"/>
    <n v="25"/>
    <n v="8.76"/>
    <n v="75"/>
    <n v="26.28"/>
    <n v="48.72"/>
    <n v="0.64959999999999996"/>
    <s v="C0002"/>
    <x v="43"/>
    <x v="43"/>
    <x v="0"/>
    <x v="4"/>
  </r>
  <r>
    <x v="350"/>
    <x v="115"/>
    <x v="3"/>
    <x v="3"/>
    <d v="1905-07-16T00:00:00"/>
    <s v="ecO CANVAS TOTe Bag"/>
    <s v="Eco Canvas Tote Bag"/>
    <x v="1"/>
    <s v="BAGS"/>
    <n v="2"/>
    <n v="25"/>
    <n v="25"/>
    <n v="7.85"/>
    <n v="50"/>
    <n v="15.7"/>
    <n v="34.299999999999997"/>
    <n v="0.68599999999999994"/>
    <s v="C0043"/>
    <x v="31"/>
    <x v="31"/>
    <x v="1"/>
    <x v="5"/>
  </r>
  <r>
    <x v="351"/>
    <x v="116"/>
    <x v="3"/>
    <x v="3"/>
    <d v="1905-07-16T00:00:00"/>
    <s v="REUsABle bAMboO uTeNSIL sEt"/>
    <s v="Reusable Bamboo Utensil Set"/>
    <x v="3"/>
    <s v="KITCHENWARE"/>
    <n v="10"/>
    <n v="15"/>
    <n v="15"/>
    <n v="3.96"/>
    <n v="150"/>
    <n v="39.6"/>
    <n v="110.4"/>
    <n v="0.73599999999999999"/>
    <s v="C0055"/>
    <x v="91"/>
    <x v="91"/>
    <x v="1"/>
    <x v="1"/>
  </r>
  <r>
    <x v="352"/>
    <x v="116"/>
    <x v="3"/>
    <x v="3"/>
    <d v="1905-07-16T00:00:00"/>
    <s v="SoLAR leD lAnTern"/>
    <s v="Solar Led Lantern"/>
    <x v="2"/>
    <s v="LIGHTING"/>
    <n v="3"/>
    <n v="40"/>
    <n v="40"/>
    <n v="12.56"/>
    <n v="120"/>
    <n v="37.68"/>
    <n v="82.32"/>
    <n v="0.68599999999999994"/>
    <s v="C0059"/>
    <x v="31"/>
    <x v="31"/>
    <x v="1"/>
    <x v="6"/>
  </r>
  <r>
    <x v="353"/>
    <x v="116"/>
    <x v="3"/>
    <x v="3"/>
    <d v="1905-07-16T00:00:00"/>
    <s v="bIOdegradABlE cLEaNINg cLoTH"/>
    <s v="Biodegradable Cleaning Cloth"/>
    <x v="0"/>
    <s v="CLEANING"/>
    <n v="5"/>
    <n v="10"/>
    <n v="10"/>
    <n v="2.34"/>
    <n v="50"/>
    <n v="11.7"/>
    <n v="38.299999999999997"/>
    <n v="0.7659999999999999"/>
    <s v="C0100"/>
    <x v="52"/>
    <x v="52"/>
    <x v="1"/>
    <x v="2"/>
  </r>
  <r>
    <x v="354"/>
    <x v="117"/>
    <x v="3"/>
    <x v="3"/>
    <d v="1905-07-16T00:00:00"/>
    <s v="SoLAR leD lAnTern"/>
    <s v="Solar Led Lantern"/>
    <x v="2"/>
    <s v="LIGHTING"/>
    <n v="5"/>
    <n v="40"/>
    <n v="40"/>
    <n v="15.01"/>
    <n v="200"/>
    <n v="75.05"/>
    <n v="124.95"/>
    <n v="0.62475000000000003"/>
    <s v="C0059"/>
    <x v="31"/>
    <x v="31"/>
    <x v="3"/>
    <x v="9"/>
  </r>
  <r>
    <x v="355"/>
    <x v="117"/>
    <x v="3"/>
    <x v="3"/>
    <d v="1905-07-16T00:00:00"/>
    <s v="ecO CANVAS TOTe Bag"/>
    <s v="Eco Canvas Tote Bag"/>
    <x v="1"/>
    <s v="BAGS"/>
    <n v="3"/>
    <n v="25"/>
    <n v="25"/>
    <n v="5.86"/>
    <n v="75"/>
    <n v="17.580000000000002"/>
    <n v="57.42"/>
    <n v="0.76560000000000006"/>
    <s v="C0190"/>
    <x v="39"/>
    <x v="39"/>
    <x v="1"/>
    <x v="4"/>
  </r>
  <r>
    <x v="356"/>
    <x v="117"/>
    <x v="3"/>
    <x v="3"/>
    <d v="1905-07-16T00:00:00"/>
    <s v="SoLAR leD lAnTern"/>
    <s v="Solar Led Lantern"/>
    <x v="2"/>
    <s v="LIGHTING"/>
    <n v="10"/>
    <n v="40"/>
    <n v="40"/>
    <n v="12.59"/>
    <n v="400"/>
    <n v="125.9"/>
    <n v="274.10000000000002"/>
    <n v="0.68525000000000003"/>
    <s v="C0051"/>
    <x v="16"/>
    <x v="16"/>
    <x v="1"/>
    <x v="3"/>
  </r>
  <r>
    <x v="357"/>
    <x v="118"/>
    <x v="4"/>
    <x v="4"/>
    <d v="1905-07-16T00:00:00"/>
    <s v="ecO CANVAS TOTe Bag"/>
    <s v="Eco Canvas Tote Bag"/>
    <x v="1"/>
    <s v="BAGS"/>
    <n v="2"/>
    <n v="25"/>
    <n v="25"/>
    <n v="8.5500000000000007"/>
    <n v="50"/>
    <n v="17.100000000000001"/>
    <n v="32.9"/>
    <n v="0.65799999999999992"/>
    <s v="C0118"/>
    <x v="105"/>
    <x v="105"/>
    <x v="0"/>
    <x v="8"/>
  </r>
  <r>
    <x v="358"/>
    <x v="118"/>
    <x v="4"/>
    <x v="4"/>
    <d v="1905-07-16T00:00:00"/>
    <s v="COMpOsTaBLe PlAnT POts"/>
    <s v="Compostable Plant Pots"/>
    <x v="4"/>
    <s v="GARDENING"/>
    <n v="1"/>
    <n v="12"/>
    <n v="12"/>
    <n v="3"/>
    <n v="12"/>
    <n v="3"/>
    <n v="9"/>
    <n v="0.75"/>
    <s v="C0046"/>
    <x v="106"/>
    <x v="106"/>
    <x v="1"/>
    <x v="4"/>
  </r>
  <r>
    <x v="359"/>
    <x v="118"/>
    <x v="4"/>
    <x v="4"/>
    <d v="1905-07-16T00:00:00"/>
    <s v="bIOdegradABlE cLEaNINg cLoTH"/>
    <s v="Biodegradable Cleaning Cloth"/>
    <x v="0"/>
    <s v="CLEANING"/>
    <n v="7"/>
    <n v="10"/>
    <n v="10"/>
    <n v="3.06"/>
    <n v="70"/>
    <n v="21.42"/>
    <n v="48.58"/>
    <n v="0.69399999999999995"/>
    <s v="C0129"/>
    <x v="107"/>
    <x v="107"/>
    <x v="1"/>
    <x v="8"/>
  </r>
  <r>
    <x v="360"/>
    <x v="118"/>
    <x v="4"/>
    <x v="4"/>
    <d v="1905-07-16T00:00:00"/>
    <s v="SoLAR leD lAnTern"/>
    <s v="Solar Led Lantern"/>
    <x v="2"/>
    <s v="LIGHTING"/>
    <n v="9"/>
    <n v="40"/>
    <n v="40"/>
    <n v="9.19"/>
    <n v="360"/>
    <n v="82.71"/>
    <n v="277.29000000000002"/>
    <n v="0.7702500000000001"/>
    <s v="C0026"/>
    <x v="108"/>
    <x v="108"/>
    <x v="0"/>
    <x v="0"/>
  </r>
  <r>
    <x v="361"/>
    <x v="119"/>
    <x v="4"/>
    <x v="4"/>
    <d v="1905-07-16T00:00:00"/>
    <s v="SoLAR leD lAnTern"/>
    <s v="Solar Led Lantern"/>
    <x v="2"/>
    <s v="LIGHTING"/>
    <n v="4"/>
    <n v="40"/>
    <n v="40"/>
    <n v="13.33"/>
    <n v="160"/>
    <n v="53.32"/>
    <n v="106.68"/>
    <n v="0.66675000000000006"/>
    <s v="C0027"/>
    <x v="73"/>
    <x v="73"/>
    <x v="2"/>
    <x v="8"/>
  </r>
  <r>
    <x v="362"/>
    <x v="119"/>
    <x v="4"/>
    <x v="4"/>
    <d v="1905-07-16T00:00:00"/>
    <s v="SoLAR leD lAnTern"/>
    <s v="Solar Led Lantern"/>
    <x v="2"/>
    <s v="LIGHTING"/>
    <n v="1"/>
    <n v="40"/>
    <n v="40"/>
    <n v="9.2200000000000006"/>
    <n v="40"/>
    <n v="9.2200000000000006"/>
    <n v="30.78"/>
    <n v="0.76950000000000007"/>
    <s v="C0075"/>
    <x v="71"/>
    <x v="71"/>
    <x v="1"/>
    <x v="3"/>
  </r>
  <r>
    <x v="363"/>
    <x v="119"/>
    <x v="4"/>
    <x v="4"/>
    <d v="1905-07-16T00:00:00"/>
    <s v="ecO CANVAS TOTe Bag"/>
    <s v="Eco Canvas Tote Bag"/>
    <x v="1"/>
    <s v="BAGS"/>
    <n v="7"/>
    <n v="25"/>
    <n v="25"/>
    <n v="7.3"/>
    <n v="175"/>
    <n v="51.1"/>
    <n v="123.9"/>
    <n v="0.70800000000000007"/>
    <s v="C0043"/>
    <x v="31"/>
    <x v="31"/>
    <x v="1"/>
    <x v="3"/>
  </r>
  <r>
    <x v="364"/>
    <x v="119"/>
    <x v="4"/>
    <x v="4"/>
    <d v="1905-07-16T00:00:00"/>
    <s v="REUsABle bAMboO uTeNSIL sEt"/>
    <s v="Reusable Bamboo Utensil Set"/>
    <x v="3"/>
    <s v="KITCHENWARE"/>
    <n v="4"/>
    <n v="15"/>
    <n v="15"/>
    <n v="3.43"/>
    <n v="60"/>
    <n v="13.72"/>
    <n v="46.28"/>
    <n v="0.77133333333333332"/>
    <s v="C0043"/>
    <x v="31"/>
    <x v="31"/>
    <x v="1"/>
    <x v="7"/>
  </r>
  <r>
    <x v="365"/>
    <x v="119"/>
    <x v="4"/>
    <x v="4"/>
    <d v="1905-07-16T00:00:00"/>
    <s v="COMpOsTaBLe PlAnT POts"/>
    <s v="Compostable Plant Pots"/>
    <x v="4"/>
    <s v="GARDENING"/>
    <n v="5"/>
    <n v="12"/>
    <n v="12"/>
    <n v="3.51"/>
    <n v="60"/>
    <n v="17.549999999999997"/>
    <n v="42.45"/>
    <n v="0.70750000000000002"/>
    <s v="C0103"/>
    <x v="3"/>
    <x v="3"/>
    <x v="3"/>
    <x v="7"/>
  </r>
  <r>
    <x v="366"/>
    <x v="119"/>
    <x v="4"/>
    <x v="4"/>
    <d v="1905-07-16T00:00:00"/>
    <s v="REUsABle bAMboO uTeNSIL sEt"/>
    <s v="Reusable Bamboo Utensil Set"/>
    <x v="3"/>
    <s v="KITCHENWARE"/>
    <n v="8"/>
    <m/>
    <n v="15"/>
    <n v="4.95"/>
    <n v="120"/>
    <n v="39.6"/>
    <n v="80.400000000000006"/>
    <n v="0.67"/>
    <s v="C0104"/>
    <x v="21"/>
    <x v="21"/>
    <x v="1"/>
    <x v="9"/>
  </r>
  <r>
    <x v="367"/>
    <x v="120"/>
    <x v="4"/>
    <x v="4"/>
    <d v="1905-07-16T00:00:00"/>
    <s v="REUsABle bAMboO uTeNSIL sEt"/>
    <s v="Reusable Bamboo Utensil Set"/>
    <x v="3"/>
    <s v="KITCHENWARE"/>
    <n v="1"/>
    <n v="15"/>
    <n v="15"/>
    <n v="4"/>
    <n v="15"/>
    <n v="4"/>
    <n v="11"/>
    <n v="0.73333333333333328"/>
    <s v="C0023"/>
    <x v="63"/>
    <x v="63"/>
    <x v="3"/>
    <x v="5"/>
  </r>
  <r>
    <x v="368"/>
    <x v="120"/>
    <x v="4"/>
    <x v="4"/>
    <d v="1905-07-16T00:00:00"/>
    <s v="ecO CANVAS TOTe Bag"/>
    <s v="Eco Canvas Tote Bag"/>
    <x v="1"/>
    <s v="BAGS"/>
    <n v="3"/>
    <n v="25"/>
    <n v="25"/>
    <n v="5.04"/>
    <n v="75"/>
    <n v="15.120000000000001"/>
    <n v="59.879999999999995"/>
    <n v="0.79839999999999989"/>
    <s v="C0118"/>
    <x v="105"/>
    <x v="105"/>
    <x v="0"/>
    <x v="5"/>
  </r>
  <r>
    <x v="369"/>
    <x v="120"/>
    <x v="4"/>
    <x v="4"/>
    <d v="1905-07-16T00:00:00"/>
    <s v="COMpOsTaBLe PlAnT POts"/>
    <s v="Compostable Plant Pots"/>
    <x v="4"/>
    <s v="GARDENING"/>
    <n v="3"/>
    <n v="12"/>
    <n v="12"/>
    <n v="4.1399999999999997"/>
    <n v="36"/>
    <n v="12.419999999999998"/>
    <n v="23.580000000000002"/>
    <n v="0.65500000000000003"/>
    <s v="C0142"/>
    <x v="102"/>
    <x v="102"/>
    <x v="0"/>
    <x v="6"/>
  </r>
  <r>
    <x v="370"/>
    <x v="121"/>
    <x v="4"/>
    <x v="4"/>
    <d v="1905-07-16T00:00:00"/>
    <s v="ecO CANVAS TOTe Bag"/>
    <s v="Eco Canvas Tote Bag"/>
    <x v="1"/>
    <s v="BAGS"/>
    <n v="2"/>
    <n v="25"/>
    <n v="25"/>
    <n v="9.6199999999999992"/>
    <n v="50"/>
    <n v="19.239999999999998"/>
    <n v="30.76"/>
    <n v="0.61520000000000008"/>
    <s v="C0049"/>
    <x v="74"/>
    <x v="74"/>
    <x v="0"/>
    <x v="4"/>
  </r>
  <r>
    <x v="371"/>
    <x v="121"/>
    <x v="4"/>
    <x v="4"/>
    <d v="1905-07-16T00:00:00"/>
    <s v="SoLAR leD lAnTern"/>
    <s v="Solar Led Lantern"/>
    <x v="2"/>
    <s v="LIGHTING"/>
    <n v="6"/>
    <n v="40"/>
    <n v="40"/>
    <n v="15.42"/>
    <n v="240"/>
    <n v="92.52"/>
    <n v="147.48000000000002"/>
    <n v="0.61450000000000005"/>
    <s v="C0162"/>
    <x v="4"/>
    <x v="4"/>
    <x v="1"/>
    <x v="4"/>
  </r>
  <r>
    <x v="372"/>
    <x v="121"/>
    <x v="4"/>
    <x v="4"/>
    <d v="1905-07-16T00:00:00"/>
    <s v="bIOdegradABlE cLEaNINg cLoTH"/>
    <s v="Biodegradable Cleaning Cloth"/>
    <x v="0"/>
    <s v="CLEANING"/>
    <n v="9"/>
    <m/>
    <n v="10"/>
    <n v="3.13"/>
    <n v="90"/>
    <n v="28.169999999999998"/>
    <n v="61.83"/>
    <n v="0.68699999999999994"/>
    <s v="C0190"/>
    <x v="39"/>
    <x v="39"/>
    <x v="1"/>
    <x v="3"/>
  </r>
  <r>
    <x v="373"/>
    <x v="121"/>
    <x v="4"/>
    <x v="4"/>
    <d v="1905-07-16T00:00:00"/>
    <s v="REUsABle bAMboO uTeNSIL sEt"/>
    <s v="Reusable Bamboo Utensil Set"/>
    <x v="3"/>
    <s v="KITCHENWARE"/>
    <n v="10"/>
    <n v="15"/>
    <n v="15"/>
    <n v="4.9800000000000004"/>
    <n v="150"/>
    <n v="49.800000000000004"/>
    <n v="100.19999999999999"/>
    <n v="0.66799999999999993"/>
    <s v="C0103"/>
    <x v="3"/>
    <x v="3"/>
    <x v="1"/>
    <x v="3"/>
  </r>
  <r>
    <x v="374"/>
    <x v="122"/>
    <x v="4"/>
    <x v="4"/>
    <d v="1905-07-16T00:00:00"/>
    <s v="ecO CANVAS TOTe Bag"/>
    <s v="Eco Canvas Tote Bag"/>
    <x v="1"/>
    <s v="BAGS"/>
    <n v="2"/>
    <n v="25"/>
    <n v="25"/>
    <n v="9.25"/>
    <n v="50"/>
    <n v="18.5"/>
    <n v="31.5"/>
    <n v="0.63"/>
    <s v="C0162"/>
    <x v="4"/>
    <x v="4"/>
    <x v="3"/>
    <x v="1"/>
  </r>
  <r>
    <x v="375"/>
    <x v="123"/>
    <x v="4"/>
    <x v="4"/>
    <d v="1905-07-16T00:00:00"/>
    <s v="COMpOsTaBLe PlAnT POts"/>
    <s v="Compostable Plant Pots"/>
    <x v="4"/>
    <s v="GARDENING"/>
    <n v="4"/>
    <n v="12"/>
    <n v="12"/>
    <n v="4.3600000000000003"/>
    <n v="48"/>
    <n v="17.440000000000001"/>
    <n v="30.56"/>
    <n v="0.6366666666666666"/>
    <s v="C0189"/>
    <x v="42"/>
    <x v="42"/>
    <x v="3"/>
    <x v="3"/>
  </r>
  <r>
    <x v="376"/>
    <x v="123"/>
    <x v="4"/>
    <x v="4"/>
    <d v="1905-07-16T00:00:00"/>
    <s v="ecO CANVAS TOTe Bag"/>
    <s v="Eco Canvas Tote Bag"/>
    <x v="1"/>
    <s v="BAGS"/>
    <n v="7"/>
    <n v="25"/>
    <n v="25"/>
    <n v="5.6"/>
    <n v="175"/>
    <n v="39.199999999999996"/>
    <n v="135.80000000000001"/>
    <n v="0.77600000000000002"/>
    <s v="C0198"/>
    <x v="109"/>
    <x v="109"/>
    <x v="0"/>
    <x v="1"/>
  </r>
  <r>
    <x v="377"/>
    <x v="123"/>
    <x v="4"/>
    <x v="4"/>
    <d v="1905-07-16T00:00:00"/>
    <s v="SoLAR leD lAnTern"/>
    <s v="Solar Led Lantern"/>
    <x v="2"/>
    <s v="LIGHTING"/>
    <n v="5"/>
    <n v="40"/>
    <n v="40"/>
    <n v="13.32"/>
    <n v="200"/>
    <n v="66.599999999999994"/>
    <n v="133.4"/>
    <n v="0.66700000000000004"/>
    <s v="C0018"/>
    <x v="62"/>
    <x v="62"/>
    <x v="1"/>
    <x v="7"/>
  </r>
  <r>
    <x v="378"/>
    <x v="123"/>
    <x v="4"/>
    <x v="4"/>
    <d v="1905-07-16T00:00:00"/>
    <s v="COMpOsTaBLe PlAnT POts"/>
    <s v="Compostable Plant Pots"/>
    <x v="4"/>
    <s v="GARDENING"/>
    <n v="7"/>
    <n v="12"/>
    <n v="12"/>
    <n v="3.05"/>
    <n v="84"/>
    <n v="21.349999999999998"/>
    <n v="62.650000000000006"/>
    <n v="0.74583333333333335"/>
    <s v="C0131"/>
    <x v="69"/>
    <x v="69"/>
    <x v="1"/>
    <x v="2"/>
  </r>
  <r>
    <x v="379"/>
    <x v="124"/>
    <x v="4"/>
    <x v="4"/>
    <d v="1905-07-16T00:00:00"/>
    <s v="COMpOsTaBLe PlAnT POts"/>
    <s v="Compostable Plant Pots"/>
    <x v="4"/>
    <s v="GARDENING"/>
    <n v="8"/>
    <n v="12"/>
    <n v="12"/>
    <n v="4.37"/>
    <n v="96"/>
    <n v="34.96"/>
    <n v="61.04"/>
    <n v="0.63583333333333336"/>
    <s v="C0008"/>
    <x v="68"/>
    <x v="68"/>
    <x v="1"/>
    <x v="0"/>
  </r>
  <r>
    <x v="380"/>
    <x v="124"/>
    <x v="4"/>
    <x v="4"/>
    <d v="1905-07-16T00:00:00"/>
    <s v="SoLAR leD lAnTern"/>
    <s v="Solar Led Lantern"/>
    <x v="2"/>
    <s v="LIGHTING"/>
    <n v="2"/>
    <n v="40"/>
    <n v="40"/>
    <n v="13.53"/>
    <n v="80"/>
    <n v="27.06"/>
    <n v="52.94"/>
    <n v="0.66174999999999995"/>
    <s v="C0085"/>
    <x v="29"/>
    <x v="29"/>
    <x v="1"/>
    <x v="7"/>
  </r>
  <r>
    <x v="381"/>
    <x v="125"/>
    <x v="4"/>
    <x v="4"/>
    <d v="1905-07-16T00:00:00"/>
    <s v="SoLAR leD lAnTern"/>
    <s v="Solar Led Lantern"/>
    <x v="2"/>
    <s v="LIGHTING"/>
    <n v="6"/>
    <n v="40"/>
    <n v="40"/>
    <n v="13.84"/>
    <n v="240"/>
    <n v="83.039999999999992"/>
    <n v="156.96"/>
    <n v="0.65400000000000003"/>
    <s v="C0187"/>
    <x v="48"/>
    <x v="48"/>
    <x v="1"/>
    <x v="8"/>
  </r>
  <r>
    <x v="382"/>
    <x v="125"/>
    <x v="4"/>
    <x v="4"/>
    <d v="1905-07-16T00:00:00"/>
    <s v="bIOdegradABlE cLEaNINg cLoTH"/>
    <s v="Biodegradable Cleaning Cloth"/>
    <x v="0"/>
    <s v="CLEANING"/>
    <n v="8"/>
    <n v="10"/>
    <n v="10"/>
    <n v="2.94"/>
    <n v="80"/>
    <n v="23.52"/>
    <n v="56.480000000000004"/>
    <n v="0.70600000000000007"/>
    <s v="C0131"/>
    <x v="69"/>
    <x v="69"/>
    <x v="1"/>
    <x v="6"/>
  </r>
  <r>
    <x v="383"/>
    <x v="125"/>
    <x v="4"/>
    <x v="4"/>
    <d v="1905-07-16T00:00:00"/>
    <s v="bIOdegradABlE cLEaNINg cLoTH"/>
    <s v="Biodegradable Cleaning Cloth"/>
    <x v="0"/>
    <s v="CLEANING"/>
    <n v="9"/>
    <n v="10"/>
    <n v="10"/>
    <n v="2.81"/>
    <n v="90"/>
    <n v="25.29"/>
    <n v="64.710000000000008"/>
    <n v="0.71900000000000008"/>
    <s v="C0049"/>
    <x v="74"/>
    <x v="74"/>
    <x v="0"/>
    <x v="1"/>
  </r>
  <r>
    <x v="384"/>
    <x v="126"/>
    <x v="4"/>
    <x v="4"/>
    <d v="1905-07-16T00:00:00"/>
    <s v="REUsABle bAMboO uTeNSIL sEt"/>
    <s v="Reusable Bamboo Utensil Set"/>
    <x v="3"/>
    <s v="KITCHENWARE"/>
    <n v="1"/>
    <n v="15"/>
    <n v="15"/>
    <n v="4.66"/>
    <n v="15"/>
    <n v="4.66"/>
    <n v="10.34"/>
    <n v="0.68933333333333335"/>
    <s v="C0017"/>
    <x v="17"/>
    <x v="17"/>
    <x v="1"/>
    <x v="4"/>
  </r>
  <r>
    <x v="385"/>
    <x v="126"/>
    <x v="4"/>
    <x v="4"/>
    <d v="1905-07-16T00:00:00"/>
    <s v="bIOdegradABlE cLEaNINg cLoTH"/>
    <s v="Biodegradable Cleaning Cloth"/>
    <x v="0"/>
    <s v="CLEANING"/>
    <n v="3"/>
    <n v="10"/>
    <n v="10"/>
    <n v="3.02"/>
    <n v="30"/>
    <n v="9.06"/>
    <n v="20.939999999999998"/>
    <n v="0.69799999999999995"/>
    <s v="C0027"/>
    <x v="73"/>
    <x v="73"/>
    <x v="0"/>
    <x v="6"/>
  </r>
  <r>
    <x v="386"/>
    <x v="126"/>
    <x v="4"/>
    <x v="4"/>
    <d v="1905-07-16T00:00:00"/>
    <s v="REUsABle bAMboO uTeNSIL sEt"/>
    <s v="Reusable Bamboo Utensil Set"/>
    <x v="3"/>
    <s v="KITCHENWARE"/>
    <n v="6"/>
    <n v="15"/>
    <n v="15"/>
    <n v="4.8"/>
    <n v="90"/>
    <n v="28.799999999999997"/>
    <n v="61.2"/>
    <n v="0.68"/>
    <s v="C0121"/>
    <x v="44"/>
    <x v="44"/>
    <x v="1"/>
    <x v="9"/>
  </r>
  <r>
    <x v="387"/>
    <x v="126"/>
    <x v="4"/>
    <x v="4"/>
    <d v="1905-07-16T00:00:00"/>
    <s v="SoLAR leD lAnTern"/>
    <s v="Solar Led Lantern"/>
    <x v="2"/>
    <s v="LIGHTING"/>
    <n v="9"/>
    <m/>
    <n v="40"/>
    <n v="14.62"/>
    <n v="360"/>
    <n v="131.57999999999998"/>
    <n v="228.42000000000002"/>
    <n v="0.63450000000000006"/>
    <s v="C0178"/>
    <x v="19"/>
    <x v="19"/>
    <x v="2"/>
    <x v="6"/>
  </r>
  <r>
    <x v="388"/>
    <x v="127"/>
    <x v="4"/>
    <x v="4"/>
    <d v="1905-07-16T00:00:00"/>
    <s v="REUsABle bAMboO uTeNSIL sEt"/>
    <s v="Reusable Bamboo Utensil Set"/>
    <x v="3"/>
    <s v="KITCHENWARE"/>
    <n v="5"/>
    <n v="15"/>
    <n v="15"/>
    <n v="3.13"/>
    <n v="75"/>
    <n v="15.649999999999999"/>
    <n v="59.35"/>
    <n v="0.79133333333333333"/>
    <s v="C0033"/>
    <x v="25"/>
    <x v="25"/>
    <x v="1"/>
    <x v="6"/>
  </r>
  <r>
    <x v="389"/>
    <x v="127"/>
    <x v="4"/>
    <x v="4"/>
    <d v="1905-07-16T00:00:00"/>
    <s v="SoLAR leD lAnTern"/>
    <s v="Solar Led Lantern"/>
    <x v="2"/>
    <s v="LIGHTING"/>
    <n v="1"/>
    <n v="40"/>
    <n v="40"/>
    <n v="13.15"/>
    <n v="40"/>
    <n v="13.15"/>
    <n v="26.85"/>
    <n v="0.67125000000000001"/>
    <s v="C0190"/>
    <x v="39"/>
    <x v="39"/>
    <x v="1"/>
    <x v="0"/>
  </r>
  <r>
    <x v="390"/>
    <x v="127"/>
    <x v="4"/>
    <x v="4"/>
    <d v="1905-07-16T00:00:00"/>
    <s v="SoLAR leD lAnTern"/>
    <s v="Solar Led Lantern"/>
    <x v="2"/>
    <s v="LIGHTING"/>
    <n v="9"/>
    <n v="40"/>
    <n v="40"/>
    <n v="13.31"/>
    <n v="360"/>
    <n v="119.79"/>
    <n v="240.20999999999998"/>
    <n v="0.6672499999999999"/>
    <s v="C0075"/>
    <x v="71"/>
    <x v="71"/>
    <x v="1"/>
    <x v="5"/>
  </r>
  <r>
    <x v="391"/>
    <x v="127"/>
    <x v="4"/>
    <x v="4"/>
    <d v="1905-07-16T00:00:00"/>
    <s v="COMpOsTaBLe PlAnT POts"/>
    <s v="Compostable Plant Pots"/>
    <x v="4"/>
    <s v="GARDENING"/>
    <n v="10"/>
    <n v="12"/>
    <n v="12"/>
    <n v="3.7"/>
    <n v="120"/>
    <n v="37"/>
    <n v="83"/>
    <n v="0.69166666666666665"/>
    <s v="C0033"/>
    <x v="25"/>
    <x v="25"/>
    <x v="1"/>
    <x v="4"/>
  </r>
  <r>
    <x v="392"/>
    <x v="127"/>
    <x v="4"/>
    <x v="4"/>
    <d v="1905-07-16T00:00:00"/>
    <s v="bIOdegradABlE cLEaNINg cLoTH"/>
    <s v="Biodegradable Cleaning Cloth"/>
    <x v="0"/>
    <s v="CLEANING"/>
    <n v="3"/>
    <n v="10"/>
    <n v="10"/>
    <n v="3.68"/>
    <n v="30"/>
    <n v="11.040000000000001"/>
    <n v="18.96"/>
    <n v="0.63200000000000001"/>
    <s v="C0120"/>
    <x v="55"/>
    <x v="55"/>
    <x v="3"/>
    <x v="9"/>
  </r>
  <r>
    <x v="393"/>
    <x v="128"/>
    <x v="4"/>
    <x v="4"/>
    <d v="1905-07-16T00:00:00"/>
    <s v="ecO CANVAS TOTe Bag"/>
    <s v="Eco Canvas Tote Bag"/>
    <x v="1"/>
    <s v="BAGS"/>
    <n v="7"/>
    <n v="25"/>
    <n v="25"/>
    <n v="5.54"/>
    <n v="175"/>
    <n v="38.78"/>
    <n v="136.22"/>
    <n v="0.77839999999999998"/>
    <s v="C0052"/>
    <x v="6"/>
    <x v="6"/>
    <x v="1"/>
    <x v="0"/>
  </r>
  <r>
    <x v="394"/>
    <x v="128"/>
    <x v="4"/>
    <x v="4"/>
    <d v="1905-07-16T00:00:00"/>
    <s v="REUsABle bAMboO uTeNSIL sEt"/>
    <s v="Reusable Bamboo Utensil Set"/>
    <x v="3"/>
    <s v="KITCHENWARE"/>
    <n v="2"/>
    <n v="15"/>
    <n v="15"/>
    <n v="3.17"/>
    <n v="30"/>
    <n v="6.34"/>
    <n v="23.66"/>
    <n v="0.78866666666666663"/>
    <s v="C0191"/>
    <x v="17"/>
    <x v="17"/>
    <x v="0"/>
    <x v="8"/>
  </r>
  <r>
    <x v="395"/>
    <x v="128"/>
    <x v="4"/>
    <x v="4"/>
    <d v="1905-07-16T00:00:00"/>
    <s v="SoLAR leD lAnTern"/>
    <s v="Solar Led Lantern"/>
    <x v="2"/>
    <s v="LIGHTING"/>
    <n v="8"/>
    <m/>
    <n v="40"/>
    <n v="13.61"/>
    <n v="320"/>
    <n v="108.88"/>
    <n v="211.12"/>
    <n v="0.65975000000000006"/>
    <s v="C0118"/>
    <x v="105"/>
    <x v="105"/>
    <x v="1"/>
    <x v="9"/>
  </r>
  <r>
    <x v="396"/>
    <x v="129"/>
    <x v="4"/>
    <x v="4"/>
    <d v="1905-07-16T00:00:00"/>
    <s v="bIOdegradABlE cLEaNINg cLoTH"/>
    <s v="Biodegradable Cleaning Cloth"/>
    <x v="0"/>
    <s v="CLEANING"/>
    <n v="1"/>
    <n v="10"/>
    <n v="10"/>
    <n v="2.72"/>
    <n v="10"/>
    <n v="2.72"/>
    <n v="7.2799999999999994"/>
    <n v="0.72799999999999998"/>
    <s v="C0051"/>
    <x v="16"/>
    <x v="16"/>
    <x v="2"/>
    <x v="0"/>
  </r>
  <r>
    <x v="397"/>
    <x v="129"/>
    <x v="4"/>
    <x v="4"/>
    <d v="1905-07-16T00:00:00"/>
    <s v="bIOdegradABlE cLEaNINg cLoTH"/>
    <s v="Biodegradable Cleaning Cloth"/>
    <x v="0"/>
    <s v="CLEANING"/>
    <n v="3"/>
    <n v="10"/>
    <n v="10"/>
    <n v="2.4700000000000002"/>
    <n v="30"/>
    <n v="7.41"/>
    <n v="22.59"/>
    <n v="0.753"/>
    <s v="C0023"/>
    <x v="63"/>
    <x v="63"/>
    <x v="1"/>
    <x v="1"/>
  </r>
  <r>
    <x v="398"/>
    <x v="130"/>
    <x v="4"/>
    <x v="4"/>
    <d v="1905-07-16T00:00:00"/>
    <s v="REUsABle bAMboO uTeNSIL sEt"/>
    <s v="Reusable Bamboo Utensil Set"/>
    <x v="3"/>
    <s v="KITCHENWARE"/>
    <n v="6"/>
    <n v="15"/>
    <n v="15"/>
    <n v="5.97"/>
    <n v="90"/>
    <n v="35.82"/>
    <n v="54.18"/>
    <n v="0.60199999999999998"/>
    <s v="C0114"/>
    <x v="5"/>
    <x v="5"/>
    <x v="1"/>
    <x v="8"/>
  </r>
  <r>
    <x v="399"/>
    <x v="130"/>
    <x v="4"/>
    <x v="4"/>
    <d v="1905-07-16T00:00:00"/>
    <s v="bIOdegradABlE cLEaNINg cLoTH"/>
    <s v="Biodegradable Cleaning Cloth"/>
    <x v="0"/>
    <s v="CLEANING"/>
    <n v="7"/>
    <n v="10"/>
    <n v="10"/>
    <n v="2.06"/>
    <n v="70"/>
    <n v="14.42"/>
    <n v="55.58"/>
    <n v="0.79399999999999993"/>
    <s v="C0119"/>
    <x v="21"/>
    <x v="21"/>
    <x v="1"/>
    <x v="3"/>
  </r>
  <r>
    <x v="400"/>
    <x v="130"/>
    <x v="4"/>
    <x v="4"/>
    <d v="1905-07-16T00:00:00"/>
    <s v="SoLAR leD lAnTern"/>
    <s v="Solar Led Lantern"/>
    <x v="2"/>
    <s v="LIGHTING"/>
    <n v="3"/>
    <n v="40"/>
    <n v="40"/>
    <n v="9.3000000000000007"/>
    <n v="120"/>
    <n v="27.900000000000002"/>
    <n v="92.1"/>
    <n v="0.76749999999999996"/>
    <s v="C0045"/>
    <x v="51"/>
    <x v="51"/>
    <x v="1"/>
    <x v="4"/>
  </r>
  <r>
    <x v="401"/>
    <x v="130"/>
    <x v="4"/>
    <x v="4"/>
    <d v="1905-07-16T00:00:00"/>
    <s v="ecO CANVAS TOTe Bag"/>
    <s v="Eco Canvas Tote Bag"/>
    <x v="1"/>
    <s v="BAGS"/>
    <n v="9"/>
    <n v="25"/>
    <n v="25"/>
    <n v="8.24"/>
    <n v="225"/>
    <n v="74.16"/>
    <n v="150.84"/>
    <n v="0.6704"/>
    <s v="C0120"/>
    <x v="55"/>
    <x v="55"/>
    <x v="0"/>
    <x v="7"/>
  </r>
  <r>
    <x v="402"/>
    <x v="130"/>
    <x v="4"/>
    <x v="4"/>
    <d v="1905-07-16T00:00:00"/>
    <s v="COMpOsTaBLe PlAnT POts"/>
    <s v="Compostable Plant Pots"/>
    <x v="4"/>
    <s v="GARDENING"/>
    <n v="2"/>
    <n v="12"/>
    <n v="12"/>
    <n v="4.5999999999999996"/>
    <n v="24"/>
    <n v="9.1999999999999993"/>
    <n v="14.8"/>
    <n v="0.6166666666666667"/>
    <s v="C0168"/>
    <x v="62"/>
    <x v="62"/>
    <x v="1"/>
    <x v="1"/>
  </r>
  <r>
    <x v="403"/>
    <x v="130"/>
    <x v="4"/>
    <x v="4"/>
    <d v="1905-07-16T00:00:00"/>
    <s v="SoLAR leD lAnTern"/>
    <s v="Solar Led Lantern"/>
    <x v="2"/>
    <s v="LIGHTING"/>
    <n v="4"/>
    <n v="40"/>
    <n v="40"/>
    <n v="14.68"/>
    <n v="160"/>
    <n v="58.72"/>
    <n v="101.28"/>
    <n v="0.63300000000000001"/>
    <s v="C0006"/>
    <x v="75"/>
    <x v="75"/>
    <x v="1"/>
    <x v="2"/>
  </r>
  <r>
    <x v="404"/>
    <x v="130"/>
    <x v="4"/>
    <x v="4"/>
    <d v="1905-07-16T00:00:00"/>
    <s v="COMpOsTaBLe PlAnT POts"/>
    <s v="Compostable Plant Pots"/>
    <x v="4"/>
    <s v="GARDENING"/>
    <n v="6"/>
    <n v="12"/>
    <n v="12"/>
    <n v="3.84"/>
    <n v="72"/>
    <n v="23.04"/>
    <n v="48.96"/>
    <n v="0.68"/>
    <s v="C0199"/>
    <x v="20"/>
    <x v="20"/>
    <x v="2"/>
    <x v="7"/>
  </r>
  <r>
    <x v="405"/>
    <x v="131"/>
    <x v="4"/>
    <x v="4"/>
    <d v="1905-07-16T00:00:00"/>
    <s v="SoLAR leD lAnTern"/>
    <s v="Solar Led Lantern"/>
    <x v="2"/>
    <s v="LIGHTING"/>
    <n v="7"/>
    <n v="40"/>
    <n v="40"/>
    <n v="11.74"/>
    <n v="280"/>
    <n v="82.18"/>
    <n v="197.82"/>
    <n v="0.70650000000000002"/>
    <s v="C0199"/>
    <x v="20"/>
    <x v="20"/>
    <x v="1"/>
    <x v="4"/>
  </r>
  <r>
    <x v="406"/>
    <x v="132"/>
    <x v="4"/>
    <x v="4"/>
    <d v="1905-07-16T00:00:00"/>
    <s v="bIOdegradABlE cLEaNINg cLoTH"/>
    <s v="Biodegradable Cleaning Cloth"/>
    <x v="0"/>
    <s v="CLEANING"/>
    <n v="2"/>
    <n v="10"/>
    <n v="10"/>
    <n v="2.6"/>
    <n v="20"/>
    <n v="5.2"/>
    <n v="14.8"/>
    <n v="0.74"/>
    <s v="C0017"/>
    <x v="17"/>
    <x v="17"/>
    <x v="1"/>
    <x v="4"/>
  </r>
  <r>
    <x v="407"/>
    <x v="132"/>
    <x v="4"/>
    <x v="4"/>
    <d v="1905-07-16T00:00:00"/>
    <s v="ecO CANVAS TOTe Bag"/>
    <s v="Eco Canvas Tote Bag"/>
    <x v="1"/>
    <s v="BAGS"/>
    <n v="6"/>
    <n v="25"/>
    <n v="25"/>
    <n v="5.69"/>
    <n v="150"/>
    <n v="34.14"/>
    <n v="115.86"/>
    <n v="0.77239999999999998"/>
    <s v="C0052"/>
    <x v="6"/>
    <x v="6"/>
    <x v="1"/>
    <x v="4"/>
  </r>
  <r>
    <x v="408"/>
    <x v="132"/>
    <x v="4"/>
    <x v="4"/>
    <d v="1905-07-16T00:00:00"/>
    <s v="ecO CANVAS TOTe Bag"/>
    <s v="Eco Canvas Tote Bag"/>
    <x v="1"/>
    <s v="BAGS"/>
    <n v="10"/>
    <m/>
    <n v="25"/>
    <n v="9.11"/>
    <n v="250"/>
    <n v="91.1"/>
    <n v="158.9"/>
    <n v="0.63560000000000005"/>
    <s v="C0189"/>
    <x v="42"/>
    <x v="42"/>
    <x v="1"/>
    <x v="1"/>
  </r>
  <r>
    <x v="409"/>
    <x v="133"/>
    <x v="4"/>
    <x v="4"/>
    <d v="1905-07-16T00:00:00"/>
    <s v="SoLAR leD lAnTern"/>
    <s v="Solar Led Lantern"/>
    <x v="2"/>
    <s v="LIGHTING"/>
    <n v="8"/>
    <n v="40"/>
    <n v="40"/>
    <n v="14.14"/>
    <n v="320"/>
    <n v="113.12"/>
    <n v="206.88"/>
    <n v="0.64649999999999996"/>
    <s v="C0015"/>
    <x v="77"/>
    <x v="77"/>
    <x v="0"/>
    <x v="3"/>
  </r>
  <r>
    <x v="410"/>
    <x v="134"/>
    <x v="4"/>
    <x v="4"/>
    <d v="1905-07-16T00:00:00"/>
    <s v="bIOdegradABlE cLEaNINg cLoTH"/>
    <s v="Biodegradable Cleaning Cloth"/>
    <x v="0"/>
    <s v="CLEANING"/>
    <n v="8"/>
    <n v="10"/>
    <n v="10"/>
    <n v="3.2"/>
    <n v="80"/>
    <n v="25.6"/>
    <n v="54.4"/>
    <n v="0.67999999999999994"/>
    <s v="C0196"/>
    <x v="42"/>
    <x v="42"/>
    <x v="2"/>
    <x v="5"/>
  </r>
  <r>
    <x v="411"/>
    <x v="134"/>
    <x v="4"/>
    <x v="4"/>
    <d v="1905-07-16T00:00:00"/>
    <s v="REUsABle bAMboO uTeNSIL sEt"/>
    <s v="Reusable Bamboo Utensil Set"/>
    <x v="3"/>
    <s v="KITCHENWARE"/>
    <n v="8"/>
    <n v="15"/>
    <n v="15"/>
    <n v="5.1100000000000003"/>
    <n v="120"/>
    <n v="40.880000000000003"/>
    <n v="79.12"/>
    <n v="0.65933333333333333"/>
    <s v="C0130"/>
    <x v="48"/>
    <x v="48"/>
    <x v="0"/>
    <x v="9"/>
  </r>
  <r>
    <x v="412"/>
    <x v="134"/>
    <x v="4"/>
    <x v="4"/>
    <d v="1905-07-16T00:00:00"/>
    <s v="REUsABle bAMboO uTeNSIL sEt"/>
    <s v="Reusable Bamboo Utensil Set"/>
    <x v="3"/>
    <s v="KITCHENWARE"/>
    <n v="1"/>
    <n v="15"/>
    <n v="15"/>
    <n v="3.13"/>
    <n v="15"/>
    <n v="3.13"/>
    <n v="11.870000000000001"/>
    <n v="0.79133333333333344"/>
    <s v="C0145"/>
    <x v="43"/>
    <x v="43"/>
    <x v="1"/>
    <x v="4"/>
  </r>
  <r>
    <x v="413"/>
    <x v="134"/>
    <x v="4"/>
    <x v="4"/>
    <d v="1905-07-16T00:00:00"/>
    <s v="ecO CANVAS TOTe Bag"/>
    <s v="Eco Canvas Tote Bag"/>
    <x v="1"/>
    <s v="BAGS"/>
    <n v="3"/>
    <n v="25"/>
    <n v="25"/>
    <n v="5.8"/>
    <n v="75"/>
    <n v="17.399999999999999"/>
    <n v="57.6"/>
    <n v="0.76800000000000002"/>
    <s v="C0177"/>
    <x v="110"/>
    <x v="110"/>
    <x v="1"/>
    <x v="8"/>
  </r>
  <r>
    <x v="414"/>
    <x v="134"/>
    <x v="4"/>
    <x v="4"/>
    <d v="1905-07-16T00:00:00"/>
    <s v="bIOdegradABlE cLEaNINg cLoTH"/>
    <s v="Biodegradable Cleaning Cloth"/>
    <x v="0"/>
    <s v="CLEANING"/>
    <n v="10"/>
    <n v="10"/>
    <n v="10"/>
    <n v="3.45"/>
    <n v="100"/>
    <n v="34.5"/>
    <n v="65.5"/>
    <n v="0.65500000000000003"/>
    <s v="C0159"/>
    <x v="105"/>
    <x v="105"/>
    <x v="1"/>
    <x v="6"/>
  </r>
  <r>
    <x v="415"/>
    <x v="135"/>
    <x v="4"/>
    <x v="4"/>
    <d v="1905-07-16T00:00:00"/>
    <s v="SoLAR leD lAnTern"/>
    <s v="Solar Led Lantern"/>
    <x v="2"/>
    <s v="LIGHTING"/>
    <n v="8"/>
    <n v="40"/>
    <n v="40"/>
    <n v="11.29"/>
    <n v="320"/>
    <n v="90.32"/>
    <n v="229.68"/>
    <n v="0.71775"/>
    <s v="C0012"/>
    <x v="13"/>
    <x v="13"/>
    <x v="3"/>
    <x v="7"/>
  </r>
  <r>
    <x v="416"/>
    <x v="135"/>
    <x v="4"/>
    <x v="4"/>
    <d v="1905-07-16T00:00:00"/>
    <s v="COMpOsTaBLe PlAnT POts"/>
    <s v="Compostable Plant Pots"/>
    <x v="4"/>
    <s v="GARDENING"/>
    <n v="6"/>
    <n v="12"/>
    <n v="12"/>
    <n v="3.5"/>
    <n v="72"/>
    <n v="21"/>
    <n v="51"/>
    <n v="0.70833333333333337"/>
    <s v="C0154"/>
    <x v="81"/>
    <x v="81"/>
    <x v="1"/>
    <x v="5"/>
  </r>
  <r>
    <x v="417"/>
    <x v="135"/>
    <x v="4"/>
    <x v="4"/>
    <d v="1905-07-16T00:00:00"/>
    <s v="REUsABle bAMboO uTeNSIL sEt"/>
    <s v="Reusable Bamboo Utensil Set"/>
    <x v="3"/>
    <s v="KITCHENWARE"/>
    <n v="8"/>
    <n v="15"/>
    <n v="15"/>
    <n v="5.56"/>
    <n v="120"/>
    <n v="44.48"/>
    <n v="75.52000000000001"/>
    <n v="0.62933333333333341"/>
    <s v="C0128"/>
    <x v="50"/>
    <x v="50"/>
    <x v="0"/>
    <x v="5"/>
  </r>
  <r>
    <x v="418"/>
    <x v="135"/>
    <x v="4"/>
    <x v="4"/>
    <d v="1905-07-16T00:00:00"/>
    <s v="COMpOsTaBLe PlAnT POts"/>
    <s v="Compostable Plant Pots"/>
    <x v="4"/>
    <s v="GARDENING"/>
    <n v="3"/>
    <m/>
    <n v="12"/>
    <n v="3.51"/>
    <n v="36"/>
    <n v="10.53"/>
    <n v="25.47"/>
    <n v="0.70750000000000002"/>
    <s v="C0126"/>
    <x v="90"/>
    <x v="90"/>
    <x v="1"/>
    <x v="4"/>
  </r>
  <r>
    <x v="419"/>
    <x v="135"/>
    <x v="4"/>
    <x v="4"/>
    <d v="1905-07-16T00:00:00"/>
    <s v="ecO CANVAS TOTe Bag"/>
    <s v="Eco Canvas Tote Bag"/>
    <x v="1"/>
    <s v="BAGS"/>
    <n v="6"/>
    <n v="25"/>
    <n v="25"/>
    <n v="6.75"/>
    <n v="150"/>
    <n v="40.5"/>
    <n v="109.5"/>
    <n v="0.73"/>
    <s v="C0191"/>
    <x v="17"/>
    <x v="17"/>
    <x v="0"/>
    <x v="6"/>
  </r>
  <r>
    <x v="420"/>
    <x v="136"/>
    <x v="4"/>
    <x v="4"/>
    <d v="1905-07-16T00:00:00"/>
    <s v="COMpOsTaBLe PlAnT POts"/>
    <s v="Compostable Plant Pots"/>
    <x v="4"/>
    <s v="GARDENING"/>
    <n v="1"/>
    <n v="12"/>
    <n v="12"/>
    <n v="4"/>
    <n v="12"/>
    <n v="4"/>
    <n v="8"/>
    <n v="0.66666666666666663"/>
    <s v="C0149"/>
    <x v="10"/>
    <x v="10"/>
    <x v="0"/>
    <x v="6"/>
  </r>
  <r>
    <x v="421"/>
    <x v="137"/>
    <x v="4"/>
    <x v="4"/>
    <d v="1905-07-16T00:00:00"/>
    <s v="SoLAR leD lAnTern"/>
    <s v="Solar Led Lantern"/>
    <x v="2"/>
    <s v="LIGHTING"/>
    <n v="7"/>
    <n v="40"/>
    <n v="40"/>
    <n v="14.84"/>
    <n v="280"/>
    <n v="103.88"/>
    <n v="176.12"/>
    <n v="0.629"/>
    <s v="C0150"/>
    <x v="76"/>
    <x v="76"/>
    <x v="1"/>
    <x v="7"/>
  </r>
  <r>
    <x v="422"/>
    <x v="137"/>
    <x v="4"/>
    <x v="4"/>
    <d v="1905-07-16T00:00:00"/>
    <s v="SoLAR leD lAnTern"/>
    <s v="Solar Led Lantern"/>
    <x v="2"/>
    <s v="LIGHTING"/>
    <n v="5"/>
    <m/>
    <n v="40"/>
    <n v="10.58"/>
    <n v="200"/>
    <n v="52.9"/>
    <n v="147.1"/>
    <n v="0.73549999999999993"/>
    <s v="C0063"/>
    <x v="9"/>
    <x v="9"/>
    <x v="1"/>
    <x v="4"/>
  </r>
  <r>
    <x v="423"/>
    <x v="137"/>
    <x v="4"/>
    <x v="4"/>
    <d v="1905-07-16T00:00:00"/>
    <s v="REUsABle bAMboO uTeNSIL sEt"/>
    <s v="Reusable Bamboo Utensil Set"/>
    <x v="3"/>
    <s v="KITCHENWARE"/>
    <n v="9"/>
    <n v="15"/>
    <n v="15"/>
    <n v="5.77"/>
    <n v="135"/>
    <n v="51.929999999999993"/>
    <n v="83.070000000000007"/>
    <n v="0.6153333333333334"/>
    <s v="C0128"/>
    <x v="50"/>
    <x v="50"/>
    <x v="1"/>
    <x v="0"/>
  </r>
  <r>
    <x v="424"/>
    <x v="138"/>
    <x v="4"/>
    <x v="4"/>
    <d v="1905-07-16T00:00:00"/>
    <s v="REUsABle bAMboO uTeNSIL sEt"/>
    <s v="Reusable Bamboo Utensil Set"/>
    <x v="3"/>
    <s v="KITCHENWARE"/>
    <n v="5"/>
    <n v="15"/>
    <n v="15"/>
    <n v="5.92"/>
    <n v="75"/>
    <n v="29.6"/>
    <n v="45.4"/>
    <n v="0.60533333333333328"/>
    <s v="C0004"/>
    <x v="94"/>
    <x v="94"/>
    <x v="1"/>
    <x v="8"/>
  </r>
  <r>
    <x v="425"/>
    <x v="139"/>
    <x v="4"/>
    <x v="4"/>
    <d v="1905-07-16T00:00:00"/>
    <s v="SoLAR leD lAnTern"/>
    <s v="Solar Led Lantern"/>
    <x v="2"/>
    <s v="LIGHTING"/>
    <n v="9"/>
    <n v="40"/>
    <n v="40"/>
    <n v="10.53"/>
    <n v="360"/>
    <n v="94.77"/>
    <n v="265.23"/>
    <n v="0.73675000000000002"/>
    <s v="C0125"/>
    <x v="83"/>
    <x v="83"/>
    <x v="0"/>
    <x v="0"/>
  </r>
  <r>
    <x v="426"/>
    <x v="139"/>
    <x v="4"/>
    <x v="4"/>
    <d v="1905-07-16T00:00:00"/>
    <s v="REUsABle bAMboO uTeNSIL sEt"/>
    <s v="Reusable Bamboo Utensil Set"/>
    <x v="3"/>
    <s v="KITCHENWARE"/>
    <n v="10"/>
    <n v="15"/>
    <n v="15"/>
    <n v="3.43"/>
    <n v="150"/>
    <n v="34.300000000000004"/>
    <n v="115.69999999999999"/>
    <n v="0.7713333333333332"/>
    <s v="C0020"/>
    <x v="111"/>
    <x v="111"/>
    <x v="1"/>
    <x v="4"/>
  </r>
  <r>
    <x v="427"/>
    <x v="139"/>
    <x v="4"/>
    <x v="4"/>
    <d v="1905-07-16T00:00:00"/>
    <s v="SoLAR leD lAnTern"/>
    <s v="Solar Led Lantern"/>
    <x v="2"/>
    <s v="LIGHTING"/>
    <n v="1"/>
    <n v="40"/>
    <n v="40"/>
    <n v="12.59"/>
    <n v="40"/>
    <n v="12.59"/>
    <n v="27.41"/>
    <n v="0.68525000000000003"/>
    <s v="C0048"/>
    <x v="87"/>
    <x v="87"/>
    <x v="1"/>
    <x v="6"/>
  </r>
  <r>
    <x v="428"/>
    <x v="139"/>
    <x v="4"/>
    <x v="4"/>
    <d v="1905-07-16T00:00:00"/>
    <s v="COMpOsTaBLe PlAnT POts"/>
    <s v="Compostable Plant Pots"/>
    <x v="4"/>
    <s v="GARDENING"/>
    <n v="3"/>
    <n v="12"/>
    <n v="12"/>
    <n v="3.18"/>
    <n v="36"/>
    <n v="9.5400000000000009"/>
    <n v="26.46"/>
    <n v="0.73499999999999999"/>
    <s v="C0031"/>
    <x v="61"/>
    <x v="61"/>
    <x v="1"/>
    <x v="2"/>
  </r>
  <r>
    <x v="429"/>
    <x v="139"/>
    <x v="4"/>
    <x v="4"/>
    <d v="1905-07-16T00:00:00"/>
    <s v="SoLAR leD lAnTern"/>
    <s v="Solar Led Lantern"/>
    <x v="2"/>
    <s v="LIGHTING"/>
    <n v="9"/>
    <n v="40"/>
    <n v="40"/>
    <n v="8.0399999999999991"/>
    <n v="360"/>
    <n v="72.359999999999985"/>
    <n v="287.64"/>
    <n v="0.79899999999999993"/>
    <s v="C0140"/>
    <x v="95"/>
    <x v="95"/>
    <x v="3"/>
    <x v="7"/>
  </r>
  <r>
    <x v="430"/>
    <x v="140"/>
    <x v="4"/>
    <x v="4"/>
    <d v="1905-07-16T00:00:00"/>
    <s v="ecO CANVAS TOTe Bag"/>
    <s v="Eco Canvas Tote Bag"/>
    <x v="1"/>
    <s v="BAGS"/>
    <n v="6"/>
    <n v="25"/>
    <n v="25"/>
    <n v="6.37"/>
    <n v="150"/>
    <n v="38.22"/>
    <n v="111.78"/>
    <n v="0.74519999999999997"/>
    <s v="C0071"/>
    <x v="7"/>
    <x v="7"/>
    <x v="0"/>
    <x v="1"/>
  </r>
  <r>
    <x v="431"/>
    <x v="140"/>
    <x v="4"/>
    <x v="4"/>
    <d v="1905-07-16T00:00:00"/>
    <s v="ecO CANVAS TOTe Bag"/>
    <s v="Eco Canvas Tote Bag"/>
    <x v="1"/>
    <s v="BAGS"/>
    <n v="2"/>
    <m/>
    <n v="25"/>
    <n v="9.68"/>
    <n v="50"/>
    <n v="19.36"/>
    <n v="30.64"/>
    <n v="0.61280000000000001"/>
    <s v="C0159"/>
    <x v="105"/>
    <x v="105"/>
    <x v="0"/>
    <x v="2"/>
  </r>
  <r>
    <x v="432"/>
    <x v="141"/>
    <x v="4"/>
    <x v="4"/>
    <d v="1905-07-16T00:00:00"/>
    <s v="ecO CANVAS TOTe Bag"/>
    <s v="Eco Canvas Tote Bag"/>
    <x v="1"/>
    <s v="BAGS"/>
    <n v="4"/>
    <n v="25"/>
    <n v="25"/>
    <n v="6.63"/>
    <n v="100"/>
    <n v="26.52"/>
    <n v="73.48"/>
    <n v="0.73480000000000001"/>
    <s v="C0026"/>
    <x v="108"/>
    <x v="108"/>
    <x v="0"/>
    <x v="4"/>
  </r>
  <r>
    <x v="433"/>
    <x v="141"/>
    <x v="4"/>
    <x v="4"/>
    <d v="1905-07-16T00:00:00"/>
    <s v="REUsABle bAMboO uTeNSIL sEt"/>
    <s v="Reusable Bamboo Utensil Set"/>
    <x v="3"/>
    <s v="KITCHENWARE"/>
    <n v="5"/>
    <m/>
    <n v="15"/>
    <n v="5.99"/>
    <n v="75"/>
    <n v="29.950000000000003"/>
    <n v="45.05"/>
    <n v="0.60066666666666668"/>
    <s v="C0152"/>
    <x v="101"/>
    <x v="101"/>
    <x v="1"/>
    <x v="5"/>
  </r>
  <r>
    <x v="434"/>
    <x v="141"/>
    <x v="4"/>
    <x v="4"/>
    <d v="1905-07-16T00:00:00"/>
    <s v="REUsABle bAMboO uTeNSIL sEt"/>
    <s v="Reusable Bamboo Utensil Set"/>
    <x v="3"/>
    <s v="KITCHENWARE"/>
    <n v="8"/>
    <n v="15"/>
    <n v="15"/>
    <n v="4.1100000000000003"/>
    <n v="120"/>
    <n v="32.880000000000003"/>
    <n v="87.12"/>
    <n v="0.72600000000000009"/>
    <s v="C0181"/>
    <x v="26"/>
    <x v="26"/>
    <x v="2"/>
    <x v="0"/>
  </r>
  <r>
    <x v="435"/>
    <x v="142"/>
    <x v="4"/>
    <x v="4"/>
    <d v="1905-07-16T00:00:00"/>
    <s v="bIOdegradABlE cLEaNINg cLoTH"/>
    <s v="Biodegradable Cleaning Cloth"/>
    <x v="0"/>
    <s v="CLEANING"/>
    <n v="1"/>
    <n v="10"/>
    <n v="10"/>
    <n v="2.81"/>
    <n v="10"/>
    <n v="2.81"/>
    <n v="7.1899999999999995"/>
    <n v="0.71899999999999997"/>
    <s v="C0057"/>
    <x v="54"/>
    <x v="54"/>
    <x v="1"/>
    <x v="0"/>
  </r>
  <r>
    <x v="436"/>
    <x v="143"/>
    <x v="4"/>
    <x v="4"/>
    <d v="1905-07-16T00:00:00"/>
    <s v="SoLAR leD lAnTern"/>
    <s v="Solar Led Lantern"/>
    <x v="2"/>
    <s v="LIGHTING"/>
    <n v="5"/>
    <n v="40"/>
    <n v="40"/>
    <n v="9.7200000000000006"/>
    <n v="200"/>
    <n v="48.6"/>
    <n v="151.4"/>
    <n v="0.75700000000000001"/>
    <s v="C0105"/>
    <x v="45"/>
    <x v="45"/>
    <x v="3"/>
    <x v="7"/>
  </r>
  <r>
    <x v="437"/>
    <x v="143"/>
    <x v="4"/>
    <x v="4"/>
    <d v="1905-07-16T00:00:00"/>
    <s v="COMpOsTaBLe PlAnT POts"/>
    <s v="Compostable Plant Pots"/>
    <x v="4"/>
    <s v="GARDENING"/>
    <n v="8"/>
    <n v="12"/>
    <n v="12"/>
    <n v="4.46"/>
    <n v="96"/>
    <n v="35.68"/>
    <n v="60.32"/>
    <n v="0.6283333333333333"/>
    <s v="C0066"/>
    <x v="41"/>
    <x v="41"/>
    <x v="3"/>
    <x v="9"/>
  </r>
  <r>
    <x v="438"/>
    <x v="144"/>
    <x v="4"/>
    <x v="4"/>
    <d v="1905-07-16T00:00:00"/>
    <s v="ecO CANVAS TOTe Bag"/>
    <s v="Eco Canvas Tote Bag"/>
    <x v="1"/>
    <s v="BAGS"/>
    <n v="5"/>
    <n v="25"/>
    <n v="25"/>
    <n v="7.88"/>
    <n v="125"/>
    <n v="39.4"/>
    <n v="85.6"/>
    <n v="0.68479999999999996"/>
    <s v="C0063"/>
    <x v="9"/>
    <x v="9"/>
    <x v="1"/>
    <x v="7"/>
  </r>
  <r>
    <x v="439"/>
    <x v="144"/>
    <x v="4"/>
    <x v="4"/>
    <d v="1905-07-16T00:00:00"/>
    <s v="REUsABle bAMboO uTeNSIL sEt"/>
    <s v="Reusable Bamboo Utensil Set"/>
    <x v="3"/>
    <s v="KITCHENWARE"/>
    <n v="1"/>
    <n v="15"/>
    <n v="15"/>
    <n v="4.3499999999999996"/>
    <n v="15"/>
    <n v="4.3499999999999996"/>
    <n v="10.65"/>
    <n v="0.71000000000000008"/>
    <s v="C0170"/>
    <x v="48"/>
    <x v="48"/>
    <x v="1"/>
    <x v="2"/>
  </r>
  <r>
    <x v="440"/>
    <x v="144"/>
    <x v="4"/>
    <x v="4"/>
    <d v="1905-07-16T00:00:00"/>
    <s v="ecO CANVAS TOTe Bag"/>
    <s v="Eco Canvas Tote Bag"/>
    <x v="1"/>
    <s v="BAGS"/>
    <n v="2"/>
    <m/>
    <n v="25"/>
    <n v="6.85"/>
    <n v="50"/>
    <n v="13.7"/>
    <n v="36.299999999999997"/>
    <n v="0.72599999999999998"/>
    <s v="C0064"/>
    <x v="46"/>
    <x v="46"/>
    <x v="0"/>
    <x v="7"/>
  </r>
  <r>
    <x v="441"/>
    <x v="144"/>
    <x v="4"/>
    <x v="4"/>
    <d v="1905-07-16T00:00:00"/>
    <s v="COMpOsTaBLe PlAnT POts"/>
    <s v="Compostable Plant Pots"/>
    <x v="4"/>
    <s v="GARDENING"/>
    <n v="9"/>
    <n v="12"/>
    <n v="12"/>
    <n v="4.32"/>
    <n v="108"/>
    <n v="38.880000000000003"/>
    <n v="69.12"/>
    <n v="0.64"/>
    <s v="C0061"/>
    <x v="112"/>
    <x v="112"/>
    <x v="1"/>
    <x v="1"/>
  </r>
  <r>
    <x v="442"/>
    <x v="144"/>
    <x v="4"/>
    <x v="4"/>
    <d v="1905-07-16T00:00:00"/>
    <s v="REUsABle bAMboO uTeNSIL sEt"/>
    <s v="Reusable Bamboo Utensil Set"/>
    <x v="3"/>
    <s v="KITCHENWARE"/>
    <n v="4"/>
    <n v="15"/>
    <n v="15"/>
    <n v="5.41"/>
    <n v="60"/>
    <n v="21.64"/>
    <n v="38.36"/>
    <n v="0.63933333333333331"/>
    <s v="C0185"/>
    <x v="55"/>
    <x v="55"/>
    <x v="0"/>
    <x v="1"/>
  </r>
  <r>
    <x v="443"/>
    <x v="145"/>
    <x v="4"/>
    <x v="4"/>
    <d v="1905-07-16T00:00:00"/>
    <s v="SoLAR leD lAnTern"/>
    <s v="Solar Led Lantern"/>
    <x v="2"/>
    <s v="LIGHTING"/>
    <n v="6"/>
    <n v="40"/>
    <n v="40"/>
    <n v="9.43"/>
    <n v="240"/>
    <n v="56.58"/>
    <n v="183.42000000000002"/>
    <n v="0.7642500000000001"/>
    <s v="C0152"/>
    <x v="101"/>
    <x v="101"/>
    <x v="1"/>
    <x v="3"/>
  </r>
  <r>
    <x v="444"/>
    <x v="145"/>
    <x v="4"/>
    <x v="4"/>
    <d v="1905-07-16T00:00:00"/>
    <s v="SoLAR leD lAnTern"/>
    <s v="Solar Led Lantern"/>
    <x v="2"/>
    <s v="LIGHTING"/>
    <n v="4"/>
    <n v="40"/>
    <n v="40"/>
    <n v="13.02"/>
    <n v="160"/>
    <n v="52.08"/>
    <n v="107.92"/>
    <n v="0.67449999999999999"/>
    <s v="C0076"/>
    <x v="2"/>
    <x v="2"/>
    <x v="1"/>
    <x v="0"/>
  </r>
  <r>
    <x v="445"/>
    <x v="146"/>
    <x v="4"/>
    <x v="4"/>
    <d v="1905-07-16T00:00:00"/>
    <s v="REUsABle bAMboO uTeNSIL sEt"/>
    <s v="Reusable Bamboo Utensil Set"/>
    <x v="3"/>
    <s v="KITCHENWARE"/>
    <n v="1"/>
    <n v="15"/>
    <n v="15"/>
    <n v="3.05"/>
    <n v="15"/>
    <n v="3.05"/>
    <n v="11.95"/>
    <n v="0.79666666666666663"/>
    <s v="C0185"/>
    <x v="55"/>
    <x v="55"/>
    <x v="1"/>
    <x v="4"/>
  </r>
  <r>
    <x v="446"/>
    <x v="146"/>
    <x v="4"/>
    <x v="4"/>
    <d v="1905-07-16T00:00:00"/>
    <s v="COMpOsTaBLe PlAnT POts"/>
    <s v="Compostable Plant Pots"/>
    <x v="4"/>
    <s v="GARDENING"/>
    <n v="7"/>
    <n v="12"/>
    <n v="12"/>
    <n v="4.2"/>
    <n v="84"/>
    <n v="29.400000000000002"/>
    <n v="54.599999999999994"/>
    <n v="0.64999999999999991"/>
    <s v="C0107"/>
    <x v="56"/>
    <x v="56"/>
    <x v="1"/>
    <x v="5"/>
  </r>
  <r>
    <x v="447"/>
    <x v="147"/>
    <x v="4"/>
    <x v="4"/>
    <d v="1905-07-16T00:00:00"/>
    <s v="SoLAR leD lAnTern"/>
    <s v="Solar Led Lantern"/>
    <x v="2"/>
    <s v="LIGHTING"/>
    <n v="3"/>
    <n v="40"/>
    <n v="40"/>
    <n v="14.46"/>
    <n v="120"/>
    <n v="43.38"/>
    <n v="76.62"/>
    <n v="0.63850000000000007"/>
    <s v="C0063"/>
    <x v="9"/>
    <x v="9"/>
    <x v="1"/>
    <x v="5"/>
  </r>
  <r>
    <x v="448"/>
    <x v="147"/>
    <x v="4"/>
    <x v="4"/>
    <d v="1905-07-16T00:00:00"/>
    <s v="COMpOsTaBLe PlAnT POts"/>
    <s v="Compostable Plant Pots"/>
    <x v="4"/>
    <s v="GARDENING"/>
    <n v="10"/>
    <n v="12"/>
    <n v="12"/>
    <n v="4.5999999999999996"/>
    <n v="120"/>
    <n v="46"/>
    <n v="74"/>
    <n v="0.6166666666666667"/>
    <s v="C0128"/>
    <x v="50"/>
    <x v="50"/>
    <x v="1"/>
    <x v="0"/>
  </r>
  <r>
    <x v="449"/>
    <x v="148"/>
    <x v="5"/>
    <x v="5"/>
    <d v="1905-07-16T00:00:00"/>
    <s v="COMpOsTaBLe PlAnT POts"/>
    <s v="Compostable Plant Pots"/>
    <x v="4"/>
    <s v="GARDENING"/>
    <n v="4"/>
    <n v="12"/>
    <n v="12"/>
    <n v="4.3899999999999997"/>
    <n v="48"/>
    <n v="17.559999999999999"/>
    <n v="30.44"/>
    <n v="0.63416666666666666"/>
    <s v="C0078"/>
    <x v="35"/>
    <x v="35"/>
    <x v="0"/>
    <x v="6"/>
  </r>
  <r>
    <x v="450"/>
    <x v="148"/>
    <x v="5"/>
    <x v="5"/>
    <d v="1905-07-16T00:00:00"/>
    <s v="SoLAR leD lAnTern"/>
    <s v="Solar Led Lantern"/>
    <x v="2"/>
    <s v="LIGHTING"/>
    <n v="10"/>
    <n v="40"/>
    <n v="40"/>
    <n v="9.85"/>
    <n v="400"/>
    <n v="98.5"/>
    <n v="301.5"/>
    <n v="0.75375000000000003"/>
    <s v="C0071"/>
    <x v="7"/>
    <x v="7"/>
    <x v="1"/>
    <x v="0"/>
  </r>
  <r>
    <x v="451"/>
    <x v="149"/>
    <x v="5"/>
    <x v="5"/>
    <d v="1905-07-16T00:00:00"/>
    <s v="COMpOsTaBLe PlAnT POts"/>
    <s v="Compostable Plant Pots"/>
    <x v="4"/>
    <s v="GARDENING"/>
    <n v="5"/>
    <n v="12"/>
    <n v="12"/>
    <n v="3.43"/>
    <n v="60"/>
    <n v="17.150000000000002"/>
    <n v="42.849999999999994"/>
    <n v="0.71416666666666662"/>
    <s v="C0063"/>
    <x v="9"/>
    <x v="9"/>
    <x v="1"/>
    <x v="9"/>
  </r>
  <r>
    <x v="452"/>
    <x v="149"/>
    <x v="5"/>
    <x v="5"/>
    <d v="1905-07-16T00:00:00"/>
    <s v="bIOdegradABlE cLEaNINg cLoTH"/>
    <s v="Biodegradable Cleaning Cloth"/>
    <x v="0"/>
    <s v="CLEANING"/>
    <n v="5"/>
    <n v="10"/>
    <n v="10"/>
    <n v="3.46"/>
    <n v="50"/>
    <n v="17.3"/>
    <n v="32.700000000000003"/>
    <n v="0.65400000000000003"/>
    <s v="C0109"/>
    <x v="74"/>
    <x v="74"/>
    <x v="1"/>
    <x v="0"/>
  </r>
  <r>
    <x v="453"/>
    <x v="149"/>
    <x v="5"/>
    <x v="5"/>
    <d v="1905-07-16T00:00:00"/>
    <s v="ecO CANVAS TOTe Bag"/>
    <s v="Eco Canvas Tote Bag"/>
    <x v="1"/>
    <s v="BAGS"/>
    <n v="1"/>
    <n v="25"/>
    <n v="25"/>
    <n v="9.2100000000000009"/>
    <n v="25"/>
    <n v="9.2100000000000009"/>
    <n v="15.79"/>
    <n v="0.63159999999999994"/>
    <s v="C0015"/>
    <x v="77"/>
    <x v="77"/>
    <x v="0"/>
    <x v="0"/>
  </r>
  <r>
    <x v="454"/>
    <x v="149"/>
    <x v="5"/>
    <x v="5"/>
    <d v="1905-07-16T00:00:00"/>
    <s v="COMpOsTaBLe PlAnT POts"/>
    <s v="Compostable Plant Pots"/>
    <x v="4"/>
    <s v="GARDENING"/>
    <n v="7"/>
    <n v="12"/>
    <n v="12"/>
    <n v="3.5"/>
    <n v="84"/>
    <n v="24.5"/>
    <n v="59.5"/>
    <n v="0.70833333333333337"/>
    <s v="C0183"/>
    <x v="1"/>
    <x v="1"/>
    <x v="1"/>
    <x v="2"/>
  </r>
  <r>
    <x v="455"/>
    <x v="149"/>
    <x v="5"/>
    <x v="5"/>
    <d v="1905-07-16T00:00:00"/>
    <s v="REUsABle bAMboO uTeNSIL sEt"/>
    <s v="Reusable Bamboo Utensil Set"/>
    <x v="3"/>
    <s v="KITCHENWARE"/>
    <n v="6"/>
    <n v="15"/>
    <n v="15"/>
    <n v="5.4"/>
    <n v="90"/>
    <n v="32.400000000000006"/>
    <n v="57.599999999999994"/>
    <n v="0.6399999999999999"/>
    <s v="C0032"/>
    <x v="113"/>
    <x v="113"/>
    <x v="1"/>
    <x v="0"/>
  </r>
  <r>
    <x v="456"/>
    <x v="150"/>
    <x v="5"/>
    <x v="5"/>
    <d v="1905-07-16T00:00:00"/>
    <s v="ecO CANVAS TOTe Bag"/>
    <s v="Eco Canvas Tote Bag"/>
    <x v="1"/>
    <s v="BAGS"/>
    <n v="6"/>
    <n v="25"/>
    <n v="25"/>
    <n v="6.04"/>
    <n v="150"/>
    <n v="36.24"/>
    <n v="113.75999999999999"/>
    <n v="0.75839999999999996"/>
    <s v="C0110"/>
    <x v="26"/>
    <x v="26"/>
    <x v="1"/>
    <x v="8"/>
  </r>
  <r>
    <x v="457"/>
    <x v="150"/>
    <x v="5"/>
    <x v="5"/>
    <d v="1905-07-16T00:00:00"/>
    <s v="bIOdegradABlE cLEaNINg cLoTH"/>
    <s v="Biodegradable Cleaning Cloth"/>
    <x v="0"/>
    <s v="CLEANING"/>
    <n v="10"/>
    <n v="10"/>
    <n v="10"/>
    <n v="3.34"/>
    <n v="100"/>
    <n v="33.4"/>
    <n v="66.599999999999994"/>
    <n v="0.66599999999999993"/>
    <s v="C0105"/>
    <x v="45"/>
    <x v="45"/>
    <x v="3"/>
    <x v="2"/>
  </r>
  <r>
    <x v="458"/>
    <x v="150"/>
    <x v="5"/>
    <x v="5"/>
    <d v="1905-07-16T00:00:00"/>
    <s v="COMpOsTaBLe PlAnT POts"/>
    <s v="Compostable Plant Pots"/>
    <x v="4"/>
    <s v="GARDENING"/>
    <n v="3"/>
    <n v="12"/>
    <n v="12"/>
    <n v="3.94"/>
    <n v="36"/>
    <n v="11.82"/>
    <n v="24.18"/>
    <n v="0.67166666666666663"/>
    <s v="C0051"/>
    <x v="16"/>
    <x v="16"/>
    <x v="2"/>
    <x v="7"/>
  </r>
  <r>
    <x v="459"/>
    <x v="151"/>
    <x v="5"/>
    <x v="5"/>
    <d v="1905-07-16T00:00:00"/>
    <s v="bIOdegradABlE cLEaNINg cLoTH"/>
    <s v="Biodegradable Cleaning Cloth"/>
    <x v="0"/>
    <s v="CLEANING"/>
    <n v="3"/>
    <n v="10"/>
    <n v="10"/>
    <n v="3.12"/>
    <n v="30"/>
    <n v="9.36"/>
    <n v="20.64"/>
    <n v="0.68800000000000006"/>
    <s v="C0036"/>
    <x v="93"/>
    <x v="93"/>
    <x v="0"/>
    <x v="9"/>
  </r>
  <r>
    <x v="460"/>
    <x v="152"/>
    <x v="5"/>
    <x v="5"/>
    <d v="1905-07-16T00:00:00"/>
    <s v="COMpOsTaBLe PlAnT POts"/>
    <s v="Compostable Plant Pots"/>
    <x v="4"/>
    <s v="GARDENING"/>
    <n v="7"/>
    <n v="12"/>
    <n v="12"/>
    <n v="4.5599999999999996"/>
    <n v="84"/>
    <n v="31.919999999999998"/>
    <n v="52.08"/>
    <n v="0.62"/>
    <s v="C0188"/>
    <x v="30"/>
    <x v="30"/>
    <x v="1"/>
    <x v="4"/>
  </r>
  <r>
    <x v="461"/>
    <x v="152"/>
    <x v="5"/>
    <x v="5"/>
    <d v="1905-07-16T00:00:00"/>
    <s v="ecO CANVAS TOTe Bag"/>
    <s v="Eco Canvas Tote Bag"/>
    <x v="1"/>
    <s v="BAGS"/>
    <n v="3"/>
    <n v="25"/>
    <n v="25"/>
    <n v="6.29"/>
    <n v="75"/>
    <n v="18.87"/>
    <n v="56.129999999999995"/>
    <n v="0.74839999999999995"/>
    <s v="C0049"/>
    <x v="74"/>
    <x v="74"/>
    <x v="1"/>
    <x v="3"/>
  </r>
  <r>
    <x v="462"/>
    <x v="152"/>
    <x v="5"/>
    <x v="5"/>
    <d v="1905-07-16T00:00:00"/>
    <s v="SoLAR leD lAnTern"/>
    <s v="Solar Led Lantern"/>
    <x v="2"/>
    <s v="LIGHTING"/>
    <n v="2"/>
    <n v="40"/>
    <n v="40"/>
    <n v="8.93"/>
    <n v="80"/>
    <n v="17.86"/>
    <n v="62.14"/>
    <n v="0.77675000000000005"/>
    <s v="C0087"/>
    <x v="49"/>
    <x v="49"/>
    <x v="3"/>
    <x v="3"/>
  </r>
  <r>
    <x v="463"/>
    <x v="153"/>
    <x v="5"/>
    <x v="5"/>
    <d v="1905-07-16T00:00:00"/>
    <s v="ecO CANVAS TOTe Bag"/>
    <s v="Eco Canvas Tote Bag"/>
    <x v="1"/>
    <s v="BAGS"/>
    <n v="3"/>
    <n v="25"/>
    <n v="25"/>
    <n v="9.02"/>
    <n v="75"/>
    <n v="27.06"/>
    <n v="47.94"/>
    <n v="0.63919999999999999"/>
    <s v="C0147"/>
    <x v="30"/>
    <x v="30"/>
    <x v="0"/>
    <x v="2"/>
  </r>
  <r>
    <x v="464"/>
    <x v="153"/>
    <x v="5"/>
    <x v="5"/>
    <d v="1905-07-16T00:00:00"/>
    <s v="COMpOsTaBLe PlAnT POts"/>
    <s v="Compostable Plant Pots"/>
    <x v="4"/>
    <s v="GARDENING"/>
    <n v="2"/>
    <n v="12"/>
    <n v="12"/>
    <n v="4.6100000000000003"/>
    <n v="24"/>
    <n v="9.2200000000000006"/>
    <n v="14.78"/>
    <n v="0.61583333333333334"/>
    <s v="C0120"/>
    <x v="55"/>
    <x v="55"/>
    <x v="0"/>
    <x v="6"/>
  </r>
  <r>
    <x v="465"/>
    <x v="153"/>
    <x v="5"/>
    <x v="5"/>
    <d v="1905-07-16T00:00:00"/>
    <s v="bIOdegradABlE cLEaNINg cLoTH"/>
    <s v="Biodegradable Cleaning Cloth"/>
    <x v="0"/>
    <s v="CLEANING"/>
    <n v="6"/>
    <n v="10"/>
    <n v="10"/>
    <n v="3.13"/>
    <n v="60"/>
    <n v="18.78"/>
    <n v="41.22"/>
    <n v="0.68699999999999994"/>
    <s v="C0180"/>
    <x v="83"/>
    <x v="83"/>
    <x v="1"/>
    <x v="4"/>
  </r>
  <r>
    <x v="466"/>
    <x v="153"/>
    <x v="5"/>
    <x v="5"/>
    <d v="1905-07-16T00:00:00"/>
    <s v="SoLAR leD lAnTern"/>
    <s v="Solar Led Lantern"/>
    <x v="2"/>
    <s v="LIGHTING"/>
    <n v="4"/>
    <n v="40"/>
    <n v="40"/>
    <n v="10.47"/>
    <n v="160"/>
    <n v="41.88"/>
    <n v="118.12"/>
    <n v="0.73825000000000007"/>
    <s v="C0039"/>
    <x v="0"/>
    <x v="0"/>
    <x v="0"/>
    <x v="7"/>
  </r>
  <r>
    <x v="467"/>
    <x v="154"/>
    <x v="5"/>
    <x v="5"/>
    <d v="1905-07-16T00:00:00"/>
    <s v="REUsABle bAMboO uTeNSIL sEt"/>
    <s v="Reusable Bamboo Utensil Set"/>
    <x v="3"/>
    <s v="KITCHENWARE"/>
    <n v="9"/>
    <n v="15"/>
    <n v="15"/>
    <n v="4.75"/>
    <n v="135"/>
    <n v="42.75"/>
    <n v="92.25"/>
    <n v="0.68333333333333335"/>
    <s v="C0082"/>
    <x v="14"/>
    <x v="14"/>
    <x v="2"/>
    <x v="4"/>
  </r>
  <r>
    <x v="468"/>
    <x v="155"/>
    <x v="5"/>
    <x v="5"/>
    <d v="1905-07-16T00:00:00"/>
    <s v="REUsABle bAMboO uTeNSIL sEt"/>
    <s v="Reusable Bamboo Utensil Set"/>
    <x v="3"/>
    <s v="KITCHENWARE"/>
    <n v="5"/>
    <n v="15"/>
    <n v="15"/>
    <n v="4.28"/>
    <n v="75"/>
    <n v="21.400000000000002"/>
    <n v="53.599999999999994"/>
    <n v="0.71466666666666656"/>
    <s v="C0132"/>
    <x v="97"/>
    <x v="97"/>
    <x v="1"/>
    <x v="5"/>
  </r>
  <r>
    <x v="469"/>
    <x v="156"/>
    <x v="5"/>
    <x v="5"/>
    <d v="1905-07-16T00:00:00"/>
    <s v="COMpOsTaBLe PlAnT POts"/>
    <s v="Compostable Plant Pots"/>
    <x v="4"/>
    <s v="GARDENING"/>
    <n v="1"/>
    <n v="12"/>
    <n v="12"/>
    <n v="3.81"/>
    <n v="12"/>
    <n v="3.81"/>
    <n v="8.19"/>
    <n v="0.6825"/>
    <s v="C0077"/>
    <x v="39"/>
    <x v="39"/>
    <x v="1"/>
    <x v="2"/>
  </r>
  <r>
    <x v="470"/>
    <x v="156"/>
    <x v="5"/>
    <x v="5"/>
    <d v="1905-07-16T00:00:00"/>
    <s v="COMpOsTaBLe PlAnT POts"/>
    <s v="Compostable Plant Pots"/>
    <x v="4"/>
    <s v="GARDENING"/>
    <n v="3"/>
    <n v="12"/>
    <n v="12"/>
    <n v="4.78"/>
    <n v="36"/>
    <n v="14.34"/>
    <n v="21.66"/>
    <n v="0.60166666666666668"/>
    <s v="C0057"/>
    <x v="54"/>
    <x v="54"/>
    <x v="1"/>
    <x v="7"/>
  </r>
  <r>
    <x v="471"/>
    <x v="157"/>
    <x v="5"/>
    <x v="5"/>
    <d v="1905-07-16T00:00:00"/>
    <s v="ecO CANVAS TOTe Bag"/>
    <s v="Eco Canvas Tote Bag"/>
    <x v="1"/>
    <s v="BAGS"/>
    <n v="5"/>
    <n v="25"/>
    <n v="25"/>
    <n v="6.67"/>
    <n v="125"/>
    <n v="33.35"/>
    <n v="91.65"/>
    <n v="0.73320000000000007"/>
    <s v="C0083"/>
    <x v="71"/>
    <x v="71"/>
    <x v="0"/>
    <x v="5"/>
  </r>
  <r>
    <x v="472"/>
    <x v="158"/>
    <x v="5"/>
    <x v="5"/>
    <d v="1905-07-16T00:00:00"/>
    <s v="COMpOsTaBLe PlAnT POts"/>
    <s v="Compostable Plant Pots"/>
    <x v="4"/>
    <s v="GARDENING"/>
    <n v="2"/>
    <m/>
    <n v="12"/>
    <n v="3.25"/>
    <n v="24"/>
    <n v="6.5"/>
    <n v="17.5"/>
    <n v="0.72916666666666663"/>
    <s v="C0036"/>
    <x v="93"/>
    <x v="93"/>
    <x v="0"/>
    <x v="1"/>
  </r>
  <r>
    <x v="473"/>
    <x v="158"/>
    <x v="5"/>
    <x v="5"/>
    <d v="1905-07-16T00:00:00"/>
    <s v="REUsABle bAMboO uTeNSIL sEt"/>
    <s v="Reusable Bamboo Utensil Set"/>
    <x v="3"/>
    <s v="KITCHENWARE"/>
    <n v="6"/>
    <n v="15"/>
    <n v="15"/>
    <n v="5.6"/>
    <n v="90"/>
    <n v="33.599999999999994"/>
    <n v="56.400000000000006"/>
    <n v="0.62666666666666671"/>
    <s v="C0120"/>
    <x v="55"/>
    <x v="55"/>
    <x v="1"/>
    <x v="7"/>
  </r>
  <r>
    <x v="474"/>
    <x v="158"/>
    <x v="5"/>
    <x v="5"/>
    <d v="1905-07-16T00:00:00"/>
    <s v="bIOdegradABlE cLEaNINg cLoTH"/>
    <s v="Biodegradable Cleaning Cloth"/>
    <x v="0"/>
    <s v="CLEANING"/>
    <n v="8"/>
    <n v="10"/>
    <n v="10"/>
    <n v="2.0699999999999998"/>
    <n v="80"/>
    <n v="16.559999999999999"/>
    <n v="63.44"/>
    <n v="0.79299999999999993"/>
    <s v="C0166"/>
    <x v="68"/>
    <x v="68"/>
    <x v="0"/>
    <x v="8"/>
  </r>
  <r>
    <x v="475"/>
    <x v="159"/>
    <x v="5"/>
    <x v="5"/>
    <d v="1905-07-16T00:00:00"/>
    <s v="REUsABle bAMboO uTeNSIL sEt"/>
    <s v="Reusable Bamboo Utensil Set"/>
    <x v="3"/>
    <s v="KITCHENWARE"/>
    <n v="6"/>
    <n v="15"/>
    <n v="15"/>
    <n v="4.13"/>
    <n v="90"/>
    <n v="24.78"/>
    <n v="65.22"/>
    <n v="0.72466666666666668"/>
    <s v="C0164"/>
    <x v="34"/>
    <x v="34"/>
    <x v="3"/>
    <x v="1"/>
  </r>
  <r>
    <x v="476"/>
    <x v="160"/>
    <x v="5"/>
    <x v="5"/>
    <d v="1905-07-16T00:00:00"/>
    <s v="REUsABle bAMboO uTeNSIL sEt"/>
    <s v="Reusable Bamboo Utensil Set"/>
    <x v="3"/>
    <s v="KITCHENWARE"/>
    <n v="4"/>
    <n v="15"/>
    <n v="15"/>
    <n v="4.33"/>
    <n v="60"/>
    <n v="17.32"/>
    <n v="42.68"/>
    <n v="0.71133333333333337"/>
    <s v="C0107"/>
    <x v="56"/>
    <x v="56"/>
    <x v="1"/>
    <x v="6"/>
  </r>
  <r>
    <x v="477"/>
    <x v="160"/>
    <x v="5"/>
    <x v="5"/>
    <d v="1905-07-16T00:00:00"/>
    <s v="ecO CANVAS TOTe Bag"/>
    <s v="Eco Canvas Tote Bag"/>
    <x v="1"/>
    <s v="BAGS"/>
    <n v="5"/>
    <n v="25"/>
    <n v="25"/>
    <n v="9.07"/>
    <n v="125"/>
    <n v="45.35"/>
    <n v="79.650000000000006"/>
    <n v="0.6372000000000001"/>
    <s v="C0035"/>
    <x v="16"/>
    <x v="16"/>
    <x v="1"/>
    <x v="1"/>
  </r>
  <r>
    <x v="478"/>
    <x v="161"/>
    <x v="5"/>
    <x v="5"/>
    <d v="1905-07-16T00:00:00"/>
    <s v="REUsABle bAMboO uTeNSIL sEt"/>
    <s v="Reusable Bamboo Utensil Set"/>
    <x v="3"/>
    <s v="KITCHENWARE"/>
    <n v="9"/>
    <n v="15"/>
    <n v="15"/>
    <n v="5.65"/>
    <n v="135"/>
    <n v="50.85"/>
    <n v="84.15"/>
    <n v="0.62333333333333341"/>
    <s v="C0104"/>
    <x v="21"/>
    <x v="21"/>
    <x v="1"/>
    <x v="5"/>
  </r>
  <r>
    <x v="479"/>
    <x v="161"/>
    <x v="5"/>
    <x v="5"/>
    <d v="1905-07-16T00:00:00"/>
    <s v="COMpOsTaBLe PlAnT POts"/>
    <s v="Compostable Plant Pots"/>
    <x v="4"/>
    <s v="GARDENING"/>
    <n v="2"/>
    <n v="12"/>
    <n v="12"/>
    <n v="3.36"/>
    <n v="24"/>
    <n v="6.72"/>
    <n v="17.28"/>
    <n v="0.72000000000000008"/>
    <s v="C0186"/>
    <x v="98"/>
    <x v="98"/>
    <x v="1"/>
    <x v="4"/>
  </r>
  <r>
    <x v="480"/>
    <x v="161"/>
    <x v="5"/>
    <x v="5"/>
    <d v="1905-07-16T00:00:00"/>
    <s v="bIOdegradABlE cLEaNINg cLoTH"/>
    <s v="Biodegradable Cleaning Cloth"/>
    <x v="0"/>
    <s v="CLEANING"/>
    <n v="10"/>
    <n v="10"/>
    <n v="10"/>
    <n v="2.37"/>
    <n v="100"/>
    <n v="23.700000000000003"/>
    <n v="76.3"/>
    <n v="0.76300000000000001"/>
    <s v="C0143"/>
    <x v="89"/>
    <x v="89"/>
    <x v="1"/>
    <x v="2"/>
  </r>
  <r>
    <x v="481"/>
    <x v="162"/>
    <x v="5"/>
    <x v="5"/>
    <d v="1905-07-16T00:00:00"/>
    <s v="REUsABle bAMboO uTeNSIL sEt"/>
    <s v="Reusable Bamboo Utensil Set"/>
    <x v="3"/>
    <s v="KITCHENWARE"/>
    <n v="9"/>
    <n v="15"/>
    <n v="15"/>
    <n v="3.76"/>
    <n v="135"/>
    <n v="33.839999999999996"/>
    <n v="101.16"/>
    <n v="0.7493333333333333"/>
    <s v="C0164"/>
    <x v="34"/>
    <x v="34"/>
    <x v="0"/>
    <x v="7"/>
  </r>
  <r>
    <x v="482"/>
    <x v="162"/>
    <x v="5"/>
    <x v="5"/>
    <d v="1905-07-16T00:00:00"/>
    <s v="SoLAR leD lAnTern"/>
    <s v="Solar Led Lantern"/>
    <x v="2"/>
    <s v="LIGHTING"/>
    <n v="3"/>
    <n v="40"/>
    <n v="40"/>
    <n v="11.38"/>
    <n v="120"/>
    <n v="34.14"/>
    <n v="85.86"/>
    <n v="0.71550000000000002"/>
    <s v="C0115"/>
    <x v="114"/>
    <x v="114"/>
    <x v="3"/>
    <x v="8"/>
  </r>
  <r>
    <x v="483"/>
    <x v="162"/>
    <x v="5"/>
    <x v="5"/>
    <d v="1905-07-16T00:00:00"/>
    <s v="bIOdegradABlE cLEaNINg cLoTH"/>
    <s v="Biodegradable Cleaning Cloth"/>
    <x v="0"/>
    <s v="CLEANING"/>
    <n v="8"/>
    <n v="10"/>
    <n v="10"/>
    <n v="3.88"/>
    <n v="80"/>
    <n v="31.04"/>
    <n v="48.96"/>
    <n v="0.61199999999999999"/>
    <s v="C0107"/>
    <x v="56"/>
    <x v="56"/>
    <x v="1"/>
    <x v="0"/>
  </r>
  <r>
    <x v="484"/>
    <x v="162"/>
    <x v="5"/>
    <x v="5"/>
    <d v="1905-07-16T00:00:00"/>
    <s v="SoLAR leD lAnTern"/>
    <s v="Solar Led Lantern"/>
    <x v="2"/>
    <s v="LIGHTING"/>
    <n v="10"/>
    <m/>
    <n v="40"/>
    <n v="13.77"/>
    <n v="400"/>
    <n v="137.69999999999999"/>
    <n v="262.3"/>
    <n v="0.65575000000000006"/>
    <s v="C0078"/>
    <x v="35"/>
    <x v="35"/>
    <x v="3"/>
    <x v="2"/>
  </r>
  <r>
    <x v="485"/>
    <x v="163"/>
    <x v="5"/>
    <x v="5"/>
    <d v="1905-07-16T00:00:00"/>
    <s v="SoLAR leD lAnTern"/>
    <s v="Solar Led Lantern"/>
    <x v="2"/>
    <s v="LIGHTING"/>
    <n v="6"/>
    <n v="40"/>
    <n v="40"/>
    <n v="8.89"/>
    <n v="240"/>
    <n v="53.34"/>
    <n v="186.66"/>
    <n v="0.77774999999999994"/>
    <s v="C0064"/>
    <x v="46"/>
    <x v="46"/>
    <x v="1"/>
    <x v="5"/>
  </r>
  <r>
    <x v="486"/>
    <x v="163"/>
    <x v="5"/>
    <x v="5"/>
    <d v="1905-07-16T00:00:00"/>
    <s v="SoLAR leD lAnTern"/>
    <s v="Solar Led Lantern"/>
    <x v="2"/>
    <s v="LIGHTING"/>
    <n v="3"/>
    <n v="40"/>
    <n v="40"/>
    <n v="11.64"/>
    <n v="120"/>
    <n v="34.92"/>
    <n v="85.08"/>
    <n v="0.70899999999999996"/>
    <s v="C0200"/>
    <x v="0"/>
    <x v="0"/>
    <x v="1"/>
    <x v="7"/>
  </r>
  <r>
    <x v="487"/>
    <x v="163"/>
    <x v="5"/>
    <x v="5"/>
    <d v="1905-07-16T00:00:00"/>
    <s v="REUsABle bAMboO uTeNSIL sEt"/>
    <s v="Reusable Bamboo Utensil Set"/>
    <x v="3"/>
    <s v="KITCHENWARE"/>
    <n v="6"/>
    <n v="15"/>
    <n v="15"/>
    <n v="4.5599999999999996"/>
    <n v="90"/>
    <n v="27.36"/>
    <n v="62.64"/>
    <n v="0.69599999999999995"/>
    <s v="C0081"/>
    <x v="33"/>
    <x v="33"/>
    <x v="2"/>
    <x v="2"/>
  </r>
  <r>
    <x v="488"/>
    <x v="163"/>
    <x v="5"/>
    <x v="5"/>
    <d v="1905-07-16T00:00:00"/>
    <s v="COMpOsTaBLe PlAnT POts"/>
    <s v="Compostable Plant Pots"/>
    <x v="4"/>
    <s v="GARDENING"/>
    <n v="5"/>
    <n v="12"/>
    <n v="12"/>
    <n v="4.3499999999999996"/>
    <n v="60"/>
    <n v="21.75"/>
    <n v="38.25"/>
    <n v="0.63749999999999996"/>
    <s v="C0064"/>
    <x v="46"/>
    <x v="46"/>
    <x v="1"/>
    <x v="8"/>
  </r>
  <r>
    <x v="489"/>
    <x v="164"/>
    <x v="5"/>
    <x v="5"/>
    <d v="1905-07-16T00:00:00"/>
    <s v="ecO CANVAS TOTe Bag"/>
    <s v="Eco Canvas Tote Bag"/>
    <x v="1"/>
    <s v="BAGS"/>
    <n v="10"/>
    <n v="25"/>
    <n v="25"/>
    <n v="6.8"/>
    <n v="250"/>
    <n v="68"/>
    <n v="182"/>
    <n v="0.72799999999999998"/>
    <s v="C0014"/>
    <x v="18"/>
    <x v="18"/>
    <x v="1"/>
    <x v="3"/>
  </r>
  <r>
    <x v="490"/>
    <x v="165"/>
    <x v="5"/>
    <x v="5"/>
    <d v="1905-07-16T00:00:00"/>
    <s v="COMpOsTaBLe PlAnT POts"/>
    <s v="Compostable Plant Pots"/>
    <x v="4"/>
    <s v="GARDENING"/>
    <n v="4"/>
    <n v="12"/>
    <n v="12"/>
    <n v="3.38"/>
    <n v="48"/>
    <n v="13.52"/>
    <n v="34.480000000000004"/>
    <n v="0.71833333333333338"/>
    <s v="C0137"/>
    <x v="52"/>
    <x v="52"/>
    <x v="2"/>
    <x v="9"/>
  </r>
  <r>
    <x v="491"/>
    <x v="165"/>
    <x v="5"/>
    <x v="5"/>
    <d v="1905-07-16T00:00:00"/>
    <s v="bIOdegradABlE cLEaNINg cLoTH"/>
    <s v="Biodegradable Cleaning Cloth"/>
    <x v="0"/>
    <s v="CLEANING"/>
    <n v="4"/>
    <n v="10"/>
    <n v="10"/>
    <n v="3.23"/>
    <n v="40"/>
    <n v="12.92"/>
    <n v="27.08"/>
    <n v="0.67699999999999994"/>
    <s v="C0159"/>
    <x v="105"/>
    <x v="105"/>
    <x v="2"/>
    <x v="9"/>
  </r>
  <r>
    <x v="492"/>
    <x v="166"/>
    <x v="5"/>
    <x v="5"/>
    <d v="1905-07-16T00:00:00"/>
    <s v="COMpOsTaBLe PlAnT POts"/>
    <s v="Compostable Plant Pots"/>
    <x v="4"/>
    <s v="GARDENING"/>
    <n v="8"/>
    <n v="12"/>
    <n v="12"/>
    <n v="4.22"/>
    <n v="96"/>
    <n v="33.76"/>
    <n v="62.24"/>
    <n v="0.64833333333333332"/>
    <s v="C0045"/>
    <x v="51"/>
    <x v="51"/>
    <x v="2"/>
    <x v="4"/>
  </r>
  <r>
    <x v="493"/>
    <x v="166"/>
    <x v="5"/>
    <x v="5"/>
    <d v="1905-07-16T00:00:00"/>
    <s v="COMpOsTaBLe PlAnT POts"/>
    <s v="Compostable Plant Pots"/>
    <x v="4"/>
    <s v="GARDENING"/>
    <n v="9"/>
    <n v="12"/>
    <n v="12"/>
    <n v="4.3"/>
    <n v="108"/>
    <n v="38.699999999999996"/>
    <n v="69.300000000000011"/>
    <n v="0.64166666666666672"/>
    <s v="C0176"/>
    <x v="9"/>
    <x v="9"/>
    <x v="0"/>
    <x v="1"/>
  </r>
  <r>
    <x v="494"/>
    <x v="166"/>
    <x v="5"/>
    <x v="5"/>
    <d v="1905-07-16T00:00:00"/>
    <s v="COMpOsTaBLe PlAnT POts"/>
    <s v="Compostable Plant Pots"/>
    <x v="4"/>
    <s v="GARDENING"/>
    <n v="7"/>
    <n v="12"/>
    <n v="12"/>
    <n v="2.96"/>
    <n v="84"/>
    <n v="20.72"/>
    <n v="63.28"/>
    <n v="0.7533333333333333"/>
    <s v="C0095"/>
    <x v="61"/>
    <x v="61"/>
    <x v="1"/>
    <x v="9"/>
  </r>
  <r>
    <x v="495"/>
    <x v="167"/>
    <x v="5"/>
    <x v="5"/>
    <d v="1905-07-16T00:00:00"/>
    <s v="bIOdegradABlE cLEaNINg cLoTH"/>
    <s v="Biodegradable Cleaning Cloth"/>
    <x v="0"/>
    <s v="CLEANING"/>
    <n v="9"/>
    <n v="10"/>
    <n v="10"/>
    <n v="2.59"/>
    <n v="90"/>
    <n v="23.31"/>
    <n v="66.69"/>
    <n v="0.74099999999999999"/>
    <s v="C0087"/>
    <x v="49"/>
    <x v="49"/>
    <x v="1"/>
    <x v="7"/>
  </r>
  <r>
    <x v="496"/>
    <x v="167"/>
    <x v="5"/>
    <x v="5"/>
    <d v="1905-07-16T00:00:00"/>
    <s v="COMpOsTaBLe PlAnT POts"/>
    <s v="Compostable Plant Pots"/>
    <x v="4"/>
    <s v="GARDENING"/>
    <n v="10"/>
    <n v="12"/>
    <n v="12"/>
    <n v="4.32"/>
    <n v="120"/>
    <n v="43.2"/>
    <n v="76.8"/>
    <n v="0.64"/>
    <s v="C0045"/>
    <x v="51"/>
    <x v="51"/>
    <x v="1"/>
    <x v="6"/>
  </r>
  <r>
    <x v="497"/>
    <x v="167"/>
    <x v="5"/>
    <x v="5"/>
    <d v="1905-07-16T00:00:00"/>
    <s v="SoLAR leD lAnTern"/>
    <s v="Solar Led Lantern"/>
    <x v="2"/>
    <s v="LIGHTING"/>
    <n v="1"/>
    <n v="40"/>
    <n v="40"/>
    <n v="10.67"/>
    <n v="40"/>
    <n v="10.67"/>
    <n v="29.33"/>
    <n v="0.73324999999999996"/>
    <s v="C0034"/>
    <x v="40"/>
    <x v="40"/>
    <x v="1"/>
    <x v="9"/>
  </r>
  <r>
    <x v="498"/>
    <x v="167"/>
    <x v="5"/>
    <x v="5"/>
    <d v="1905-07-16T00:00:00"/>
    <s v="SoLAR leD lAnTern"/>
    <s v="Solar Led Lantern"/>
    <x v="2"/>
    <s v="LIGHTING"/>
    <n v="3"/>
    <n v="40"/>
    <n v="40"/>
    <n v="9.52"/>
    <n v="120"/>
    <n v="28.56"/>
    <n v="91.44"/>
    <n v="0.76200000000000001"/>
    <s v="C0195"/>
    <x v="56"/>
    <x v="56"/>
    <x v="1"/>
    <x v="6"/>
  </r>
  <r>
    <x v="499"/>
    <x v="167"/>
    <x v="5"/>
    <x v="5"/>
    <d v="1905-07-16T00:00:00"/>
    <s v="SoLAR leD lAnTern"/>
    <s v="Solar Led Lantern"/>
    <x v="2"/>
    <s v="LIGHTING"/>
    <n v="8"/>
    <n v="40"/>
    <n v="40"/>
    <n v="13.53"/>
    <n v="320"/>
    <n v="108.24"/>
    <n v="211.76"/>
    <n v="0.66174999999999995"/>
    <s v="C0013"/>
    <x v="16"/>
    <x v="16"/>
    <x v="1"/>
    <x v="5"/>
  </r>
  <r>
    <x v="500"/>
    <x v="168"/>
    <x v="5"/>
    <x v="5"/>
    <d v="1905-07-16T00:00:00"/>
    <s v="SoLAR leD lAnTern"/>
    <s v="Solar Led Lantern"/>
    <x v="2"/>
    <s v="LIGHTING"/>
    <n v="2"/>
    <n v="40"/>
    <n v="40"/>
    <n v="11.47"/>
    <n v="80"/>
    <n v="22.94"/>
    <n v="57.06"/>
    <n v="0.71325000000000005"/>
    <s v="C0110"/>
    <x v="26"/>
    <x v="26"/>
    <x v="1"/>
    <x v="8"/>
  </r>
  <r>
    <x v="501"/>
    <x v="168"/>
    <x v="5"/>
    <x v="5"/>
    <d v="1905-07-16T00:00:00"/>
    <s v="ecO CANVAS TOTe Bag"/>
    <s v="Eco Canvas Tote Bag"/>
    <x v="1"/>
    <s v="BAGS"/>
    <n v="4"/>
    <n v="25"/>
    <n v="25"/>
    <n v="6.06"/>
    <n v="100"/>
    <n v="24.24"/>
    <n v="75.760000000000005"/>
    <n v="0.75760000000000005"/>
    <s v="C0169"/>
    <x v="56"/>
    <x v="56"/>
    <x v="0"/>
    <x v="7"/>
  </r>
  <r>
    <x v="502"/>
    <x v="169"/>
    <x v="5"/>
    <x v="5"/>
    <d v="1905-07-16T00:00:00"/>
    <s v="REUsABle bAMboO uTeNSIL sEt"/>
    <s v="Reusable Bamboo Utensil Set"/>
    <x v="3"/>
    <s v="KITCHENWARE"/>
    <n v="5"/>
    <n v="15"/>
    <n v="15"/>
    <n v="3.29"/>
    <n v="75"/>
    <n v="16.45"/>
    <n v="58.55"/>
    <n v="0.78066666666666662"/>
    <s v="C0168"/>
    <x v="62"/>
    <x v="62"/>
    <x v="1"/>
    <x v="8"/>
  </r>
  <r>
    <x v="503"/>
    <x v="169"/>
    <x v="5"/>
    <x v="5"/>
    <d v="1905-07-16T00:00:00"/>
    <s v="COMpOsTaBLe PlAnT POts"/>
    <s v="Compostable Plant Pots"/>
    <x v="4"/>
    <s v="GARDENING"/>
    <n v="9"/>
    <n v="12"/>
    <n v="12"/>
    <n v="4.29"/>
    <n v="108"/>
    <n v="38.61"/>
    <n v="69.39"/>
    <n v="0.64249999999999996"/>
    <s v="C0096"/>
    <x v="82"/>
    <x v="82"/>
    <x v="1"/>
    <x v="1"/>
  </r>
  <r>
    <x v="504"/>
    <x v="169"/>
    <x v="5"/>
    <x v="5"/>
    <d v="1905-07-16T00:00:00"/>
    <s v="COMpOsTaBLe PlAnT POts"/>
    <s v="Compostable Plant Pots"/>
    <x v="4"/>
    <s v="GARDENING"/>
    <n v="4"/>
    <n v="12"/>
    <n v="12"/>
    <n v="3.42"/>
    <n v="48"/>
    <n v="13.68"/>
    <n v="34.32"/>
    <n v="0.71499999999999997"/>
    <s v="C0091"/>
    <x v="72"/>
    <x v="72"/>
    <x v="1"/>
    <x v="8"/>
  </r>
  <r>
    <x v="505"/>
    <x v="170"/>
    <x v="5"/>
    <x v="5"/>
    <d v="1905-07-16T00:00:00"/>
    <s v="REUsABle bAMboO uTeNSIL sEt"/>
    <s v="Reusable Bamboo Utensil Set"/>
    <x v="3"/>
    <s v="KITCHENWARE"/>
    <n v="6"/>
    <n v="15"/>
    <n v="15"/>
    <n v="5.73"/>
    <n v="90"/>
    <n v="34.380000000000003"/>
    <n v="55.62"/>
    <n v="0.61799999999999999"/>
    <s v="C0163"/>
    <x v="95"/>
    <x v="95"/>
    <x v="0"/>
    <x v="4"/>
  </r>
  <r>
    <x v="506"/>
    <x v="171"/>
    <x v="5"/>
    <x v="5"/>
    <d v="1905-07-16T00:00:00"/>
    <s v="COMpOsTaBLe PlAnT POts"/>
    <s v="Compostable Plant Pots"/>
    <x v="4"/>
    <s v="GARDENING"/>
    <n v="7"/>
    <n v="12"/>
    <n v="12"/>
    <n v="4.74"/>
    <n v="84"/>
    <n v="33.18"/>
    <n v="50.82"/>
    <n v="0.60499999999999998"/>
    <s v="C0021"/>
    <x v="37"/>
    <x v="37"/>
    <x v="1"/>
    <x v="3"/>
  </r>
  <r>
    <x v="507"/>
    <x v="171"/>
    <x v="5"/>
    <x v="5"/>
    <d v="1905-07-16T00:00:00"/>
    <s v="COMpOsTaBLe PlAnT POts"/>
    <s v="Compostable Plant Pots"/>
    <x v="4"/>
    <s v="GARDENING"/>
    <n v="3"/>
    <n v="12"/>
    <n v="12"/>
    <n v="2.81"/>
    <n v="36"/>
    <n v="8.43"/>
    <n v="27.57"/>
    <n v="0.76583333333333337"/>
    <s v="C0160"/>
    <x v="19"/>
    <x v="19"/>
    <x v="1"/>
    <x v="5"/>
  </r>
  <r>
    <x v="508"/>
    <x v="171"/>
    <x v="5"/>
    <x v="5"/>
    <d v="1905-07-16T00:00:00"/>
    <s v="SoLAR leD lAnTern"/>
    <s v="Solar Led Lantern"/>
    <x v="2"/>
    <s v="LIGHTING"/>
    <n v="6"/>
    <n v="40"/>
    <n v="40"/>
    <n v="12.24"/>
    <n v="240"/>
    <n v="73.44"/>
    <n v="166.56"/>
    <n v="0.69400000000000006"/>
    <s v="C0073"/>
    <x v="38"/>
    <x v="38"/>
    <x v="1"/>
    <x v="6"/>
  </r>
  <r>
    <x v="509"/>
    <x v="172"/>
    <x v="5"/>
    <x v="5"/>
    <d v="1905-07-16T00:00:00"/>
    <s v="COMpOsTaBLe PlAnT POts"/>
    <s v="Compostable Plant Pots"/>
    <x v="4"/>
    <s v="GARDENING"/>
    <n v="10"/>
    <n v="12"/>
    <n v="12"/>
    <n v="4.72"/>
    <n v="120"/>
    <n v="47.199999999999996"/>
    <n v="72.800000000000011"/>
    <n v="0.6066666666666668"/>
    <s v="C0171"/>
    <x v="59"/>
    <x v="59"/>
    <x v="1"/>
    <x v="5"/>
  </r>
  <r>
    <x v="510"/>
    <x v="173"/>
    <x v="5"/>
    <x v="5"/>
    <d v="1905-07-16T00:00:00"/>
    <s v="COMpOsTaBLe PlAnT POts"/>
    <s v="Compostable Plant Pots"/>
    <x v="4"/>
    <s v="GARDENING"/>
    <n v="4"/>
    <n v="12"/>
    <n v="12"/>
    <n v="2.85"/>
    <n v="48"/>
    <n v="11.4"/>
    <n v="36.6"/>
    <n v="0.76250000000000007"/>
    <s v="C0179"/>
    <x v="20"/>
    <x v="20"/>
    <x v="1"/>
    <x v="5"/>
  </r>
  <r>
    <x v="511"/>
    <x v="173"/>
    <x v="5"/>
    <x v="5"/>
    <d v="1905-07-16T00:00:00"/>
    <s v="REUsABle bAMboO uTeNSIL sEt"/>
    <s v="Reusable Bamboo Utensil Set"/>
    <x v="3"/>
    <s v="KITCHENWARE"/>
    <n v="4"/>
    <n v="15"/>
    <n v="15"/>
    <n v="5.4"/>
    <n v="60"/>
    <n v="21.6"/>
    <n v="38.4"/>
    <n v="0.64"/>
    <s v="C0093"/>
    <x v="76"/>
    <x v="76"/>
    <x v="1"/>
    <x v="0"/>
  </r>
  <r>
    <x v="512"/>
    <x v="173"/>
    <x v="5"/>
    <x v="5"/>
    <d v="1905-07-16T00:00:00"/>
    <s v="bIOdegradABlE cLEaNINg cLoTH"/>
    <s v="Biodegradable Cleaning Cloth"/>
    <x v="0"/>
    <s v="CLEANING"/>
    <n v="6"/>
    <n v="10"/>
    <n v="10"/>
    <n v="3.63"/>
    <n v="60"/>
    <n v="21.78"/>
    <n v="38.22"/>
    <n v="0.63700000000000001"/>
    <s v="C0183"/>
    <x v="1"/>
    <x v="1"/>
    <x v="0"/>
    <x v="3"/>
  </r>
  <r>
    <x v="513"/>
    <x v="173"/>
    <x v="5"/>
    <x v="5"/>
    <d v="1905-07-16T00:00:00"/>
    <s v="SoLAR leD lAnTern"/>
    <s v="Solar Led Lantern"/>
    <x v="2"/>
    <s v="LIGHTING"/>
    <n v="9"/>
    <n v="40"/>
    <n v="40"/>
    <n v="10.5"/>
    <n v="360"/>
    <n v="94.5"/>
    <n v="265.5"/>
    <n v="0.73750000000000004"/>
    <s v="C0168"/>
    <x v="62"/>
    <x v="62"/>
    <x v="0"/>
    <x v="9"/>
  </r>
  <r>
    <x v="514"/>
    <x v="173"/>
    <x v="5"/>
    <x v="5"/>
    <d v="1905-07-16T00:00:00"/>
    <s v="ecO CANVAS TOTe Bag"/>
    <s v="Eco Canvas Tote Bag"/>
    <x v="1"/>
    <s v="BAGS"/>
    <n v="10"/>
    <n v="25"/>
    <n v="25"/>
    <n v="9.86"/>
    <n v="250"/>
    <n v="98.6"/>
    <n v="151.4"/>
    <n v="0.60560000000000003"/>
    <s v="C0089"/>
    <x v="115"/>
    <x v="115"/>
    <x v="1"/>
    <x v="9"/>
  </r>
  <r>
    <x v="515"/>
    <x v="174"/>
    <x v="6"/>
    <x v="6"/>
    <d v="1905-07-16T00:00:00"/>
    <s v="ecO CANVAS TOTe Bag"/>
    <s v="Eco Canvas Tote Bag"/>
    <x v="1"/>
    <s v="BAGS"/>
    <n v="6"/>
    <n v="25"/>
    <n v="25"/>
    <n v="9.43"/>
    <n v="150"/>
    <n v="56.58"/>
    <n v="93.42"/>
    <n v="0.62280000000000002"/>
    <s v="C0023"/>
    <x v="63"/>
    <x v="63"/>
    <x v="1"/>
    <x v="7"/>
  </r>
  <r>
    <x v="516"/>
    <x v="174"/>
    <x v="6"/>
    <x v="6"/>
    <d v="1905-07-16T00:00:00"/>
    <s v="ecO CANVAS TOTe Bag"/>
    <s v="Eco Canvas Tote Bag"/>
    <x v="1"/>
    <s v="BAGS"/>
    <n v="10"/>
    <n v="25"/>
    <n v="25"/>
    <n v="6.74"/>
    <n v="250"/>
    <n v="67.400000000000006"/>
    <n v="182.6"/>
    <n v="0.73039999999999994"/>
    <s v="C0188"/>
    <x v="30"/>
    <x v="30"/>
    <x v="1"/>
    <x v="1"/>
  </r>
  <r>
    <x v="517"/>
    <x v="174"/>
    <x v="6"/>
    <x v="6"/>
    <d v="1905-07-16T00:00:00"/>
    <s v="bIOdegradABlE cLEaNINg cLoTH"/>
    <s v="Biodegradable Cleaning Cloth"/>
    <x v="0"/>
    <s v="CLEANING"/>
    <n v="3"/>
    <n v="10"/>
    <n v="10"/>
    <n v="2.65"/>
    <n v="30"/>
    <n v="7.9499999999999993"/>
    <n v="22.05"/>
    <n v="0.73499999999999999"/>
    <s v="C0194"/>
    <x v="60"/>
    <x v="60"/>
    <x v="1"/>
    <x v="4"/>
  </r>
  <r>
    <x v="518"/>
    <x v="174"/>
    <x v="6"/>
    <x v="6"/>
    <d v="1905-07-16T00:00:00"/>
    <s v="ecO CANVAS TOTe Bag"/>
    <s v="Eco Canvas Tote Bag"/>
    <x v="1"/>
    <s v="BAGS"/>
    <n v="4"/>
    <n v="25"/>
    <n v="25"/>
    <n v="6.09"/>
    <n v="100"/>
    <n v="24.36"/>
    <n v="75.64"/>
    <n v="0.75639999999999996"/>
    <s v="C0022"/>
    <x v="32"/>
    <x v="32"/>
    <x v="1"/>
    <x v="2"/>
  </r>
  <r>
    <x v="519"/>
    <x v="175"/>
    <x v="6"/>
    <x v="6"/>
    <d v="1905-07-16T00:00:00"/>
    <s v="bIOdegradABlE cLEaNINg cLoTH"/>
    <s v="Biodegradable Cleaning Cloth"/>
    <x v="0"/>
    <s v="CLEANING"/>
    <n v="4"/>
    <n v="10"/>
    <n v="10"/>
    <n v="3.41"/>
    <n v="40"/>
    <n v="13.64"/>
    <n v="26.36"/>
    <n v="0.65900000000000003"/>
    <s v="C0090"/>
    <x v="116"/>
    <x v="116"/>
    <x v="1"/>
    <x v="8"/>
  </r>
  <r>
    <x v="520"/>
    <x v="175"/>
    <x v="6"/>
    <x v="6"/>
    <d v="1905-07-16T00:00:00"/>
    <s v="SoLAR leD lAnTern"/>
    <s v="Solar Led Lantern"/>
    <x v="2"/>
    <s v="LIGHTING"/>
    <n v="10"/>
    <n v="40"/>
    <n v="40"/>
    <n v="14.88"/>
    <n v="400"/>
    <n v="148.80000000000001"/>
    <n v="251.2"/>
    <n v="0.628"/>
    <s v="C0053"/>
    <x v="6"/>
    <x v="6"/>
    <x v="3"/>
    <x v="4"/>
  </r>
  <r>
    <x v="521"/>
    <x v="176"/>
    <x v="6"/>
    <x v="6"/>
    <d v="1905-07-16T00:00:00"/>
    <s v="SoLAR leD lAnTern"/>
    <s v="Solar Led Lantern"/>
    <x v="2"/>
    <s v="LIGHTING"/>
    <n v="8"/>
    <n v="40"/>
    <n v="40"/>
    <n v="13.65"/>
    <n v="320"/>
    <n v="109.2"/>
    <n v="210.8"/>
    <n v="0.65875000000000006"/>
    <s v="C0112"/>
    <x v="70"/>
    <x v="70"/>
    <x v="0"/>
    <x v="8"/>
  </r>
  <r>
    <x v="522"/>
    <x v="176"/>
    <x v="6"/>
    <x v="6"/>
    <d v="1905-07-16T00:00:00"/>
    <s v="ecO CANVAS TOTe Bag"/>
    <s v="Eco Canvas Tote Bag"/>
    <x v="1"/>
    <s v="BAGS"/>
    <n v="6"/>
    <n v="25"/>
    <n v="25"/>
    <n v="5.28"/>
    <n v="150"/>
    <n v="31.68"/>
    <n v="118.32"/>
    <n v="0.78879999999999995"/>
    <s v="C0125"/>
    <x v="83"/>
    <x v="83"/>
    <x v="3"/>
    <x v="9"/>
  </r>
  <r>
    <x v="523"/>
    <x v="176"/>
    <x v="6"/>
    <x v="6"/>
    <d v="1905-07-16T00:00:00"/>
    <s v="ecO CANVAS TOTe Bag"/>
    <s v="Eco Canvas Tote Bag"/>
    <x v="1"/>
    <s v="BAGS"/>
    <n v="2"/>
    <n v="25"/>
    <n v="25"/>
    <n v="8.89"/>
    <n v="50"/>
    <n v="17.78"/>
    <n v="32.22"/>
    <n v="0.64439999999999997"/>
    <s v="C0168"/>
    <x v="62"/>
    <x v="62"/>
    <x v="1"/>
    <x v="5"/>
  </r>
  <r>
    <x v="524"/>
    <x v="176"/>
    <x v="6"/>
    <x v="6"/>
    <d v="1905-07-16T00:00:00"/>
    <s v="COMpOsTaBLe PlAnT POts"/>
    <s v="Compostable Plant Pots"/>
    <x v="4"/>
    <s v="GARDENING"/>
    <n v="6"/>
    <n v="12"/>
    <n v="12"/>
    <n v="4.28"/>
    <n v="72"/>
    <n v="25.68"/>
    <n v="46.32"/>
    <n v="0.64333333333333331"/>
    <s v="C0182"/>
    <x v="57"/>
    <x v="57"/>
    <x v="2"/>
    <x v="1"/>
  </r>
  <r>
    <x v="525"/>
    <x v="177"/>
    <x v="6"/>
    <x v="6"/>
    <d v="1905-07-16T00:00:00"/>
    <s v="bIOdegradABlE cLEaNINg cLoTH"/>
    <s v="Biodegradable Cleaning Cloth"/>
    <x v="0"/>
    <s v="CLEANING"/>
    <n v="8"/>
    <n v="10"/>
    <n v="10"/>
    <n v="3.74"/>
    <n v="80"/>
    <n v="29.92"/>
    <n v="50.08"/>
    <n v="0.626"/>
    <s v="C0124"/>
    <x v="15"/>
    <x v="15"/>
    <x v="0"/>
    <x v="4"/>
  </r>
  <r>
    <x v="526"/>
    <x v="177"/>
    <x v="6"/>
    <x v="6"/>
    <d v="1905-07-16T00:00:00"/>
    <s v="ecO CANVAS TOTe Bag"/>
    <s v="Eco Canvas Tote Bag"/>
    <x v="1"/>
    <s v="BAGS"/>
    <n v="3"/>
    <n v="25"/>
    <n v="25"/>
    <n v="5.52"/>
    <n v="75"/>
    <n v="16.559999999999999"/>
    <n v="58.44"/>
    <n v="0.7792"/>
    <s v="C0189"/>
    <x v="42"/>
    <x v="42"/>
    <x v="1"/>
    <x v="6"/>
  </r>
  <r>
    <x v="527"/>
    <x v="177"/>
    <x v="6"/>
    <x v="6"/>
    <d v="1905-07-16T00:00:00"/>
    <s v="SoLAR leD lAnTern"/>
    <s v="Solar Led Lantern"/>
    <x v="2"/>
    <s v="LIGHTING"/>
    <n v="6"/>
    <n v="40"/>
    <n v="40"/>
    <n v="11.74"/>
    <n v="240"/>
    <n v="70.44"/>
    <n v="169.56"/>
    <n v="0.70650000000000002"/>
    <s v="C0069"/>
    <x v="3"/>
    <x v="3"/>
    <x v="1"/>
    <x v="0"/>
  </r>
  <r>
    <x v="528"/>
    <x v="178"/>
    <x v="6"/>
    <x v="6"/>
    <d v="1905-07-16T00:00:00"/>
    <s v="REUsABle bAMboO uTeNSIL sEt"/>
    <s v="Reusable Bamboo Utensil Set"/>
    <x v="3"/>
    <s v="KITCHENWARE"/>
    <n v="2"/>
    <n v="15"/>
    <n v="15"/>
    <n v="4.2699999999999996"/>
    <n v="30"/>
    <n v="8.5399999999999991"/>
    <n v="21.46"/>
    <n v="0.71533333333333338"/>
    <s v="C0175"/>
    <x v="79"/>
    <x v="79"/>
    <x v="0"/>
    <x v="6"/>
  </r>
  <r>
    <x v="529"/>
    <x v="178"/>
    <x v="6"/>
    <x v="6"/>
    <d v="1905-07-16T00:00:00"/>
    <s v="ecO CANVAS TOTe Bag"/>
    <s v="Eco Canvas Tote Bag"/>
    <x v="1"/>
    <s v="BAGS"/>
    <n v="10"/>
    <n v="25"/>
    <n v="25"/>
    <n v="9.14"/>
    <n v="250"/>
    <n v="91.4"/>
    <n v="158.6"/>
    <n v="0.63439999999999996"/>
    <s v="C0127"/>
    <x v="22"/>
    <x v="22"/>
    <x v="0"/>
    <x v="4"/>
  </r>
  <r>
    <x v="530"/>
    <x v="178"/>
    <x v="6"/>
    <x v="6"/>
    <d v="1905-07-16T00:00:00"/>
    <s v="SoLAR leD lAnTern"/>
    <s v="Solar Led Lantern"/>
    <x v="2"/>
    <s v="LIGHTING"/>
    <n v="9"/>
    <n v="40"/>
    <n v="40"/>
    <n v="15.55"/>
    <n v="360"/>
    <n v="139.95000000000002"/>
    <n v="220.04999999999998"/>
    <n v="0.61124999999999996"/>
    <s v="C0007"/>
    <x v="65"/>
    <x v="65"/>
    <x v="1"/>
    <x v="4"/>
  </r>
  <r>
    <x v="531"/>
    <x v="178"/>
    <x v="6"/>
    <x v="6"/>
    <d v="1905-07-16T00:00:00"/>
    <s v="SoLAR leD lAnTern"/>
    <s v="Solar Led Lantern"/>
    <x v="2"/>
    <s v="LIGHTING"/>
    <n v="7"/>
    <m/>
    <n v="40"/>
    <n v="11.99"/>
    <n v="280"/>
    <n v="83.93"/>
    <n v="196.07"/>
    <n v="0.70024999999999993"/>
    <s v="C0197"/>
    <x v="68"/>
    <x v="68"/>
    <x v="1"/>
    <x v="6"/>
  </r>
  <r>
    <x v="532"/>
    <x v="179"/>
    <x v="6"/>
    <x v="6"/>
    <d v="1905-07-16T00:00:00"/>
    <s v="REUsABle bAMboO uTeNSIL sEt"/>
    <s v="Reusable Bamboo Utensil Set"/>
    <x v="3"/>
    <s v="KITCHENWARE"/>
    <n v="4"/>
    <n v="15"/>
    <n v="15"/>
    <n v="4.22"/>
    <n v="60"/>
    <n v="16.88"/>
    <n v="43.120000000000005"/>
    <n v="0.71866666666666679"/>
    <s v="C0113"/>
    <x v="12"/>
    <x v="12"/>
    <x v="3"/>
    <x v="2"/>
  </r>
  <r>
    <x v="533"/>
    <x v="180"/>
    <x v="6"/>
    <x v="6"/>
    <d v="1905-07-16T00:00:00"/>
    <s v="COMpOsTaBLe PlAnT POts"/>
    <s v="Compostable Plant Pots"/>
    <x v="4"/>
    <s v="GARDENING"/>
    <n v="5"/>
    <n v="12"/>
    <n v="12"/>
    <n v="4.4800000000000004"/>
    <n v="60"/>
    <n v="22.400000000000002"/>
    <n v="37.599999999999994"/>
    <n v="0.62666666666666659"/>
    <s v="C0187"/>
    <x v="48"/>
    <x v="48"/>
    <x v="3"/>
    <x v="2"/>
  </r>
  <r>
    <x v="534"/>
    <x v="180"/>
    <x v="6"/>
    <x v="6"/>
    <d v="1905-07-16T00:00:00"/>
    <s v="REUsABle bAMboO uTeNSIL sEt"/>
    <s v="Reusable Bamboo Utensil Set"/>
    <x v="3"/>
    <s v="KITCHENWARE"/>
    <n v="2"/>
    <n v="15"/>
    <n v="15"/>
    <n v="4.96"/>
    <n v="30"/>
    <n v="9.92"/>
    <n v="20.079999999999998"/>
    <n v="0.66933333333333322"/>
    <s v="C0025"/>
    <x v="58"/>
    <x v="58"/>
    <x v="0"/>
    <x v="2"/>
  </r>
  <r>
    <x v="535"/>
    <x v="181"/>
    <x v="6"/>
    <x v="6"/>
    <d v="1905-07-16T00:00:00"/>
    <s v="ecO CANVAS TOTe Bag"/>
    <s v="Eco Canvas Tote Bag"/>
    <x v="1"/>
    <s v="BAGS"/>
    <n v="5"/>
    <n v="25"/>
    <n v="25"/>
    <n v="7.6"/>
    <n v="125"/>
    <n v="38"/>
    <n v="87"/>
    <n v="0.69599999999999995"/>
    <s v="C0158"/>
    <x v="36"/>
    <x v="36"/>
    <x v="1"/>
    <x v="1"/>
  </r>
  <r>
    <x v="536"/>
    <x v="182"/>
    <x v="6"/>
    <x v="6"/>
    <d v="1905-07-16T00:00:00"/>
    <s v="COMpOsTaBLe PlAnT POts"/>
    <s v="Compostable Plant Pots"/>
    <x v="4"/>
    <s v="GARDENING"/>
    <n v="5"/>
    <n v="12"/>
    <n v="12"/>
    <n v="3.87"/>
    <n v="60"/>
    <n v="19.350000000000001"/>
    <n v="40.65"/>
    <n v="0.67749999999999999"/>
    <s v="C0098"/>
    <x v="98"/>
    <x v="98"/>
    <x v="0"/>
    <x v="5"/>
  </r>
  <r>
    <x v="537"/>
    <x v="182"/>
    <x v="6"/>
    <x v="6"/>
    <d v="1905-07-16T00:00:00"/>
    <s v="REUsABle bAMboO uTeNSIL sEt"/>
    <s v="Reusable Bamboo Utensil Set"/>
    <x v="3"/>
    <s v="KITCHENWARE"/>
    <n v="6"/>
    <n v="15"/>
    <n v="15"/>
    <n v="3.58"/>
    <n v="90"/>
    <n v="21.48"/>
    <n v="68.52"/>
    <n v="0.76133333333333331"/>
    <s v="C0051"/>
    <x v="16"/>
    <x v="16"/>
    <x v="1"/>
    <x v="8"/>
  </r>
  <r>
    <x v="538"/>
    <x v="183"/>
    <x v="6"/>
    <x v="6"/>
    <d v="1905-07-16T00:00:00"/>
    <s v="REUsABle bAMboO uTeNSIL sEt"/>
    <s v="Reusable Bamboo Utensil Set"/>
    <x v="3"/>
    <s v="KITCHENWARE"/>
    <n v="10"/>
    <m/>
    <n v="15"/>
    <n v="5.77"/>
    <n v="150"/>
    <n v="57.699999999999996"/>
    <n v="92.300000000000011"/>
    <n v="0.6153333333333334"/>
    <s v="C0044"/>
    <x v="78"/>
    <x v="78"/>
    <x v="1"/>
    <x v="8"/>
  </r>
  <r>
    <x v="539"/>
    <x v="184"/>
    <x v="6"/>
    <x v="6"/>
    <d v="1905-07-16T00:00:00"/>
    <s v="SoLAR leD lAnTern"/>
    <s v="Solar Led Lantern"/>
    <x v="2"/>
    <s v="LIGHTING"/>
    <n v="3"/>
    <n v="40"/>
    <n v="40"/>
    <n v="12.58"/>
    <n v="120"/>
    <n v="37.74"/>
    <n v="82.259999999999991"/>
    <n v="0.68549999999999989"/>
    <s v="C0198"/>
    <x v="109"/>
    <x v="109"/>
    <x v="1"/>
    <x v="0"/>
  </r>
  <r>
    <x v="540"/>
    <x v="184"/>
    <x v="6"/>
    <x v="6"/>
    <d v="1905-07-16T00:00:00"/>
    <s v="REUsABle bAMboO uTeNSIL sEt"/>
    <s v="Reusable Bamboo Utensil Set"/>
    <x v="3"/>
    <s v="KITCHENWARE"/>
    <n v="9"/>
    <n v="15"/>
    <n v="15"/>
    <n v="5.0599999999999996"/>
    <n v="135"/>
    <n v="45.54"/>
    <n v="89.460000000000008"/>
    <n v="0.66266666666666674"/>
    <s v="C0037"/>
    <x v="64"/>
    <x v="64"/>
    <x v="3"/>
    <x v="0"/>
  </r>
  <r>
    <x v="541"/>
    <x v="184"/>
    <x v="6"/>
    <x v="6"/>
    <d v="1905-07-16T00:00:00"/>
    <s v="REUsABle bAMboO uTeNSIL sEt"/>
    <s v="Reusable Bamboo Utensil Set"/>
    <x v="3"/>
    <s v="KITCHENWARE"/>
    <n v="9"/>
    <n v="15"/>
    <n v="15"/>
    <n v="4.67"/>
    <n v="135"/>
    <n v="42.03"/>
    <n v="92.97"/>
    <n v="0.68866666666666665"/>
    <s v="C0125"/>
    <x v="83"/>
    <x v="83"/>
    <x v="1"/>
    <x v="9"/>
  </r>
  <r>
    <x v="542"/>
    <x v="185"/>
    <x v="6"/>
    <x v="6"/>
    <d v="1905-07-16T00:00:00"/>
    <s v="bIOdegradABlE cLEaNINg cLoTH"/>
    <s v="Biodegradable Cleaning Cloth"/>
    <x v="0"/>
    <s v="CLEANING"/>
    <n v="10"/>
    <n v="10"/>
    <n v="10"/>
    <n v="2.2200000000000002"/>
    <n v="100"/>
    <n v="22.200000000000003"/>
    <n v="77.8"/>
    <n v="0.77800000000000002"/>
    <s v="C0040"/>
    <x v="84"/>
    <x v="84"/>
    <x v="2"/>
    <x v="2"/>
  </r>
  <r>
    <x v="543"/>
    <x v="186"/>
    <x v="6"/>
    <x v="6"/>
    <d v="1905-07-16T00:00:00"/>
    <s v="bIOdegradABlE cLEaNINg cLoTH"/>
    <s v="Biodegradable Cleaning Cloth"/>
    <x v="0"/>
    <s v="CLEANING"/>
    <n v="2"/>
    <n v="10"/>
    <n v="10"/>
    <n v="2.02"/>
    <n v="20"/>
    <n v="4.04"/>
    <n v="15.96"/>
    <n v="0.79800000000000004"/>
    <s v="C0070"/>
    <x v="117"/>
    <x v="117"/>
    <x v="0"/>
    <x v="7"/>
  </r>
  <r>
    <x v="544"/>
    <x v="186"/>
    <x v="6"/>
    <x v="6"/>
    <d v="1905-07-16T00:00:00"/>
    <s v="COMpOsTaBLe PlAnT POts"/>
    <s v="Compostable Plant Pots"/>
    <x v="4"/>
    <s v="GARDENING"/>
    <n v="5"/>
    <n v="12"/>
    <n v="12"/>
    <n v="2.5099999999999998"/>
    <n v="60"/>
    <n v="12.549999999999999"/>
    <n v="47.45"/>
    <n v="0.79083333333333339"/>
    <s v="C0103"/>
    <x v="3"/>
    <x v="3"/>
    <x v="1"/>
    <x v="6"/>
  </r>
  <r>
    <x v="545"/>
    <x v="186"/>
    <x v="6"/>
    <x v="6"/>
    <d v="1905-07-16T00:00:00"/>
    <s v="bIOdegradABlE cLEaNINg cLoTH"/>
    <s v="Biodegradable Cleaning Cloth"/>
    <x v="0"/>
    <s v="CLEANING"/>
    <n v="4"/>
    <n v="10"/>
    <n v="10"/>
    <n v="3.9"/>
    <n v="40"/>
    <n v="15.6"/>
    <n v="24.4"/>
    <n v="0.61"/>
    <s v="C0146"/>
    <x v="58"/>
    <x v="58"/>
    <x v="0"/>
    <x v="2"/>
  </r>
  <r>
    <x v="546"/>
    <x v="186"/>
    <x v="6"/>
    <x v="6"/>
    <d v="1905-07-16T00:00:00"/>
    <s v="SoLAR leD lAnTern"/>
    <s v="Solar Led Lantern"/>
    <x v="2"/>
    <s v="LIGHTING"/>
    <n v="10"/>
    <n v="40"/>
    <n v="40"/>
    <n v="14.94"/>
    <n v="400"/>
    <n v="149.4"/>
    <n v="250.6"/>
    <n v="0.62649999999999995"/>
    <s v="C0118"/>
    <x v="105"/>
    <x v="105"/>
    <x v="0"/>
    <x v="5"/>
  </r>
  <r>
    <x v="547"/>
    <x v="187"/>
    <x v="6"/>
    <x v="6"/>
    <d v="1905-07-16T00:00:00"/>
    <s v="REUsABle bAMboO uTeNSIL sEt"/>
    <s v="Reusable Bamboo Utensil Set"/>
    <x v="3"/>
    <s v="KITCHENWARE"/>
    <n v="6"/>
    <n v="15"/>
    <n v="15"/>
    <n v="3.49"/>
    <n v="90"/>
    <n v="20.94"/>
    <n v="69.06"/>
    <n v="0.76733333333333331"/>
    <s v="C0104"/>
    <x v="21"/>
    <x v="21"/>
    <x v="3"/>
    <x v="3"/>
  </r>
  <r>
    <x v="548"/>
    <x v="187"/>
    <x v="6"/>
    <x v="6"/>
    <d v="1905-07-16T00:00:00"/>
    <s v="SoLAR leD lAnTern"/>
    <s v="Solar Led Lantern"/>
    <x v="2"/>
    <s v="LIGHTING"/>
    <n v="1"/>
    <n v="40"/>
    <n v="40"/>
    <n v="10.89"/>
    <n v="40"/>
    <n v="10.89"/>
    <n v="29.11"/>
    <n v="0.72775000000000001"/>
    <s v="C0200"/>
    <x v="0"/>
    <x v="0"/>
    <x v="1"/>
    <x v="6"/>
  </r>
  <r>
    <x v="549"/>
    <x v="187"/>
    <x v="6"/>
    <x v="6"/>
    <d v="1905-07-16T00:00:00"/>
    <s v="ecO CANVAS TOTe Bag"/>
    <s v="Eco Canvas Tote Bag"/>
    <x v="1"/>
    <s v="BAGS"/>
    <n v="3"/>
    <n v="25"/>
    <n v="25"/>
    <n v="6.64"/>
    <n v="75"/>
    <n v="19.919999999999998"/>
    <n v="55.08"/>
    <n v="0.73439999999999994"/>
    <s v="C0177"/>
    <x v="110"/>
    <x v="110"/>
    <x v="1"/>
    <x v="4"/>
  </r>
  <r>
    <x v="550"/>
    <x v="187"/>
    <x v="6"/>
    <x v="6"/>
    <d v="1905-07-16T00:00:00"/>
    <s v="ecO CANVAS TOTe Bag"/>
    <s v="Eco Canvas Tote Bag"/>
    <x v="1"/>
    <s v="BAGS"/>
    <n v="5"/>
    <n v="25"/>
    <n v="25"/>
    <n v="5.76"/>
    <n v="125"/>
    <n v="28.799999999999997"/>
    <n v="96.2"/>
    <n v="0.76960000000000006"/>
    <s v="C0131"/>
    <x v="69"/>
    <x v="69"/>
    <x v="1"/>
    <x v="4"/>
  </r>
  <r>
    <x v="551"/>
    <x v="187"/>
    <x v="6"/>
    <x v="6"/>
    <d v="1905-07-16T00:00:00"/>
    <s v="REUsABle bAMboO uTeNSIL sEt"/>
    <s v="Reusable Bamboo Utensil Set"/>
    <x v="3"/>
    <s v="KITCHENWARE"/>
    <n v="2"/>
    <n v="15"/>
    <n v="15"/>
    <n v="5.21"/>
    <n v="30"/>
    <n v="10.42"/>
    <n v="19.579999999999998"/>
    <n v="0.65266666666666662"/>
    <s v="C0098"/>
    <x v="98"/>
    <x v="98"/>
    <x v="1"/>
    <x v="1"/>
  </r>
  <r>
    <x v="552"/>
    <x v="188"/>
    <x v="6"/>
    <x v="6"/>
    <d v="1905-07-16T00:00:00"/>
    <s v="bIOdegradABlE cLEaNINg cLoTH"/>
    <s v="Biodegradable Cleaning Cloth"/>
    <x v="0"/>
    <s v="CLEANING"/>
    <n v="3"/>
    <n v="10"/>
    <n v="10"/>
    <n v="3.27"/>
    <n v="30"/>
    <n v="9.81"/>
    <n v="20.189999999999998"/>
    <n v="0.67299999999999993"/>
    <s v="C0126"/>
    <x v="90"/>
    <x v="90"/>
    <x v="0"/>
    <x v="7"/>
  </r>
  <r>
    <x v="553"/>
    <x v="188"/>
    <x v="6"/>
    <x v="6"/>
    <d v="1905-07-16T00:00:00"/>
    <s v="REUsABle bAMboO uTeNSIL sEt"/>
    <s v="Reusable Bamboo Utensil Set"/>
    <x v="3"/>
    <s v="KITCHENWARE"/>
    <n v="4"/>
    <n v="15"/>
    <n v="15"/>
    <n v="5.98"/>
    <n v="60"/>
    <n v="23.92"/>
    <n v="36.08"/>
    <n v="0.60133333333333328"/>
    <s v="C0118"/>
    <x v="105"/>
    <x v="105"/>
    <x v="1"/>
    <x v="4"/>
  </r>
  <r>
    <x v="554"/>
    <x v="189"/>
    <x v="6"/>
    <x v="6"/>
    <d v="1905-07-16T00:00:00"/>
    <s v="bIOdegradABlE cLEaNINg cLoTH"/>
    <s v="Biodegradable Cleaning Cloth"/>
    <x v="0"/>
    <s v="CLEANING"/>
    <n v="4"/>
    <n v="10"/>
    <n v="10"/>
    <n v="2.38"/>
    <n v="40"/>
    <n v="9.52"/>
    <n v="30.48"/>
    <n v="0.76200000000000001"/>
    <s v="C0050"/>
    <x v="74"/>
    <x v="74"/>
    <x v="2"/>
    <x v="1"/>
  </r>
  <r>
    <x v="555"/>
    <x v="189"/>
    <x v="6"/>
    <x v="6"/>
    <d v="1905-07-16T00:00:00"/>
    <s v="REUsABle bAMboO uTeNSIL sEt"/>
    <s v="Reusable Bamboo Utensil Set"/>
    <x v="3"/>
    <s v="KITCHENWARE"/>
    <n v="7"/>
    <n v="15"/>
    <n v="15"/>
    <n v="4.13"/>
    <n v="105"/>
    <n v="28.91"/>
    <n v="76.09"/>
    <n v="0.72466666666666668"/>
    <s v="C0041"/>
    <x v="45"/>
    <x v="45"/>
    <x v="1"/>
    <x v="9"/>
  </r>
  <r>
    <x v="556"/>
    <x v="189"/>
    <x v="6"/>
    <x v="6"/>
    <d v="1905-07-16T00:00:00"/>
    <s v="ecO CANVAS TOTe Bag"/>
    <s v="Eco Canvas Tote Bag"/>
    <x v="1"/>
    <s v="BAGS"/>
    <n v="5"/>
    <n v="25"/>
    <n v="25"/>
    <n v="9.35"/>
    <n v="125"/>
    <n v="46.75"/>
    <n v="78.25"/>
    <n v="0.626"/>
    <s v="C0193"/>
    <x v="67"/>
    <x v="67"/>
    <x v="1"/>
    <x v="8"/>
  </r>
  <r>
    <x v="557"/>
    <x v="189"/>
    <x v="6"/>
    <x v="6"/>
    <d v="1905-07-16T00:00:00"/>
    <s v="REUsABle bAMboO uTeNSIL sEt"/>
    <s v="Reusable Bamboo Utensil Set"/>
    <x v="3"/>
    <s v="KITCHENWARE"/>
    <n v="8"/>
    <n v="15"/>
    <n v="15"/>
    <n v="3.62"/>
    <n v="120"/>
    <n v="28.96"/>
    <n v="91.039999999999992"/>
    <n v="0.7586666666666666"/>
    <s v="C0184"/>
    <x v="11"/>
    <x v="11"/>
    <x v="2"/>
    <x v="7"/>
  </r>
  <r>
    <x v="558"/>
    <x v="190"/>
    <x v="6"/>
    <x v="6"/>
    <d v="1905-07-16T00:00:00"/>
    <s v="ecO CANVAS TOTe Bag"/>
    <s v="Eco Canvas Tote Bag"/>
    <x v="1"/>
    <s v="BAGS"/>
    <n v="5"/>
    <n v="25"/>
    <n v="25"/>
    <n v="8.68"/>
    <n v="125"/>
    <n v="43.4"/>
    <n v="81.599999999999994"/>
    <n v="0.65279999999999994"/>
    <s v="C0050"/>
    <x v="74"/>
    <x v="74"/>
    <x v="1"/>
    <x v="0"/>
  </r>
  <r>
    <x v="559"/>
    <x v="190"/>
    <x v="6"/>
    <x v="6"/>
    <d v="1905-07-16T00:00:00"/>
    <s v="REUsABle bAMboO uTeNSIL sEt"/>
    <s v="Reusable Bamboo Utensil Set"/>
    <x v="3"/>
    <s v="KITCHENWARE"/>
    <n v="10"/>
    <n v="15"/>
    <n v="15"/>
    <n v="3.4"/>
    <n v="150"/>
    <n v="34"/>
    <n v="116"/>
    <n v="0.77333333333333332"/>
    <s v="C0015"/>
    <x v="77"/>
    <x v="77"/>
    <x v="3"/>
    <x v="1"/>
  </r>
  <r>
    <x v="560"/>
    <x v="190"/>
    <x v="6"/>
    <x v="6"/>
    <d v="1905-07-16T00:00:00"/>
    <s v="SoLAR leD lAnTern"/>
    <s v="Solar Led Lantern"/>
    <x v="2"/>
    <s v="LIGHTING"/>
    <n v="2"/>
    <n v="40"/>
    <n v="40"/>
    <n v="9.3000000000000007"/>
    <n v="80"/>
    <n v="18.600000000000001"/>
    <n v="61.4"/>
    <n v="0.76749999999999996"/>
    <s v="C0165"/>
    <x v="8"/>
    <x v="8"/>
    <x v="1"/>
    <x v="9"/>
  </r>
  <r>
    <x v="561"/>
    <x v="190"/>
    <x v="6"/>
    <x v="6"/>
    <d v="1905-07-16T00:00:00"/>
    <s v="REUsABle bAMboO uTeNSIL sEt"/>
    <s v="Reusable Bamboo Utensil Set"/>
    <x v="3"/>
    <s v="KITCHENWARE"/>
    <n v="7"/>
    <n v="15"/>
    <n v="15"/>
    <n v="3.65"/>
    <n v="105"/>
    <n v="25.55"/>
    <n v="79.45"/>
    <n v="0.75666666666666671"/>
    <s v="C0019"/>
    <x v="118"/>
    <x v="118"/>
    <x v="2"/>
    <x v="0"/>
  </r>
  <r>
    <x v="562"/>
    <x v="190"/>
    <x v="6"/>
    <x v="6"/>
    <d v="1905-07-16T00:00:00"/>
    <s v="SoLAR leD lAnTern"/>
    <s v="Solar Led Lantern"/>
    <x v="2"/>
    <s v="LIGHTING"/>
    <n v="2"/>
    <n v="40"/>
    <n v="40"/>
    <n v="14.04"/>
    <n v="80"/>
    <n v="28.08"/>
    <n v="51.92"/>
    <n v="0.64900000000000002"/>
    <s v="C0197"/>
    <x v="68"/>
    <x v="68"/>
    <x v="0"/>
    <x v="3"/>
  </r>
  <r>
    <x v="563"/>
    <x v="191"/>
    <x v="6"/>
    <x v="6"/>
    <d v="1905-07-16T00:00:00"/>
    <s v="ecO CANVAS TOTe Bag"/>
    <s v="Eco Canvas Tote Bag"/>
    <x v="1"/>
    <s v="BAGS"/>
    <n v="2"/>
    <n v="25"/>
    <n v="25"/>
    <n v="9.57"/>
    <n v="50"/>
    <n v="19.14"/>
    <n v="30.86"/>
    <n v="0.61719999999999997"/>
    <s v="C0002"/>
    <x v="43"/>
    <x v="43"/>
    <x v="1"/>
    <x v="6"/>
  </r>
  <r>
    <x v="564"/>
    <x v="192"/>
    <x v="6"/>
    <x v="6"/>
    <d v="1905-07-16T00:00:00"/>
    <s v="SoLAR leD lAnTern"/>
    <s v="Solar Led Lantern"/>
    <x v="2"/>
    <s v="LIGHTING"/>
    <n v="3"/>
    <n v="40"/>
    <n v="40"/>
    <n v="12.77"/>
    <n v="120"/>
    <n v="38.31"/>
    <n v="81.69"/>
    <n v="0.68074999999999997"/>
    <s v="C0083"/>
    <x v="71"/>
    <x v="71"/>
    <x v="1"/>
    <x v="7"/>
  </r>
  <r>
    <x v="565"/>
    <x v="193"/>
    <x v="6"/>
    <x v="6"/>
    <d v="1905-07-16T00:00:00"/>
    <s v="REUsABle bAMboO uTeNSIL sEt"/>
    <s v="Reusable Bamboo Utensil Set"/>
    <x v="3"/>
    <s v="KITCHENWARE"/>
    <n v="8"/>
    <n v="15"/>
    <n v="15"/>
    <n v="4.2699999999999996"/>
    <n v="120"/>
    <n v="34.159999999999997"/>
    <n v="85.84"/>
    <n v="0.71533333333333338"/>
    <s v="C0030"/>
    <x v="34"/>
    <x v="34"/>
    <x v="0"/>
    <x v="5"/>
  </r>
  <r>
    <x v="566"/>
    <x v="193"/>
    <x v="6"/>
    <x v="6"/>
    <d v="1905-07-16T00:00:00"/>
    <s v="ecO CANVAS TOTe Bag"/>
    <s v="Eco Canvas Tote Bag"/>
    <x v="1"/>
    <s v="BAGS"/>
    <n v="4"/>
    <m/>
    <n v="25"/>
    <n v="8.75"/>
    <n v="100"/>
    <n v="35"/>
    <n v="65"/>
    <n v="0.65"/>
    <s v="C0097"/>
    <x v="26"/>
    <x v="26"/>
    <x v="1"/>
    <x v="5"/>
  </r>
  <r>
    <x v="567"/>
    <x v="193"/>
    <x v="6"/>
    <x v="6"/>
    <d v="1905-07-16T00:00:00"/>
    <s v="SoLAR leD lAnTern"/>
    <s v="Solar Led Lantern"/>
    <x v="2"/>
    <s v="LIGHTING"/>
    <n v="3"/>
    <n v="40"/>
    <n v="40"/>
    <n v="9.3699999999999992"/>
    <n v="120"/>
    <n v="28.11"/>
    <n v="91.89"/>
    <n v="0.76575000000000004"/>
    <s v="C0170"/>
    <x v="48"/>
    <x v="48"/>
    <x v="1"/>
    <x v="0"/>
  </r>
  <r>
    <x v="568"/>
    <x v="194"/>
    <x v="6"/>
    <x v="6"/>
    <d v="1905-07-16T00:00:00"/>
    <s v="SoLAR leD lAnTern"/>
    <s v="Solar Led Lantern"/>
    <x v="2"/>
    <s v="LIGHTING"/>
    <n v="5"/>
    <n v="40"/>
    <n v="40"/>
    <n v="11"/>
    <n v="200"/>
    <n v="55"/>
    <n v="145"/>
    <n v="0.72499999999999998"/>
    <s v="C0156"/>
    <x v="18"/>
    <x v="18"/>
    <x v="1"/>
    <x v="7"/>
  </r>
  <r>
    <x v="569"/>
    <x v="194"/>
    <x v="6"/>
    <x v="6"/>
    <d v="1905-07-16T00:00:00"/>
    <s v="ecO CANVAS TOTe Bag"/>
    <s v="Eco Canvas Tote Bag"/>
    <x v="1"/>
    <s v="BAGS"/>
    <n v="10"/>
    <n v="25"/>
    <n v="25"/>
    <n v="5.0999999999999996"/>
    <n v="250"/>
    <n v="51"/>
    <n v="199"/>
    <n v="0.79600000000000004"/>
    <s v="C0085"/>
    <x v="29"/>
    <x v="29"/>
    <x v="1"/>
    <x v="8"/>
  </r>
  <r>
    <x v="570"/>
    <x v="194"/>
    <x v="6"/>
    <x v="6"/>
    <d v="1905-07-16T00:00:00"/>
    <s v="SoLAR leD lAnTern"/>
    <s v="Solar Led Lantern"/>
    <x v="2"/>
    <s v="LIGHTING"/>
    <n v="8"/>
    <n v="40"/>
    <n v="40"/>
    <n v="10.119999999999999"/>
    <n v="320"/>
    <n v="80.959999999999994"/>
    <n v="239.04000000000002"/>
    <n v="0.74700000000000011"/>
    <s v="C0054"/>
    <x v="37"/>
    <x v="37"/>
    <x v="1"/>
    <x v="9"/>
  </r>
  <r>
    <x v="571"/>
    <x v="195"/>
    <x v="6"/>
    <x v="6"/>
    <d v="1905-07-16T00:00:00"/>
    <s v="REUsABle bAMboO uTeNSIL sEt"/>
    <s v="Reusable Bamboo Utensil Set"/>
    <x v="3"/>
    <s v="KITCHENWARE"/>
    <n v="7"/>
    <n v="15"/>
    <n v="15"/>
    <n v="5.88"/>
    <n v="105"/>
    <n v="41.16"/>
    <n v="63.84"/>
    <n v="0.60799999999999998"/>
    <s v="C0119"/>
    <x v="21"/>
    <x v="21"/>
    <x v="3"/>
    <x v="0"/>
  </r>
  <r>
    <x v="572"/>
    <x v="195"/>
    <x v="6"/>
    <x v="6"/>
    <d v="1905-07-16T00:00:00"/>
    <s v="bIOdegradABlE cLEaNINg cLoTH"/>
    <s v="Biodegradable Cleaning Cloth"/>
    <x v="0"/>
    <s v="CLEANING"/>
    <n v="1"/>
    <n v="10"/>
    <n v="10"/>
    <n v="2.21"/>
    <n v="10"/>
    <n v="2.21"/>
    <n v="7.79"/>
    <n v="0.77900000000000003"/>
    <s v="C0083"/>
    <x v="71"/>
    <x v="71"/>
    <x v="1"/>
    <x v="1"/>
  </r>
  <r>
    <x v="573"/>
    <x v="195"/>
    <x v="6"/>
    <x v="6"/>
    <d v="1905-07-16T00:00:00"/>
    <s v="SoLAR leD lAnTern"/>
    <s v="Solar Led Lantern"/>
    <x v="2"/>
    <s v="LIGHTING"/>
    <n v="3"/>
    <n v="40"/>
    <n v="40"/>
    <n v="8.3800000000000008"/>
    <n v="120"/>
    <n v="25.14"/>
    <n v="94.86"/>
    <n v="0.79049999999999998"/>
    <s v="C0086"/>
    <x v="35"/>
    <x v="35"/>
    <x v="1"/>
    <x v="4"/>
  </r>
  <r>
    <x v="574"/>
    <x v="195"/>
    <x v="6"/>
    <x v="6"/>
    <d v="1905-07-16T00:00:00"/>
    <s v="COMpOsTaBLe PlAnT POts"/>
    <s v="Compostable Plant Pots"/>
    <x v="4"/>
    <s v="GARDENING"/>
    <n v="6"/>
    <n v="12"/>
    <n v="12"/>
    <n v="2.68"/>
    <n v="72"/>
    <n v="16.080000000000002"/>
    <n v="55.92"/>
    <n v="0.77666666666666673"/>
    <s v="C0149"/>
    <x v="10"/>
    <x v="10"/>
    <x v="1"/>
    <x v="0"/>
  </r>
  <r>
    <x v="575"/>
    <x v="196"/>
    <x v="6"/>
    <x v="6"/>
    <d v="1905-07-16T00:00:00"/>
    <s v="ecO CANVAS TOTe Bag"/>
    <s v="Eco Canvas Tote Bag"/>
    <x v="1"/>
    <s v="BAGS"/>
    <n v="8"/>
    <n v="25"/>
    <n v="25"/>
    <n v="6.6"/>
    <n v="200"/>
    <n v="52.8"/>
    <n v="147.19999999999999"/>
    <n v="0.73599999999999999"/>
    <s v="C0187"/>
    <x v="48"/>
    <x v="48"/>
    <x v="1"/>
    <x v="2"/>
  </r>
  <r>
    <x v="576"/>
    <x v="196"/>
    <x v="6"/>
    <x v="6"/>
    <d v="1905-07-16T00:00:00"/>
    <s v="SoLAR leD lAnTern"/>
    <s v="Solar Led Lantern"/>
    <x v="2"/>
    <s v="LIGHTING"/>
    <n v="4"/>
    <n v="40"/>
    <n v="40"/>
    <n v="14.82"/>
    <n v="160"/>
    <n v="59.28"/>
    <n v="100.72"/>
    <n v="0.62949999999999995"/>
    <s v="C0008"/>
    <x v="68"/>
    <x v="68"/>
    <x v="1"/>
    <x v="1"/>
  </r>
  <r>
    <x v="577"/>
    <x v="196"/>
    <x v="6"/>
    <x v="6"/>
    <d v="1905-07-16T00:00:00"/>
    <s v="ecO CANVAS TOTe Bag"/>
    <s v="Eco Canvas Tote Bag"/>
    <x v="1"/>
    <s v="BAGS"/>
    <n v="7"/>
    <n v="25"/>
    <n v="25"/>
    <n v="8.67"/>
    <n v="175"/>
    <n v="60.69"/>
    <n v="114.31"/>
    <n v="0.6532"/>
    <s v="C0178"/>
    <x v="19"/>
    <x v="19"/>
    <x v="0"/>
    <x v="3"/>
  </r>
  <r>
    <x v="578"/>
    <x v="196"/>
    <x v="6"/>
    <x v="6"/>
    <d v="1905-07-16T00:00:00"/>
    <s v="REUsABle bAMboO uTeNSIL sEt"/>
    <s v="Reusable Bamboo Utensil Set"/>
    <x v="3"/>
    <s v="KITCHENWARE"/>
    <n v="8"/>
    <n v="15"/>
    <n v="15"/>
    <n v="5.97"/>
    <n v="120"/>
    <n v="47.76"/>
    <n v="72.240000000000009"/>
    <n v="0.60200000000000009"/>
    <s v="C0147"/>
    <x v="30"/>
    <x v="30"/>
    <x v="1"/>
    <x v="3"/>
  </r>
  <r>
    <x v="579"/>
    <x v="196"/>
    <x v="6"/>
    <x v="6"/>
    <d v="1905-07-16T00:00:00"/>
    <s v="COMpOsTaBLe PlAnT POts"/>
    <s v="Compostable Plant Pots"/>
    <x v="4"/>
    <s v="GARDENING"/>
    <n v="4"/>
    <n v="12"/>
    <n v="12"/>
    <n v="3.9"/>
    <n v="48"/>
    <n v="15.6"/>
    <n v="32.4"/>
    <n v="0.67499999999999993"/>
    <s v="C0173"/>
    <x v="119"/>
    <x v="119"/>
    <x v="1"/>
    <x v="1"/>
  </r>
  <r>
    <x v="580"/>
    <x v="196"/>
    <x v="6"/>
    <x v="6"/>
    <d v="1905-07-16T00:00:00"/>
    <s v="bIOdegradABlE cLEaNINg cLoTH"/>
    <s v="Biodegradable Cleaning Cloth"/>
    <x v="0"/>
    <s v="CLEANING"/>
    <n v="6"/>
    <n v="10"/>
    <n v="10"/>
    <n v="3.16"/>
    <n v="60"/>
    <n v="18.96"/>
    <n v="41.04"/>
    <n v="0.68399999999999994"/>
    <s v="C0177"/>
    <x v="110"/>
    <x v="110"/>
    <x v="1"/>
    <x v="4"/>
  </r>
  <r>
    <x v="581"/>
    <x v="196"/>
    <x v="6"/>
    <x v="6"/>
    <d v="1905-07-16T00:00:00"/>
    <s v="SoLAR leD lAnTern"/>
    <s v="Solar Led Lantern"/>
    <x v="2"/>
    <s v="LIGHTING"/>
    <n v="3"/>
    <n v="40"/>
    <n v="40"/>
    <n v="11.05"/>
    <n v="120"/>
    <n v="33.150000000000006"/>
    <n v="86.85"/>
    <n v="0.72375"/>
    <s v="C0040"/>
    <x v="84"/>
    <x v="84"/>
    <x v="0"/>
    <x v="7"/>
  </r>
  <r>
    <x v="582"/>
    <x v="197"/>
    <x v="6"/>
    <x v="6"/>
    <d v="1905-07-16T00:00:00"/>
    <s v="SoLAR leD lAnTern"/>
    <s v="Solar Led Lantern"/>
    <x v="2"/>
    <s v="LIGHTING"/>
    <n v="5"/>
    <m/>
    <n v="40"/>
    <n v="12.94"/>
    <n v="200"/>
    <n v="64.7"/>
    <n v="135.30000000000001"/>
    <n v="0.6765000000000001"/>
    <s v="C0057"/>
    <x v="54"/>
    <x v="54"/>
    <x v="1"/>
    <x v="2"/>
  </r>
  <r>
    <x v="583"/>
    <x v="197"/>
    <x v="6"/>
    <x v="6"/>
    <d v="1905-07-16T00:00:00"/>
    <s v="bIOdegradABlE cLEaNINg cLoTH"/>
    <s v="Biodegradable Cleaning Cloth"/>
    <x v="0"/>
    <s v="CLEANING"/>
    <n v="3"/>
    <n v="10"/>
    <n v="10"/>
    <n v="2.02"/>
    <n v="30"/>
    <n v="6.0600000000000005"/>
    <n v="23.939999999999998"/>
    <n v="0.79799999999999993"/>
    <s v="C0105"/>
    <x v="45"/>
    <x v="45"/>
    <x v="0"/>
    <x v="0"/>
  </r>
  <r>
    <x v="584"/>
    <x v="198"/>
    <x v="6"/>
    <x v="6"/>
    <d v="1905-07-16T00:00:00"/>
    <s v="SoLAR leD lAnTern"/>
    <s v="Solar Led Lantern"/>
    <x v="2"/>
    <s v="LIGHTING"/>
    <n v="6"/>
    <n v="40"/>
    <n v="40"/>
    <n v="13.06"/>
    <n v="240"/>
    <n v="78.36"/>
    <n v="161.63999999999999"/>
    <n v="0.67349999999999999"/>
    <s v="C0087"/>
    <x v="49"/>
    <x v="49"/>
    <x v="1"/>
    <x v="2"/>
  </r>
  <r>
    <x v="585"/>
    <x v="198"/>
    <x v="6"/>
    <x v="6"/>
    <d v="1905-07-16T00:00:00"/>
    <s v="ecO CANVAS TOTe Bag"/>
    <s v="Eco Canvas Tote Bag"/>
    <x v="1"/>
    <s v="BAGS"/>
    <n v="3"/>
    <n v="25"/>
    <n v="25"/>
    <n v="5.33"/>
    <n v="75"/>
    <n v="15.99"/>
    <n v="59.01"/>
    <n v="0.78679999999999994"/>
    <s v="C0048"/>
    <x v="87"/>
    <x v="87"/>
    <x v="1"/>
    <x v="3"/>
  </r>
  <r>
    <x v="586"/>
    <x v="198"/>
    <x v="6"/>
    <x v="6"/>
    <d v="1905-07-16T00:00:00"/>
    <s v="REUsABle bAMboO uTeNSIL sEt"/>
    <s v="Reusable Bamboo Utensil Set"/>
    <x v="3"/>
    <s v="KITCHENWARE"/>
    <n v="6"/>
    <n v="15"/>
    <n v="15"/>
    <n v="5.32"/>
    <n v="90"/>
    <n v="31.92"/>
    <n v="58.08"/>
    <n v="0.64533333333333331"/>
    <s v="C0146"/>
    <x v="58"/>
    <x v="58"/>
    <x v="1"/>
    <x v="2"/>
  </r>
  <r>
    <x v="587"/>
    <x v="199"/>
    <x v="6"/>
    <x v="6"/>
    <d v="1905-07-16T00:00:00"/>
    <s v="ecO CANVAS TOTe Bag"/>
    <s v="Eco Canvas Tote Bag"/>
    <x v="1"/>
    <s v="BAGS"/>
    <n v="8"/>
    <n v="25"/>
    <n v="25"/>
    <n v="7.98"/>
    <n v="200"/>
    <n v="63.84"/>
    <n v="136.16"/>
    <n v="0.68079999999999996"/>
    <s v="C0150"/>
    <x v="76"/>
    <x v="76"/>
    <x v="1"/>
    <x v="0"/>
  </r>
  <r>
    <x v="588"/>
    <x v="200"/>
    <x v="6"/>
    <x v="6"/>
    <d v="1905-07-16T00:00:00"/>
    <s v="REUsABle bAMboO uTeNSIL sEt"/>
    <s v="Reusable Bamboo Utensil Set"/>
    <x v="3"/>
    <s v="KITCHENWARE"/>
    <n v="9"/>
    <n v="15"/>
    <n v="15"/>
    <n v="5.59"/>
    <n v="135"/>
    <n v="50.31"/>
    <n v="84.69"/>
    <n v="0.6273333333333333"/>
    <s v="C0140"/>
    <x v="95"/>
    <x v="95"/>
    <x v="1"/>
    <x v="4"/>
  </r>
  <r>
    <x v="589"/>
    <x v="200"/>
    <x v="6"/>
    <x v="6"/>
    <d v="1905-07-16T00:00:00"/>
    <s v="SoLAR leD lAnTern"/>
    <s v="Solar Led Lantern"/>
    <x v="2"/>
    <s v="LIGHTING"/>
    <n v="10"/>
    <n v="40"/>
    <n v="40"/>
    <n v="15.91"/>
    <n v="400"/>
    <n v="159.1"/>
    <n v="240.9"/>
    <n v="0.60225000000000006"/>
    <s v="C0128"/>
    <x v="50"/>
    <x v="50"/>
    <x v="1"/>
    <x v="6"/>
  </r>
  <r>
    <x v="590"/>
    <x v="201"/>
    <x v="6"/>
    <x v="6"/>
    <d v="1905-07-16T00:00:00"/>
    <s v="REUsABle bAMboO uTeNSIL sEt"/>
    <s v="Reusable Bamboo Utensil Set"/>
    <x v="3"/>
    <s v="KITCHENWARE"/>
    <n v="9"/>
    <n v="15"/>
    <n v="15"/>
    <n v="5.14"/>
    <n v="135"/>
    <n v="46.26"/>
    <n v="88.740000000000009"/>
    <n v="0.65733333333333344"/>
    <s v="C0142"/>
    <x v="102"/>
    <x v="102"/>
    <x v="1"/>
    <x v="3"/>
  </r>
  <r>
    <x v="591"/>
    <x v="202"/>
    <x v="7"/>
    <x v="7"/>
    <d v="1905-07-16T00:00:00"/>
    <s v="ecO CANVAS TOTe Bag"/>
    <s v="Eco Canvas Tote Bag"/>
    <x v="1"/>
    <s v="BAGS"/>
    <n v="2"/>
    <n v="25"/>
    <n v="25"/>
    <n v="8.4"/>
    <n v="50"/>
    <n v="16.8"/>
    <n v="33.200000000000003"/>
    <n v="0.66400000000000003"/>
    <s v="C0038"/>
    <x v="22"/>
    <x v="22"/>
    <x v="1"/>
    <x v="4"/>
  </r>
  <r>
    <x v="592"/>
    <x v="202"/>
    <x v="7"/>
    <x v="7"/>
    <d v="1905-07-16T00:00:00"/>
    <s v="REUsABle bAMboO uTeNSIL sEt"/>
    <s v="Reusable Bamboo Utensil Set"/>
    <x v="3"/>
    <s v="KITCHENWARE"/>
    <n v="2"/>
    <n v="15"/>
    <n v="15"/>
    <n v="4.3099999999999996"/>
    <n v="30"/>
    <n v="8.6199999999999992"/>
    <n v="21.380000000000003"/>
    <n v="0.71266666666666678"/>
    <s v="C0062"/>
    <x v="49"/>
    <x v="49"/>
    <x v="2"/>
    <x v="2"/>
  </r>
  <r>
    <x v="593"/>
    <x v="202"/>
    <x v="7"/>
    <x v="7"/>
    <d v="1905-07-16T00:00:00"/>
    <s v="SoLAR leD lAnTern"/>
    <s v="Solar Led Lantern"/>
    <x v="2"/>
    <s v="LIGHTING"/>
    <n v="9"/>
    <n v="40"/>
    <n v="40"/>
    <n v="11.09"/>
    <n v="360"/>
    <n v="99.81"/>
    <n v="260.19"/>
    <n v="0.72275"/>
    <s v="C0149"/>
    <x v="10"/>
    <x v="10"/>
    <x v="1"/>
    <x v="2"/>
  </r>
  <r>
    <x v="594"/>
    <x v="203"/>
    <x v="7"/>
    <x v="7"/>
    <d v="1905-07-16T00:00:00"/>
    <s v="COMpOsTaBLe PlAnT POts"/>
    <s v="Compostable Plant Pots"/>
    <x v="4"/>
    <s v="GARDENING"/>
    <n v="2"/>
    <n v="12"/>
    <n v="12"/>
    <n v="3.35"/>
    <n v="24"/>
    <n v="6.7"/>
    <n v="17.3"/>
    <n v="0.72083333333333333"/>
    <s v="C0025"/>
    <x v="58"/>
    <x v="58"/>
    <x v="3"/>
    <x v="8"/>
  </r>
  <r>
    <x v="595"/>
    <x v="204"/>
    <x v="7"/>
    <x v="7"/>
    <d v="1905-07-16T00:00:00"/>
    <s v="COMpOsTaBLe PlAnT POts"/>
    <s v="Compostable Plant Pots"/>
    <x v="4"/>
    <s v="GARDENING"/>
    <n v="9"/>
    <n v="12"/>
    <n v="12"/>
    <n v="4.04"/>
    <n v="108"/>
    <n v="36.36"/>
    <n v="71.64"/>
    <n v="0.66333333333333333"/>
    <s v="C0014"/>
    <x v="18"/>
    <x v="18"/>
    <x v="0"/>
    <x v="9"/>
  </r>
  <r>
    <x v="596"/>
    <x v="204"/>
    <x v="7"/>
    <x v="7"/>
    <d v="1905-07-16T00:00:00"/>
    <s v="ecO CANVAS TOTe Bag"/>
    <s v="Eco Canvas Tote Bag"/>
    <x v="1"/>
    <s v="BAGS"/>
    <n v="2"/>
    <n v="25"/>
    <n v="25"/>
    <n v="7.09"/>
    <n v="50"/>
    <n v="14.18"/>
    <n v="35.82"/>
    <n v="0.71640000000000004"/>
    <s v="C0107"/>
    <x v="56"/>
    <x v="56"/>
    <x v="1"/>
    <x v="4"/>
  </r>
  <r>
    <x v="597"/>
    <x v="204"/>
    <x v="7"/>
    <x v="7"/>
    <d v="1905-07-16T00:00:00"/>
    <s v="ecO CANVAS TOTe Bag"/>
    <s v="Eco Canvas Tote Bag"/>
    <x v="1"/>
    <s v="BAGS"/>
    <n v="7"/>
    <n v="25"/>
    <n v="25"/>
    <n v="5.54"/>
    <n v="175"/>
    <n v="38.78"/>
    <n v="136.22"/>
    <n v="0.77839999999999998"/>
    <s v="C0020"/>
    <x v="111"/>
    <x v="111"/>
    <x v="1"/>
    <x v="7"/>
  </r>
  <r>
    <x v="598"/>
    <x v="204"/>
    <x v="7"/>
    <x v="7"/>
    <d v="1905-07-16T00:00:00"/>
    <s v="SoLAR leD lAnTern"/>
    <s v="Solar Led Lantern"/>
    <x v="2"/>
    <s v="LIGHTING"/>
    <n v="5"/>
    <n v="40"/>
    <n v="40"/>
    <n v="8.2799999999999994"/>
    <n v="200"/>
    <n v="41.4"/>
    <n v="158.6"/>
    <n v="0.79299999999999993"/>
    <s v="C0015"/>
    <x v="77"/>
    <x v="77"/>
    <x v="0"/>
    <x v="7"/>
  </r>
  <r>
    <x v="599"/>
    <x v="205"/>
    <x v="7"/>
    <x v="7"/>
    <d v="1905-07-16T00:00:00"/>
    <s v="ecO CANVAS TOTe Bag"/>
    <s v="Eco Canvas Tote Bag"/>
    <x v="1"/>
    <s v="BAGS"/>
    <n v="8"/>
    <n v="25"/>
    <n v="25"/>
    <n v="9.98"/>
    <n v="200"/>
    <n v="79.84"/>
    <n v="120.16"/>
    <n v="0.6008"/>
    <s v="C0181"/>
    <x v="26"/>
    <x v="26"/>
    <x v="0"/>
    <x v="9"/>
  </r>
  <r>
    <x v="600"/>
    <x v="205"/>
    <x v="7"/>
    <x v="7"/>
    <d v="1905-07-16T00:00:00"/>
    <s v="REUsABle bAMboO uTeNSIL sEt"/>
    <s v="Reusable Bamboo Utensil Set"/>
    <x v="3"/>
    <s v="KITCHENWARE"/>
    <n v="3"/>
    <n v="15"/>
    <n v="15"/>
    <n v="3.84"/>
    <n v="45"/>
    <n v="11.52"/>
    <n v="33.480000000000004"/>
    <n v="0.74400000000000011"/>
    <s v="C0048"/>
    <x v="87"/>
    <x v="87"/>
    <x v="0"/>
    <x v="6"/>
  </r>
  <r>
    <x v="601"/>
    <x v="205"/>
    <x v="7"/>
    <x v="7"/>
    <d v="1905-07-16T00:00:00"/>
    <s v="REUsABle bAMboO uTeNSIL sEt"/>
    <s v="Reusable Bamboo Utensil Set"/>
    <x v="3"/>
    <s v="KITCHENWARE"/>
    <n v="1"/>
    <n v="15"/>
    <n v="15"/>
    <n v="4.22"/>
    <n v="15"/>
    <n v="4.22"/>
    <n v="10.780000000000001"/>
    <n v="0.71866666666666679"/>
    <s v="C0135"/>
    <x v="8"/>
    <x v="8"/>
    <x v="1"/>
    <x v="6"/>
  </r>
  <r>
    <x v="602"/>
    <x v="205"/>
    <x v="7"/>
    <x v="7"/>
    <d v="1905-07-16T00:00:00"/>
    <s v="COMpOsTaBLe PlAnT POts"/>
    <s v="Compostable Plant Pots"/>
    <x v="4"/>
    <s v="GARDENING"/>
    <n v="6"/>
    <n v="12"/>
    <n v="12"/>
    <n v="3.28"/>
    <n v="72"/>
    <n v="19.68"/>
    <n v="52.32"/>
    <n v="0.72666666666666668"/>
    <s v="C0111"/>
    <x v="49"/>
    <x v="49"/>
    <x v="1"/>
    <x v="7"/>
  </r>
  <r>
    <x v="603"/>
    <x v="206"/>
    <x v="7"/>
    <x v="7"/>
    <d v="1905-07-16T00:00:00"/>
    <s v="REUsABle bAMboO uTeNSIL sEt"/>
    <s v="Reusable Bamboo Utensil Set"/>
    <x v="3"/>
    <s v="KITCHENWARE"/>
    <n v="1"/>
    <n v="15"/>
    <n v="15"/>
    <n v="3.96"/>
    <n v="15"/>
    <n v="3.96"/>
    <n v="11.04"/>
    <n v="0.73599999999999999"/>
    <s v="C0074"/>
    <x v="120"/>
    <x v="120"/>
    <x v="1"/>
    <x v="1"/>
  </r>
  <r>
    <x v="604"/>
    <x v="206"/>
    <x v="7"/>
    <x v="7"/>
    <d v="1905-07-16T00:00:00"/>
    <s v="SoLAR leD lAnTern"/>
    <s v="Solar Led Lantern"/>
    <x v="2"/>
    <s v="LIGHTING"/>
    <n v="10"/>
    <n v="40"/>
    <n v="40"/>
    <n v="12.88"/>
    <n v="400"/>
    <n v="128.80000000000001"/>
    <n v="271.2"/>
    <n v="0.67799999999999994"/>
    <s v="C0049"/>
    <x v="74"/>
    <x v="74"/>
    <x v="1"/>
    <x v="4"/>
  </r>
  <r>
    <x v="605"/>
    <x v="206"/>
    <x v="7"/>
    <x v="7"/>
    <d v="1905-07-16T00:00:00"/>
    <s v="COMpOsTaBLe PlAnT POts"/>
    <s v="Compostable Plant Pots"/>
    <x v="4"/>
    <s v="GARDENING"/>
    <n v="9"/>
    <n v="12"/>
    <n v="12"/>
    <n v="4.04"/>
    <n v="108"/>
    <n v="36.36"/>
    <n v="71.64"/>
    <n v="0.66333333333333333"/>
    <s v="C0184"/>
    <x v="11"/>
    <x v="11"/>
    <x v="1"/>
    <x v="6"/>
  </r>
  <r>
    <x v="606"/>
    <x v="206"/>
    <x v="7"/>
    <x v="7"/>
    <d v="1905-07-16T00:00:00"/>
    <s v="COMpOsTaBLe PlAnT POts"/>
    <s v="Compostable Plant Pots"/>
    <x v="4"/>
    <s v="GARDENING"/>
    <n v="3"/>
    <m/>
    <n v="12"/>
    <n v="2.83"/>
    <n v="36"/>
    <n v="8.49"/>
    <n v="27.509999999999998"/>
    <n v="0.76416666666666666"/>
    <s v="C0106"/>
    <x v="7"/>
    <x v="7"/>
    <x v="2"/>
    <x v="1"/>
  </r>
  <r>
    <x v="607"/>
    <x v="206"/>
    <x v="7"/>
    <x v="7"/>
    <d v="1905-07-16T00:00:00"/>
    <s v="ecO CANVAS TOTe Bag"/>
    <s v="Eco Canvas Tote Bag"/>
    <x v="1"/>
    <s v="BAGS"/>
    <n v="9"/>
    <n v="25"/>
    <n v="25"/>
    <n v="9.89"/>
    <n v="225"/>
    <n v="89.01"/>
    <n v="135.99"/>
    <n v="0.60440000000000005"/>
    <s v="C0139"/>
    <x v="47"/>
    <x v="47"/>
    <x v="1"/>
    <x v="8"/>
  </r>
  <r>
    <x v="608"/>
    <x v="206"/>
    <x v="7"/>
    <x v="7"/>
    <d v="1905-07-16T00:00:00"/>
    <s v="bIOdegradABlE cLEaNINg cLoTH"/>
    <s v="Biodegradable Cleaning Cloth"/>
    <x v="0"/>
    <s v="CLEANING"/>
    <n v="6"/>
    <n v="10"/>
    <n v="10"/>
    <n v="3.93"/>
    <n v="60"/>
    <n v="23.580000000000002"/>
    <n v="36.42"/>
    <n v="0.60699999999999998"/>
    <s v="C0047"/>
    <x v="35"/>
    <x v="35"/>
    <x v="0"/>
    <x v="4"/>
  </r>
  <r>
    <x v="609"/>
    <x v="207"/>
    <x v="7"/>
    <x v="7"/>
    <d v="1905-07-16T00:00:00"/>
    <s v="bIOdegradABlE cLEaNINg cLoTH"/>
    <s v="Biodegradable Cleaning Cloth"/>
    <x v="0"/>
    <s v="CLEANING"/>
    <n v="5"/>
    <n v="10"/>
    <n v="10"/>
    <n v="3.41"/>
    <n v="50"/>
    <n v="17.05"/>
    <n v="32.950000000000003"/>
    <n v="0.65900000000000003"/>
    <s v="C0047"/>
    <x v="35"/>
    <x v="35"/>
    <x v="0"/>
    <x v="5"/>
  </r>
  <r>
    <x v="610"/>
    <x v="208"/>
    <x v="7"/>
    <x v="7"/>
    <d v="1905-07-16T00:00:00"/>
    <s v="REUsABle bAMboO uTeNSIL sEt"/>
    <s v="Reusable Bamboo Utensil Set"/>
    <x v="3"/>
    <s v="KITCHENWARE"/>
    <n v="10"/>
    <n v="15"/>
    <n v="15"/>
    <n v="5.3"/>
    <n v="150"/>
    <n v="53"/>
    <n v="97"/>
    <n v="0.64666666666666661"/>
    <s v="C0073"/>
    <x v="38"/>
    <x v="38"/>
    <x v="1"/>
    <x v="9"/>
  </r>
  <r>
    <x v="611"/>
    <x v="208"/>
    <x v="7"/>
    <x v="7"/>
    <d v="1905-07-16T00:00:00"/>
    <s v="COMpOsTaBLe PlAnT POts"/>
    <s v="Compostable Plant Pots"/>
    <x v="4"/>
    <s v="GARDENING"/>
    <n v="10"/>
    <n v="12"/>
    <n v="12"/>
    <n v="3.43"/>
    <n v="120"/>
    <n v="34.300000000000004"/>
    <n v="85.699999999999989"/>
    <n v="0.71416666666666662"/>
    <s v="C0066"/>
    <x v="41"/>
    <x v="41"/>
    <x v="1"/>
    <x v="7"/>
  </r>
  <r>
    <x v="612"/>
    <x v="208"/>
    <x v="7"/>
    <x v="7"/>
    <d v="1905-07-16T00:00:00"/>
    <s v="COMpOsTaBLe PlAnT POts"/>
    <s v="Compostable Plant Pots"/>
    <x v="4"/>
    <s v="GARDENING"/>
    <n v="4"/>
    <n v="12"/>
    <n v="12"/>
    <n v="4.12"/>
    <n v="48"/>
    <n v="16.48"/>
    <n v="31.52"/>
    <n v="0.65666666666666662"/>
    <s v="C0043"/>
    <x v="31"/>
    <x v="31"/>
    <x v="2"/>
    <x v="8"/>
  </r>
  <r>
    <x v="613"/>
    <x v="208"/>
    <x v="7"/>
    <x v="7"/>
    <d v="1905-07-16T00:00:00"/>
    <s v="REUsABle bAMboO uTeNSIL sEt"/>
    <s v="Reusable Bamboo Utensil Set"/>
    <x v="3"/>
    <s v="KITCHENWARE"/>
    <n v="8"/>
    <n v="15"/>
    <n v="15"/>
    <n v="4.28"/>
    <n v="120"/>
    <n v="34.24"/>
    <n v="85.759999999999991"/>
    <n v="0.71466666666666656"/>
    <s v="C0091"/>
    <x v="72"/>
    <x v="72"/>
    <x v="1"/>
    <x v="6"/>
  </r>
  <r>
    <x v="614"/>
    <x v="209"/>
    <x v="7"/>
    <x v="7"/>
    <d v="1905-07-16T00:00:00"/>
    <s v="SoLAR leD lAnTern"/>
    <s v="Solar Led Lantern"/>
    <x v="2"/>
    <s v="LIGHTING"/>
    <n v="1"/>
    <n v="40"/>
    <n v="40"/>
    <n v="14.6"/>
    <n v="40"/>
    <n v="14.6"/>
    <n v="25.4"/>
    <n v="0.63500000000000001"/>
    <s v="C0032"/>
    <x v="113"/>
    <x v="113"/>
    <x v="3"/>
    <x v="6"/>
  </r>
  <r>
    <x v="615"/>
    <x v="209"/>
    <x v="7"/>
    <x v="7"/>
    <d v="1905-07-16T00:00:00"/>
    <s v="COMpOsTaBLe PlAnT POts"/>
    <s v="Compostable Plant Pots"/>
    <x v="4"/>
    <s v="GARDENING"/>
    <n v="1"/>
    <n v="12"/>
    <n v="12"/>
    <n v="3.32"/>
    <n v="12"/>
    <n v="3.32"/>
    <n v="8.68"/>
    <n v="0.72333333333333327"/>
    <s v="C0170"/>
    <x v="48"/>
    <x v="48"/>
    <x v="0"/>
    <x v="1"/>
  </r>
  <r>
    <x v="616"/>
    <x v="209"/>
    <x v="7"/>
    <x v="7"/>
    <d v="1905-07-16T00:00:00"/>
    <s v="COMpOsTaBLe PlAnT POts"/>
    <s v="Compostable Plant Pots"/>
    <x v="4"/>
    <s v="GARDENING"/>
    <n v="8"/>
    <n v="12"/>
    <n v="12"/>
    <n v="2.92"/>
    <n v="96"/>
    <n v="23.36"/>
    <n v="72.64"/>
    <n v="0.75666666666666671"/>
    <s v="C0067"/>
    <x v="52"/>
    <x v="52"/>
    <x v="0"/>
    <x v="0"/>
  </r>
  <r>
    <x v="617"/>
    <x v="210"/>
    <x v="7"/>
    <x v="7"/>
    <d v="1905-07-16T00:00:00"/>
    <s v="bIOdegradABlE cLEaNINg cLoTH"/>
    <s v="Biodegradable Cleaning Cloth"/>
    <x v="0"/>
    <s v="CLEANING"/>
    <n v="6"/>
    <n v="10"/>
    <n v="10"/>
    <n v="2.2000000000000002"/>
    <n v="60"/>
    <n v="13.200000000000001"/>
    <n v="46.8"/>
    <n v="0.77999999999999992"/>
    <s v="C0141"/>
    <x v="16"/>
    <x v="16"/>
    <x v="1"/>
    <x v="2"/>
  </r>
  <r>
    <x v="618"/>
    <x v="211"/>
    <x v="7"/>
    <x v="7"/>
    <d v="1905-07-16T00:00:00"/>
    <s v="SoLAR leD lAnTern"/>
    <s v="Solar Led Lantern"/>
    <x v="2"/>
    <s v="LIGHTING"/>
    <n v="5"/>
    <n v="40"/>
    <n v="40"/>
    <n v="11.64"/>
    <n v="200"/>
    <n v="58.2"/>
    <n v="141.80000000000001"/>
    <n v="0.70900000000000007"/>
    <s v="C0116"/>
    <x v="80"/>
    <x v="80"/>
    <x v="0"/>
    <x v="1"/>
  </r>
  <r>
    <x v="619"/>
    <x v="211"/>
    <x v="7"/>
    <x v="7"/>
    <d v="1905-07-16T00:00:00"/>
    <s v="bIOdegradABlE cLEaNINg cLoTH"/>
    <s v="Biodegradable Cleaning Cloth"/>
    <x v="0"/>
    <s v="CLEANING"/>
    <n v="3"/>
    <n v="10"/>
    <n v="10"/>
    <n v="2.54"/>
    <n v="30"/>
    <n v="7.62"/>
    <n v="22.38"/>
    <n v="0.746"/>
    <s v="C0165"/>
    <x v="8"/>
    <x v="8"/>
    <x v="1"/>
    <x v="3"/>
  </r>
  <r>
    <x v="620"/>
    <x v="212"/>
    <x v="7"/>
    <x v="7"/>
    <d v="1905-07-16T00:00:00"/>
    <s v="ecO CANVAS TOTe Bag"/>
    <s v="Eco Canvas Tote Bag"/>
    <x v="1"/>
    <s v="BAGS"/>
    <n v="5"/>
    <n v="25"/>
    <n v="25"/>
    <n v="9.66"/>
    <n v="125"/>
    <n v="48.3"/>
    <n v="76.7"/>
    <n v="0.61360000000000003"/>
    <s v="C0036"/>
    <x v="93"/>
    <x v="93"/>
    <x v="0"/>
    <x v="4"/>
  </r>
  <r>
    <x v="621"/>
    <x v="212"/>
    <x v="7"/>
    <x v="7"/>
    <d v="1905-07-16T00:00:00"/>
    <s v="REUsABle bAMboO uTeNSIL sEt"/>
    <s v="Reusable Bamboo Utensil Set"/>
    <x v="3"/>
    <s v="KITCHENWARE"/>
    <n v="1"/>
    <n v="15"/>
    <n v="15"/>
    <n v="4.66"/>
    <n v="15"/>
    <n v="4.66"/>
    <n v="10.34"/>
    <n v="0.68933333333333335"/>
    <s v="C0156"/>
    <x v="18"/>
    <x v="18"/>
    <x v="1"/>
    <x v="8"/>
  </r>
  <r>
    <x v="622"/>
    <x v="213"/>
    <x v="7"/>
    <x v="7"/>
    <d v="1905-07-16T00:00:00"/>
    <s v="COMpOsTaBLe PlAnT POts"/>
    <s v="Compostable Plant Pots"/>
    <x v="4"/>
    <s v="GARDENING"/>
    <n v="10"/>
    <n v="12"/>
    <n v="12"/>
    <n v="3.4"/>
    <n v="120"/>
    <n v="34"/>
    <n v="86"/>
    <n v="0.71666666666666667"/>
    <s v="C0044"/>
    <x v="78"/>
    <x v="78"/>
    <x v="1"/>
    <x v="6"/>
  </r>
  <r>
    <x v="623"/>
    <x v="213"/>
    <x v="7"/>
    <x v="7"/>
    <d v="1905-07-16T00:00:00"/>
    <s v="SoLAR leD lAnTern"/>
    <s v="Solar Led Lantern"/>
    <x v="2"/>
    <s v="LIGHTING"/>
    <n v="9"/>
    <n v="40"/>
    <n v="40"/>
    <n v="10.210000000000001"/>
    <n v="360"/>
    <n v="91.890000000000015"/>
    <n v="268.11"/>
    <n v="0.74475000000000002"/>
    <s v="C0147"/>
    <x v="30"/>
    <x v="30"/>
    <x v="1"/>
    <x v="3"/>
  </r>
  <r>
    <x v="624"/>
    <x v="213"/>
    <x v="7"/>
    <x v="7"/>
    <d v="1905-07-16T00:00:00"/>
    <s v="ecO CANVAS TOTe Bag"/>
    <s v="Eco Canvas Tote Bag"/>
    <x v="1"/>
    <s v="BAGS"/>
    <n v="3"/>
    <n v="25"/>
    <n v="25"/>
    <n v="8.93"/>
    <n v="75"/>
    <n v="26.79"/>
    <n v="48.21"/>
    <n v="0.64280000000000004"/>
    <s v="C0061"/>
    <x v="112"/>
    <x v="112"/>
    <x v="0"/>
    <x v="6"/>
  </r>
  <r>
    <x v="625"/>
    <x v="213"/>
    <x v="7"/>
    <x v="7"/>
    <d v="1905-07-16T00:00:00"/>
    <s v="COMpOsTaBLe PlAnT POts"/>
    <s v="Compostable Plant Pots"/>
    <x v="4"/>
    <s v="GARDENING"/>
    <n v="3"/>
    <n v="12"/>
    <n v="12"/>
    <n v="2.89"/>
    <n v="36"/>
    <n v="8.67"/>
    <n v="27.33"/>
    <n v="0.75916666666666666"/>
    <s v="C0056"/>
    <x v="121"/>
    <x v="121"/>
    <x v="3"/>
    <x v="2"/>
  </r>
  <r>
    <x v="626"/>
    <x v="213"/>
    <x v="7"/>
    <x v="7"/>
    <d v="1905-07-16T00:00:00"/>
    <s v="COMpOsTaBLe PlAnT POts"/>
    <s v="Compostable Plant Pots"/>
    <x v="4"/>
    <s v="GARDENING"/>
    <n v="9"/>
    <n v="12"/>
    <n v="12"/>
    <n v="3.61"/>
    <n v="108"/>
    <n v="32.49"/>
    <n v="75.509999999999991"/>
    <n v="0.6991666666666666"/>
    <s v="C0170"/>
    <x v="48"/>
    <x v="48"/>
    <x v="1"/>
    <x v="6"/>
  </r>
  <r>
    <x v="627"/>
    <x v="214"/>
    <x v="7"/>
    <x v="7"/>
    <d v="1905-07-16T00:00:00"/>
    <s v="SoLAR leD lAnTern"/>
    <s v="Solar Led Lantern"/>
    <x v="2"/>
    <s v="LIGHTING"/>
    <n v="3"/>
    <n v="40"/>
    <n v="40"/>
    <n v="10.51"/>
    <n v="120"/>
    <n v="31.53"/>
    <n v="88.47"/>
    <n v="0.73724999999999996"/>
    <s v="C0070"/>
    <x v="117"/>
    <x v="117"/>
    <x v="1"/>
    <x v="6"/>
  </r>
  <r>
    <x v="628"/>
    <x v="214"/>
    <x v="7"/>
    <x v="7"/>
    <d v="1905-07-16T00:00:00"/>
    <s v="bIOdegradABlE cLEaNINg cLoTH"/>
    <s v="Biodegradable Cleaning Cloth"/>
    <x v="0"/>
    <s v="CLEANING"/>
    <n v="4"/>
    <n v="10"/>
    <n v="10"/>
    <n v="3.97"/>
    <n v="40"/>
    <n v="15.88"/>
    <n v="24.119999999999997"/>
    <n v="0.60299999999999998"/>
    <s v="C0109"/>
    <x v="74"/>
    <x v="74"/>
    <x v="1"/>
    <x v="5"/>
  </r>
  <r>
    <x v="629"/>
    <x v="215"/>
    <x v="7"/>
    <x v="7"/>
    <d v="1905-07-16T00:00:00"/>
    <s v="REUsABle bAMboO uTeNSIL sEt"/>
    <s v="Reusable Bamboo Utensil Set"/>
    <x v="3"/>
    <s v="KITCHENWARE"/>
    <n v="3"/>
    <n v="15"/>
    <n v="15"/>
    <n v="4.7699999999999996"/>
    <n v="45"/>
    <n v="14.309999999999999"/>
    <n v="30.69"/>
    <n v="0.68200000000000005"/>
    <s v="C0149"/>
    <x v="10"/>
    <x v="10"/>
    <x v="1"/>
    <x v="1"/>
  </r>
  <r>
    <x v="630"/>
    <x v="215"/>
    <x v="7"/>
    <x v="7"/>
    <d v="1905-07-16T00:00:00"/>
    <s v="REUsABle bAMboO uTeNSIL sEt"/>
    <s v="Reusable Bamboo Utensil Set"/>
    <x v="3"/>
    <s v="KITCHENWARE"/>
    <n v="4"/>
    <n v="15"/>
    <n v="15"/>
    <n v="4.16"/>
    <n v="60"/>
    <n v="16.64"/>
    <n v="43.36"/>
    <n v="0.72266666666666668"/>
    <s v="C0005"/>
    <x v="99"/>
    <x v="99"/>
    <x v="0"/>
    <x v="7"/>
  </r>
  <r>
    <x v="631"/>
    <x v="216"/>
    <x v="7"/>
    <x v="7"/>
    <d v="1905-07-16T00:00:00"/>
    <s v="REUsABle bAMboO uTeNSIL sEt"/>
    <s v="Reusable Bamboo Utensil Set"/>
    <x v="3"/>
    <s v="KITCHENWARE"/>
    <n v="6"/>
    <n v="15"/>
    <n v="15"/>
    <n v="3.31"/>
    <n v="90"/>
    <n v="19.86"/>
    <n v="70.14"/>
    <n v="0.77933333333333332"/>
    <s v="C0088"/>
    <x v="3"/>
    <x v="3"/>
    <x v="0"/>
    <x v="4"/>
  </r>
  <r>
    <x v="632"/>
    <x v="217"/>
    <x v="7"/>
    <x v="7"/>
    <d v="1905-07-16T00:00:00"/>
    <s v="REUsABle bAMboO uTeNSIL sEt"/>
    <s v="Reusable Bamboo Utensil Set"/>
    <x v="3"/>
    <s v="KITCHENWARE"/>
    <n v="9"/>
    <n v="15"/>
    <n v="15"/>
    <n v="3.56"/>
    <n v="135"/>
    <n v="32.04"/>
    <n v="102.96000000000001"/>
    <n v="0.76266666666666671"/>
    <s v="C0004"/>
    <x v="94"/>
    <x v="94"/>
    <x v="1"/>
    <x v="2"/>
  </r>
  <r>
    <x v="633"/>
    <x v="217"/>
    <x v="7"/>
    <x v="7"/>
    <d v="1905-07-16T00:00:00"/>
    <s v="bIOdegradABlE cLEaNINg cLoTH"/>
    <s v="Biodegradable Cleaning Cloth"/>
    <x v="0"/>
    <s v="CLEANING"/>
    <n v="7"/>
    <n v="10"/>
    <n v="10"/>
    <n v="2.65"/>
    <n v="70"/>
    <n v="18.55"/>
    <n v="51.45"/>
    <n v="0.73499999999999999"/>
    <s v="C0198"/>
    <x v="109"/>
    <x v="109"/>
    <x v="1"/>
    <x v="4"/>
  </r>
  <r>
    <x v="634"/>
    <x v="217"/>
    <x v="7"/>
    <x v="7"/>
    <d v="1905-07-16T00:00:00"/>
    <s v="ecO CANVAS TOTe Bag"/>
    <s v="Eco Canvas Tote Bag"/>
    <x v="1"/>
    <s v="BAGS"/>
    <n v="1"/>
    <n v="25"/>
    <n v="25"/>
    <n v="7.24"/>
    <n v="25"/>
    <n v="7.24"/>
    <n v="17.759999999999998"/>
    <n v="0.71039999999999992"/>
    <s v="C0086"/>
    <x v="35"/>
    <x v="35"/>
    <x v="1"/>
    <x v="7"/>
  </r>
  <r>
    <x v="635"/>
    <x v="217"/>
    <x v="7"/>
    <x v="7"/>
    <d v="1905-07-16T00:00:00"/>
    <s v="ecO CANVAS TOTe Bag"/>
    <s v="Eco Canvas Tote Bag"/>
    <x v="1"/>
    <s v="BAGS"/>
    <n v="10"/>
    <n v="25"/>
    <n v="25"/>
    <n v="7.06"/>
    <n v="250"/>
    <n v="70.599999999999994"/>
    <n v="179.4"/>
    <n v="0.71760000000000002"/>
    <s v="C0021"/>
    <x v="37"/>
    <x v="37"/>
    <x v="0"/>
    <x v="8"/>
  </r>
  <r>
    <x v="636"/>
    <x v="218"/>
    <x v="7"/>
    <x v="7"/>
    <d v="1905-07-16T00:00:00"/>
    <s v="ecO CANVAS TOTe Bag"/>
    <s v="Eco Canvas Tote Bag"/>
    <x v="1"/>
    <s v="BAGS"/>
    <n v="8"/>
    <n v="25"/>
    <n v="25"/>
    <n v="7.93"/>
    <n v="200"/>
    <n v="63.44"/>
    <n v="136.56"/>
    <n v="0.68279999999999996"/>
    <s v="C0096"/>
    <x v="82"/>
    <x v="82"/>
    <x v="1"/>
    <x v="1"/>
  </r>
  <r>
    <x v="637"/>
    <x v="218"/>
    <x v="7"/>
    <x v="7"/>
    <d v="1905-07-16T00:00:00"/>
    <s v="COMpOsTaBLe PlAnT POts"/>
    <s v="Compostable Plant Pots"/>
    <x v="4"/>
    <s v="GARDENING"/>
    <n v="5"/>
    <n v="12"/>
    <n v="12"/>
    <n v="3.24"/>
    <n v="60"/>
    <n v="16.200000000000003"/>
    <n v="43.8"/>
    <n v="0.73"/>
    <s v="C0099"/>
    <x v="79"/>
    <x v="79"/>
    <x v="1"/>
    <x v="4"/>
  </r>
  <r>
    <x v="638"/>
    <x v="218"/>
    <x v="7"/>
    <x v="7"/>
    <d v="1905-07-16T00:00:00"/>
    <s v="COMpOsTaBLe PlAnT POts"/>
    <s v="Compostable Plant Pots"/>
    <x v="4"/>
    <s v="GARDENING"/>
    <n v="3"/>
    <n v="12"/>
    <n v="12"/>
    <n v="2.42"/>
    <n v="36"/>
    <n v="7.26"/>
    <n v="28.740000000000002"/>
    <n v="0.79833333333333334"/>
    <s v="C0011"/>
    <x v="50"/>
    <x v="50"/>
    <x v="3"/>
    <x v="6"/>
  </r>
  <r>
    <x v="639"/>
    <x v="218"/>
    <x v="7"/>
    <x v="7"/>
    <d v="1905-07-16T00:00:00"/>
    <s v="SoLAR leD lAnTern"/>
    <s v="Solar Led Lantern"/>
    <x v="2"/>
    <s v="LIGHTING"/>
    <n v="4"/>
    <n v="40"/>
    <n v="40"/>
    <n v="11.94"/>
    <n v="160"/>
    <n v="47.76"/>
    <n v="112.24000000000001"/>
    <n v="0.70150000000000001"/>
    <s v="C0131"/>
    <x v="69"/>
    <x v="69"/>
    <x v="2"/>
    <x v="8"/>
  </r>
  <r>
    <x v="640"/>
    <x v="218"/>
    <x v="7"/>
    <x v="7"/>
    <d v="1905-07-16T00:00:00"/>
    <s v="SoLAR leD lAnTern"/>
    <s v="Solar Led Lantern"/>
    <x v="2"/>
    <s v="LIGHTING"/>
    <n v="5"/>
    <n v="40"/>
    <n v="40"/>
    <n v="10.23"/>
    <n v="200"/>
    <n v="51.150000000000006"/>
    <n v="148.85"/>
    <n v="0.74424999999999997"/>
    <s v="C0172"/>
    <x v="103"/>
    <x v="103"/>
    <x v="2"/>
    <x v="6"/>
  </r>
  <r>
    <x v="641"/>
    <x v="219"/>
    <x v="7"/>
    <x v="7"/>
    <d v="1905-07-16T00:00:00"/>
    <s v="COMpOsTaBLe PlAnT POts"/>
    <s v="Compostable Plant Pots"/>
    <x v="4"/>
    <s v="GARDENING"/>
    <n v="7"/>
    <n v="12"/>
    <n v="12"/>
    <n v="4.46"/>
    <n v="84"/>
    <n v="31.22"/>
    <n v="52.78"/>
    <n v="0.6283333333333333"/>
    <s v="C0148"/>
    <x v="48"/>
    <x v="48"/>
    <x v="1"/>
    <x v="0"/>
  </r>
  <r>
    <x v="642"/>
    <x v="219"/>
    <x v="7"/>
    <x v="7"/>
    <d v="1905-07-16T00:00:00"/>
    <s v="COMpOsTaBLe PlAnT POts"/>
    <s v="Compostable Plant Pots"/>
    <x v="4"/>
    <s v="GARDENING"/>
    <n v="6"/>
    <n v="12"/>
    <n v="12"/>
    <n v="4.7300000000000004"/>
    <n v="72"/>
    <n v="28.380000000000003"/>
    <n v="43.62"/>
    <n v="0.60583333333333333"/>
    <s v="C0159"/>
    <x v="105"/>
    <x v="105"/>
    <x v="0"/>
    <x v="7"/>
  </r>
  <r>
    <x v="643"/>
    <x v="219"/>
    <x v="7"/>
    <x v="7"/>
    <d v="1905-07-16T00:00:00"/>
    <s v="REUsABle bAMboO uTeNSIL sEt"/>
    <s v="Reusable Bamboo Utensil Set"/>
    <x v="3"/>
    <s v="KITCHENWARE"/>
    <n v="6"/>
    <n v="15"/>
    <n v="15"/>
    <n v="3.74"/>
    <n v="90"/>
    <n v="22.44"/>
    <n v="67.56"/>
    <n v="0.7506666666666667"/>
    <s v="C0045"/>
    <x v="51"/>
    <x v="51"/>
    <x v="3"/>
    <x v="5"/>
  </r>
  <r>
    <x v="644"/>
    <x v="219"/>
    <x v="7"/>
    <x v="7"/>
    <d v="1905-07-16T00:00:00"/>
    <s v="ecO CANVAS TOTe Bag"/>
    <s v="Eco Canvas Tote Bag"/>
    <x v="1"/>
    <s v="BAGS"/>
    <n v="10"/>
    <n v="25"/>
    <n v="25"/>
    <n v="6.58"/>
    <n v="250"/>
    <n v="65.8"/>
    <n v="184.2"/>
    <n v="0.7367999999999999"/>
    <s v="C0035"/>
    <x v="16"/>
    <x v="16"/>
    <x v="0"/>
    <x v="2"/>
  </r>
  <r>
    <x v="645"/>
    <x v="220"/>
    <x v="7"/>
    <x v="7"/>
    <d v="1905-07-16T00:00:00"/>
    <s v="REUsABle bAMboO uTeNSIL sEt"/>
    <s v="Reusable Bamboo Utensil Set"/>
    <x v="3"/>
    <s v="KITCHENWARE"/>
    <n v="2"/>
    <n v="15"/>
    <n v="15"/>
    <n v="5.88"/>
    <n v="30"/>
    <n v="11.76"/>
    <n v="18.240000000000002"/>
    <n v="0.6080000000000001"/>
    <s v="C0001"/>
    <x v="92"/>
    <x v="92"/>
    <x v="1"/>
    <x v="6"/>
  </r>
  <r>
    <x v="646"/>
    <x v="220"/>
    <x v="7"/>
    <x v="7"/>
    <d v="1905-07-16T00:00:00"/>
    <s v="SoLAR leD lAnTern"/>
    <s v="Solar Led Lantern"/>
    <x v="2"/>
    <s v="LIGHTING"/>
    <n v="2"/>
    <n v="40"/>
    <n v="40"/>
    <n v="14.55"/>
    <n v="80"/>
    <n v="29.1"/>
    <n v="50.9"/>
    <n v="0.63624999999999998"/>
    <s v="C0182"/>
    <x v="57"/>
    <x v="57"/>
    <x v="0"/>
    <x v="5"/>
  </r>
  <r>
    <x v="647"/>
    <x v="220"/>
    <x v="7"/>
    <x v="7"/>
    <d v="1905-07-16T00:00:00"/>
    <s v="bIOdegradABlE cLEaNINg cLoTH"/>
    <s v="Biodegradable Cleaning Cloth"/>
    <x v="0"/>
    <s v="CLEANING"/>
    <n v="3"/>
    <n v="10"/>
    <n v="10"/>
    <n v="2.33"/>
    <n v="30"/>
    <n v="6.99"/>
    <n v="23.009999999999998"/>
    <n v="0.7669999999999999"/>
    <s v="C0183"/>
    <x v="1"/>
    <x v="1"/>
    <x v="0"/>
    <x v="7"/>
  </r>
  <r>
    <x v="648"/>
    <x v="220"/>
    <x v="7"/>
    <x v="7"/>
    <d v="1905-07-16T00:00:00"/>
    <s v="REUsABle bAMboO uTeNSIL sEt"/>
    <s v="Reusable Bamboo Utensil Set"/>
    <x v="3"/>
    <s v="KITCHENWARE"/>
    <n v="1"/>
    <n v="15"/>
    <n v="15"/>
    <n v="4.93"/>
    <n v="15"/>
    <n v="4.93"/>
    <n v="10.07"/>
    <n v="0.67133333333333334"/>
    <s v="C0135"/>
    <x v="8"/>
    <x v="8"/>
    <x v="1"/>
    <x v="1"/>
  </r>
  <r>
    <x v="649"/>
    <x v="220"/>
    <x v="7"/>
    <x v="7"/>
    <d v="1905-07-16T00:00:00"/>
    <s v="bIOdegradABlE cLEaNINg cLoTH"/>
    <s v="Biodegradable Cleaning Cloth"/>
    <x v="0"/>
    <s v="CLEANING"/>
    <n v="2"/>
    <n v="10"/>
    <n v="10"/>
    <n v="3.11"/>
    <n v="20"/>
    <n v="6.22"/>
    <n v="13.780000000000001"/>
    <n v="0.68900000000000006"/>
    <s v="C0090"/>
    <x v="116"/>
    <x v="116"/>
    <x v="1"/>
    <x v="4"/>
  </r>
  <r>
    <x v="650"/>
    <x v="220"/>
    <x v="7"/>
    <x v="7"/>
    <d v="1905-07-16T00:00:00"/>
    <s v="REUsABle bAMboO uTeNSIL sEt"/>
    <s v="Reusable Bamboo Utensil Set"/>
    <x v="3"/>
    <s v="KITCHENWARE"/>
    <n v="1"/>
    <n v="15"/>
    <n v="15"/>
    <n v="4.5599999999999996"/>
    <n v="15"/>
    <n v="4.5599999999999996"/>
    <n v="10.440000000000001"/>
    <n v="0.69600000000000006"/>
    <s v="C0083"/>
    <x v="71"/>
    <x v="71"/>
    <x v="1"/>
    <x v="8"/>
  </r>
  <r>
    <x v="651"/>
    <x v="220"/>
    <x v="7"/>
    <x v="7"/>
    <d v="1905-07-16T00:00:00"/>
    <s v="REUsABle bAMboO uTeNSIL sEt"/>
    <s v="Reusable Bamboo Utensil Set"/>
    <x v="3"/>
    <s v="KITCHENWARE"/>
    <n v="1"/>
    <n v="15"/>
    <n v="15"/>
    <n v="4.25"/>
    <n v="15"/>
    <n v="4.25"/>
    <n v="10.75"/>
    <n v="0.71666666666666667"/>
    <s v="C0178"/>
    <x v="19"/>
    <x v="19"/>
    <x v="1"/>
    <x v="4"/>
  </r>
  <r>
    <x v="652"/>
    <x v="220"/>
    <x v="7"/>
    <x v="7"/>
    <d v="1905-07-16T00:00:00"/>
    <s v="SoLAR leD lAnTern"/>
    <s v="Solar Led Lantern"/>
    <x v="2"/>
    <s v="LIGHTING"/>
    <n v="3"/>
    <n v="40"/>
    <n v="40"/>
    <n v="15.7"/>
    <n v="120"/>
    <n v="47.099999999999994"/>
    <n v="72.900000000000006"/>
    <n v="0.60750000000000004"/>
    <s v="C0100"/>
    <x v="52"/>
    <x v="52"/>
    <x v="0"/>
    <x v="8"/>
  </r>
  <r>
    <x v="653"/>
    <x v="221"/>
    <x v="7"/>
    <x v="7"/>
    <d v="1905-07-16T00:00:00"/>
    <s v="COMpOsTaBLe PlAnT POts"/>
    <s v="Compostable Plant Pots"/>
    <x v="4"/>
    <s v="GARDENING"/>
    <n v="1"/>
    <n v="12"/>
    <n v="12"/>
    <n v="3.08"/>
    <n v="12"/>
    <n v="3.08"/>
    <n v="8.92"/>
    <n v="0.74333333333333329"/>
    <s v="C0009"/>
    <x v="53"/>
    <x v="53"/>
    <x v="1"/>
    <x v="3"/>
  </r>
  <r>
    <x v="654"/>
    <x v="222"/>
    <x v="7"/>
    <x v="7"/>
    <d v="1905-07-16T00:00:00"/>
    <s v="SoLAR leD lAnTern"/>
    <s v="Solar Led Lantern"/>
    <x v="2"/>
    <s v="LIGHTING"/>
    <n v="8"/>
    <n v="40"/>
    <n v="40"/>
    <n v="14.45"/>
    <n v="320"/>
    <n v="115.6"/>
    <n v="204.4"/>
    <n v="0.63875000000000004"/>
    <s v="C0171"/>
    <x v="59"/>
    <x v="59"/>
    <x v="0"/>
    <x v="4"/>
  </r>
  <r>
    <x v="655"/>
    <x v="222"/>
    <x v="7"/>
    <x v="7"/>
    <d v="1905-07-16T00:00:00"/>
    <s v="REUsABle bAMboO uTeNSIL sEt"/>
    <s v="Reusable Bamboo Utensil Set"/>
    <x v="3"/>
    <s v="KITCHENWARE"/>
    <n v="6"/>
    <n v="15"/>
    <n v="15"/>
    <n v="3.14"/>
    <n v="90"/>
    <n v="18.84"/>
    <n v="71.16"/>
    <n v="0.79066666666666663"/>
    <s v="C0055"/>
    <x v="91"/>
    <x v="91"/>
    <x v="3"/>
    <x v="7"/>
  </r>
  <r>
    <x v="656"/>
    <x v="222"/>
    <x v="7"/>
    <x v="7"/>
    <d v="1905-07-16T00:00:00"/>
    <s v="bIOdegradABlE cLEaNINg cLoTH"/>
    <s v="Biodegradable Cleaning Cloth"/>
    <x v="0"/>
    <s v="CLEANING"/>
    <n v="2"/>
    <n v="10"/>
    <n v="10"/>
    <n v="3.83"/>
    <n v="20"/>
    <n v="7.66"/>
    <n v="12.34"/>
    <n v="0.61699999999999999"/>
    <s v="C0051"/>
    <x v="16"/>
    <x v="16"/>
    <x v="1"/>
    <x v="2"/>
  </r>
  <r>
    <x v="657"/>
    <x v="223"/>
    <x v="7"/>
    <x v="7"/>
    <d v="1905-07-16T00:00:00"/>
    <s v="SoLAR leD lAnTern"/>
    <s v="Solar Led Lantern"/>
    <x v="2"/>
    <s v="LIGHTING"/>
    <n v="6"/>
    <n v="40"/>
    <n v="40"/>
    <n v="8.43"/>
    <n v="240"/>
    <n v="50.58"/>
    <n v="189.42000000000002"/>
    <n v="0.78925000000000012"/>
    <s v="C0058"/>
    <x v="74"/>
    <x v="74"/>
    <x v="1"/>
    <x v="7"/>
  </r>
  <r>
    <x v="658"/>
    <x v="223"/>
    <x v="7"/>
    <x v="7"/>
    <d v="1905-07-16T00:00:00"/>
    <s v="ecO CANVAS TOTe Bag"/>
    <s v="Eco Canvas Tote Bag"/>
    <x v="1"/>
    <s v="BAGS"/>
    <n v="6"/>
    <n v="25"/>
    <n v="25"/>
    <n v="6.23"/>
    <n v="150"/>
    <n v="37.380000000000003"/>
    <n v="112.62"/>
    <n v="0.75080000000000002"/>
    <s v="C0004"/>
    <x v="94"/>
    <x v="94"/>
    <x v="1"/>
    <x v="4"/>
  </r>
  <r>
    <x v="659"/>
    <x v="223"/>
    <x v="7"/>
    <x v="7"/>
    <d v="1905-07-16T00:00:00"/>
    <s v="COMpOsTaBLe PlAnT POts"/>
    <s v="Compostable Plant Pots"/>
    <x v="4"/>
    <s v="GARDENING"/>
    <n v="8"/>
    <n v="12"/>
    <n v="12"/>
    <n v="4.07"/>
    <n v="96"/>
    <n v="32.56"/>
    <n v="63.44"/>
    <n v="0.66083333333333327"/>
    <s v="C0078"/>
    <x v="35"/>
    <x v="35"/>
    <x v="1"/>
    <x v="1"/>
  </r>
  <r>
    <x v="660"/>
    <x v="223"/>
    <x v="7"/>
    <x v="7"/>
    <d v="1905-07-16T00:00:00"/>
    <s v="bIOdegradABlE cLEaNINg cLoTH"/>
    <s v="Biodegradable Cleaning Cloth"/>
    <x v="0"/>
    <s v="CLEANING"/>
    <n v="6"/>
    <n v="10"/>
    <n v="10"/>
    <n v="2.44"/>
    <n v="60"/>
    <n v="14.64"/>
    <n v="45.36"/>
    <n v="0.75600000000000001"/>
    <s v="C0117"/>
    <x v="122"/>
    <x v="122"/>
    <x v="1"/>
    <x v="4"/>
  </r>
  <r>
    <x v="661"/>
    <x v="223"/>
    <x v="7"/>
    <x v="7"/>
    <d v="1905-07-16T00:00:00"/>
    <s v="ecO CANVAS TOTe Bag"/>
    <s v="Eco Canvas Tote Bag"/>
    <x v="1"/>
    <s v="BAGS"/>
    <n v="1"/>
    <n v="25"/>
    <n v="25"/>
    <n v="6.31"/>
    <n v="25"/>
    <n v="6.31"/>
    <n v="18.690000000000001"/>
    <n v="0.74760000000000004"/>
    <s v="C0032"/>
    <x v="113"/>
    <x v="113"/>
    <x v="1"/>
    <x v="8"/>
  </r>
  <r>
    <x v="662"/>
    <x v="224"/>
    <x v="7"/>
    <x v="7"/>
    <d v="1905-07-16T00:00:00"/>
    <s v="ecO CANVAS TOTe Bag"/>
    <s v="Eco Canvas Tote Bag"/>
    <x v="1"/>
    <s v="BAGS"/>
    <n v="5"/>
    <n v="25"/>
    <n v="25"/>
    <n v="7.47"/>
    <n v="125"/>
    <n v="37.35"/>
    <n v="87.65"/>
    <n v="0.70120000000000005"/>
    <s v="C0034"/>
    <x v="40"/>
    <x v="40"/>
    <x v="1"/>
    <x v="3"/>
  </r>
  <r>
    <x v="663"/>
    <x v="224"/>
    <x v="7"/>
    <x v="7"/>
    <d v="1905-07-16T00:00:00"/>
    <s v="REUsABle bAMboO uTeNSIL sEt"/>
    <s v="Reusable Bamboo Utensil Set"/>
    <x v="3"/>
    <s v="KITCHENWARE"/>
    <n v="3"/>
    <n v="15"/>
    <n v="15"/>
    <n v="5.58"/>
    <n v="45"/>
    <n v="16.740000000000002"/>
    <n v="28.259999999999998"/>
    <n v="0.628"/>
    <s v="C0149"/>
    <x v="10"/>
    <x v="10"/>
    <x v="1"/>
    <x v="0"/>
  </r>
  <r>
    <x v="664"/>
    <x v="224"/>
    <x v="7"/>
    <x v="7"/>
    <d v="1905-07-16T00:00:00"/>
    <s v="REUsABle bAMboO uTeNSIL sEt"/>
    <s v="Reusable Bamboo Utensil Set"/>
    <x v="3"/>
    <s v="KITCHENWARE"/>
    <n v="9"/>
    <n v="15"/>
    <n v="15"/>
    <n v="3.44"/>
    <n v="135"/>
    <n v="30.96"/>
    <n v="104.03999999999999"/>
    <n v="0.77066666666666661"/>
    <s v="C0064"/>
    <x v="46"/>
    <x v="46"/>
    <x v="1"/>
    <x v="3"/>
  </r>
  <r>
    <x v="665"/>
    <x v="224"/>
    <x v="7"/>
    <x v="7"/>
    <d v="1905-07-16T00:00:00"/>
    <s v="ecO CANVAS TOTe Bag"/>
    <s v="Eco Canvas Tote Bag"/>
    <x v="1"/>
    <s v="BAGS"/>
    <n v="8"/>
    <n v="25"/>
    <n v="25"/>
    <n v="9.1300000000000008"/>
    <n v="200"/>
    <n v="73.040000000000006"/>
    <n v="126.96"/>
    <n v="0.63479999999999992"/>
    <s v="C0119"/>
    <x v="21"/>
    <x v="21"/>
    <x v="0"/>
    <x v="4"/>
  </r>
  <r>
    <x v="666"/>
    <x v="224"/>
    <x v="7"/>
    <x v="7"/>
    <d v="1905-07-16T00:00:00"/>
    <s v="COMpOsTaBLe PlAnT POts"/>
    <s v="Compostable Plant Pots"/>
    <x v="4"/>
    <s v="GARDENING"/>
    <n v="3"/>
    <n v="12"/>
    <n v="12"/>
    <n v="2.71"/>
    <n v="36"/>
    <n v="8.129999999999999"/>
    <n v="27.87"/>
    <n v="0.77416666666666667"/>
    <s v="C0170"/>
    <x v="48"/>
    <x v="48"/>
    <x v="1"/>
    <x v="5"/>
  </r>
  <r>
    <x v="667"/>
    <x v="224"/>
    <x v="7"/>
    <x v="7"/>
    <d v="1905-07-16T00:00:00"/>
    <s v="REUsABle bAMboO uTeNSIL sEt"/>
    <s v="Reusable Bamboo Utensil Set"/>
    <x v="3"/>
    <s v="KITCHENWARE"/>
    <n v="5"/>
    <n v="15"/>
    <n v="15"/>
    <n v="3.09"/>
    <n v="75"/>
    <n v="15.45"/>
    <n v="59.55"/>
    <n v="0.79399999999999993"/>
    <s v="C0193"/>
    <x v="67"/>
    <x v="67"/>
    <x v="1"/>
    <x v="0"/>
  </r>
  <r>
    <x v="668"/>
    <x v="225"/>
    <x v="7"/>
    <x v="7"/>
    <d v="1905-07-16T00:00:00"/>
    <s v="bIOdegradABlE cLEaNINg cLoTH"/>
    <s v="Biodegradable Cleaning Cloth"/>
    <x v="0"/>
    <s v="CLEANING"/>
    <n v="2"/>
    <n v="10"/>
    <n v="10"/>
    <n v="3.22"/>
    <n v="20"/>
    <n v="6.44"/>
    <n v="13.559999999999999"/>
    <n v="0.67799999999999994"/>
    <s v="C0131"/>
    <x v="69"/>
    <x v="69"/>
    <x v="1"/>
    <x v="5"/>
  </r>
  <r>
    <x v="669"/>
    <x v="225"/>
    <x v="7"/>
    <x v="7"/>
    <d v="1905-07-16T00:00:00"/>
    <s v="COMpOsTaBLe PlAnT POts"/>
    <s v="Compostable Plant Pots"/>
    <x v="4"/>
    <s v="GARDENING"/>
    <n v="1"/>
    <n v="12"/>
    <n v="12"/>
    <n v="2.5099999999999998"/>
    <n v="12"/>
    <n v="2.5099999999999998"/>
    <n v="9.49"/>
    <n v="0.79083333333333339"/>
    <s v="C0025"/>
    <x v="58"/>
    <x v="58"/>
    <x v="1"/>
    <x v="9"/>
  </r>
  <r>
    <x v="670"/>
    <x v="225"/>
    <x v="7"/>
    <x v="7"/>
    <d v="1905-07-16T00:00:00"/>
    <s v="REUsABle bAMboO uTeNSIL sEt"/>
    <s v="Reusable Bamboo Utensil Set"/>
    <x v="3"/>
    <s v="KITCHENWARE"/>
    <n v="2"/>
    <n v="15"/>
    <n v="15"/>
    <n v="3.49"/>
    <n v="30"/>
    <n v="6.98"/>
    <n v="23.02"/>
    <n v="0.76733333333333331"/>
    <s v="C0085"/>
    <x v="29"/>
    <x v="29"/>
    <x v="1"/>
    <x v="3"/>
  </r>
  <r>
    <x v="671"/>
    <x v="225"/>
    <x v="7"/>
    <x v="7"/>
    <d v="1905-07-16T00:00:00"/>
    <s v="REUsABle bAMboO uTeNSIL sEt"/>
    <s v="Reusable Bamboo Utensil Set"/>
    <x v="3"/>
    <s v="KITCHENWARE"/>
    <n v="8"/>
    <n v="15"/>
    <n v="15"/>
    <n v="5.72"/>
    <n v="120"/>
    <n v="45.76"/>
    <n v="74.240000000000009"/>
    <n v="0.6186666666666667"/>
    <s v="C0085"/>
    <x v="29"/>
    <x v="29"/>
    <x v="1"/>
    <x v="9"/>
  </r>
  <r>
    <x v="672"/>
    <x v="226"/>
    <x v="7"/>
    <x v="7"/>
    <d v="1905-07-16T00:00:00"/>
    <s v="SoLAR leD lAnTern"/>
    <s v="Solar Led Lantern"/>
    <x v="2"/>
    <s v="LIGHTING"/>
    <n v="4"/>
    <n v="40"/>
    <n v="40"/>
    <n v="15.33"/>
    <n v="160"/>
    <n v="61.32"/>
    <n v="98.68"/>
    <n v="0.61675000000000002"/>
    <s v="C0106"/>
    <x v="7"/>
    <x v="7"/>
    <x v="0"/>
    <x v="8"/>
  </r>
  <r>
    <x v="673"/>
    <x v="227"/>
    <x v="7"/>
    <x v="7"/>
    <d v="1905-07-16T00:00:00"/>
    <s v="SoLAR leD lAnTern"/>
    <s v="Solar Led Lantern"/>
    <x v="2"/>
    <s v="LIGHTING"/>
    <n v="4"/>
    <n v="40"/>
    <n v="40"/>
    <n v="11.38"/>
    <n v="160"/>
    <n v="45.52"/>
    <n v="114.47999999999999"/>
    <n v="0.71549999999999991"/>
    <s v="C0176"/>
    <x v="9"/>
    <x v="9"/>
    <x v="0"/>
    <x v="1"/>
  </r>
  <r>
    <x v="674"/>
    <x v="228"/>
    <x v="7"/>
    <x v="7"/>
    <d v="1905-07-16T00:00:00"/>
    <s v="ecO CANVAS TOTe Bag"/>
    <s v="Eco Canvas Tote Bag"/>
    <x v="1"/>
    <s v="BAGS"/>
    <n v="10"/>
    <n v="25"/>
    <n v="25"/>
    <n v="6.25"/>
    <n v="250"/>
    <n v="62.5"/>
    <n v="187.5"/>
    <n v="0.75"/>
    <s v="C0032"/>
    <x v="113"/>
    <x v="113"/>
    <x v="1"/>
    <x v="6"/>
  </r>
  <r>
    <x v="675"/>
    <x v="228"/>
    <x v="7"/>
    <x v="7"/>
    <d v="1905-07-16T00:00:00"/>
    <s v="SoLAR leD lAnTern"/>
    <s v="Solar Led Lantern"/>
    <x v="2"/>
    <s v="LIGHTING"/>
    <n v="5"/>
    <n v="40"/>
    <n v="40"/>
    <n v="8.4600000000000009"/>
    <n v="200"/>
    <n v="42.300000000000004"/>
    <n v="157.69999999999999"/>
    <n v="0.78849999999999998"/>
    <s v="C0075"/>
    <x v="71"/>
    <x v="71"/>
    <x v="0"/>
    <x v="3"/>
  </r>
  <r>
    <x v="676"/>
    <x v="228"/>
    <x v="7"/>
    <x v="7"/>
    <d v="1905-07-16T00:00:00"/>
    <s v="REUsABle bAMboO uTeNSIL sEt"/>
    <s v="Reusable Bamboo Utensil Set"/>
    <x v="3"/>
    <s v="KITCHENWARE"/>
    <n v="2"/>
    <n v="15"/>
    <n v="15"/>
    <n v="5.69"/>
    <n v="30"/>
    <n v="11.38"/>
    <n v="18.619999999999997"/>
    <n v="0.62066666666666659"/>
    <s v="C0006"/>
    <x v="75"/>
    <x v="75"/>
    <x v="1"/>
    <x v="3"/>
  </r>
  <r>
    <x v="677"/>
    <x v="228"/>
    <x v="7"/>
    <x v="7"/>
    <d v="1905-07-16T00:00:00"/>
    <s v="ecO CANVAS TOTe Bag"/>
    <s v="Eco Canvas Tote Bag"/>
    <x v="1"/>
    <s v="BAGS"/>
    <n v="7"/>
    <n v="25"/>
    <n v="25"/>
    <n v="9"/>
    <n v="175"/>
    <n v="63"/>
    <n v="112"/>
    <n v="0.64"/>
    <s v="C0160"/>
    <x v="19"/>
    <x v="19"/>
    <x v="2"/>
    <x v="0"/>
  </r>
  <r>
    <x v="678"/>
    <x v="228"/>
    <x v="7"/>
    <x v="7"/>
    <d v="1905-07-16T00:00:00"/>
    <s v="SoLAR leD lAnTern"/>
    <s v="Solar Led Lantern"/>
    <x v="2"/>
    <s v="LIGHTING"/>
    <n v="3"/>
    <n v="40"/>
    <n v="40"/>
    <n v="10.23"/>
    <n v="120"/>
    <n v="30.69"/>
    <n v="89.31"/>
    <n v="0.74424999999999997"/>
    <s v="C0050"/>
    <x v="74"/>
    <x v="74"/>
    <x v="0"/>
    <x v="6"/>
  </r>
  <r>
    <x v="679"/>
    <x v="229"/>
    <x v="7"/>
    <x v="7"/>
    <d v="1905-07-16T00:00:00"/>
    <s v="REUsABle bAMboO uTeNSIL sEt"/>
    <s v="Reusable Bamboo Utensil Set"/>
    <x v="3"/>
    <s v="KITCHENWARE"/>
    <n v="9"/>
    <m/>
    <n v="15"/>
    <n v="4.82"/>
    <n v="135"/>
    <n v="43.38"/>
    <n v="91.62"/>
    <n v="0.67866666666666675"/>
    <s v="C0112"/>
    <x v="70"/>
    <x v="70"/>
    <x v="0"/>
    <x v="2"/>
  </r>
  <r>
    <x v="680"/>
    <x v="230"/>
    <x v="7"/>
    <x v="7"/>
    <d v="1905-07-16T00:00:00"/>
    <s v="bIOdegradABlE cLEaNINg cLoTH"/>
    <s v="Biodegradable Cleaning Cloth"/>
    <x v="0"/>
    <s v="CLEANING"/>
    <n v="2"/>
    <n v="10"/>
    <n v="10"/>
    <n v="2.09"/>
    <n v="20"/>
    <n v="4.18"/>
    <n v="15.82"/>
    <n v="0.79100000000000004"/>
    <s v="C0142"/>
    <x v="102"/>
    <x v="102"/>
    <x v="1"/>
    <x v="5"/>
  </r>
  <r>
    <x v="681"/>
    <x v="230"/>
    <x v="7"/>
    <x v="7"/>
    <d v="1905-07-16T00:00:00"/>
    <s v="bIOdegradABlE cLEaNINg cLoTH"/>
    <s v="Biodegradable Cleaning Cloth"/>
    <x v="0"/>
    <s v="CLEANING"/>
    <n v="4"/>
    <n v="10"/>
    <n v="10"/>
    <n v="3.56"/>
    <n v="40"/>
    <n v="14.24"/>
    <n v="25.759999999999998"/>
    <n v="0.64399999999999991"/>
    <s v="C0157"/>
    <x v="27"/>
    <x v="27"/>
    <x v="1"/>
    <x v="8"/>
  </r>
  <r>
    <x v="682"/>
    <x v="231"/>
    <x v="7"/>
    <x v="7"/>
    <d v="1905-07-16T00:00:00"/>
    <s v="bIOdegradABlE cLEaNINg cLoTH"/>
    <s v="Biodegradable Cleaning Cloth"/>
    <x v="0"/>
    <s v="CLEANING"/>
    <n v="3"/>
    <n v="10"/>
    <n v="10"/>
    <n v="3.83"/>
    <n v="30"/>
    <n v="11.49"/>
    <n v="18.509999999999998"/>
    <n v="0.61699999999999988"/>
    <s v="C0072"/>
    <x v="88"/>
    <x v="88"/>
    <x v="1"/>
    <x v="1"/>
  </r>
  <r>
    <x v="683"/>
    <x v="231"/>
    <x v="7"/>
    <x v="7"/>
    <d v="1905-07-16T00:00:00"/>
    <s v="ecO CANVAS TOTe Bag"/>
    <s v="Eco Canvas Tote Bag"/>
    <x v="1"/>
    <s v="BAGS"/>
    <n v="5"/>
    <n v="25"/>
    <n v="25"/>
    <n v="7.66"/>
    <n v="125"/>
    <n v="38.299999999999997"/>
    <n v="86.7"/>
    <n v="0.69359999999999999"/>
    <s v="C0088"/>
    <x v="3"/>
    <x v="3"/>
    <x v="0"/>
    <x v="0"/>
  </r>
  <r>
    <x v="684"/>
    <x v="232"/>
    <x v="8"/>
    <x v="8"/>
    <d v="1905-07-16T00:00:00"/>
    <s v="SoLAR leD lAnTern"/>
    <s v="Solar Led Lantern"/>
    <x v="2"/>
    <s v="LIGHTING"/>
    <n v="8"/>
    <n v="40"/>
    <n v="40"/>
    <n v="12.16"/>
    <n v="320"/>
    <n v="97.28"/>
    <n v="222.72"/>
    <n v="0.69599999999999995"/>
    <s v="C0148"/>
    <x v="48"/>
    <x v="48"/>
    <x v="2"/>
    <x v="6"/>
  </r>
  <r>
    <x v="685"/>
    <x v="233"/>
    <x v="8"/>
    <x v="8"/>
    <d v="1905-07-16T00:00:00"/>
    <s v="COMpOsTaBLe PlAnT POts"/>
    <s v="Compostable Plant Pots"/>
    <x v="4"/>
    <s v="GARDENING"/>
    <n v="7"/>
    <n v="12"/>
    <n v="12"/>
    <n v="3.97"/>
    <n v="84"/>
    <n v="27.790000000000003"/>
    <n v="56.209999999999994"/>
    <n v="0.66916666666666658"/>
    <s v="C0058"/>
    <x v="74"/>
    <x v="74"/>
    <x v="1"/>
    <x v="4"/>
  </r>
  <r>
    <x v="686"/>
    <x v="233"/>
    <x v="8"/>
    <x v="8"/>
    <d v="1905-07-16T00:00:00"/>
    <s v="ecO CANVAS TOTe Bag"/>
    <s v="Eco Canvas Tote Bag"/>
    <x v="1"/>
    <s v="BAGS"/>
    <n v="4"/>
    <n v="25"/>
    <n v="25"/>
    <n v="6.53"/>
    <n v="100"/>
    <n v="26.12"/>
    <n v="73.88"/>
    <n v="0.7387999999999999"/>
    <s v="C0017"/>
    <x v="17"/>
    <x v="17"/>
    <x v="3"/>
    <x v="5"/>
  </r>
  <r>
    <x v="687"/>
    <x v="233"/>
    <x v="8"/>
    <x v="8"/>
    <d v="1905-07-16T00:00:00"/>
    <s v="REUsABle bAMboO uTeNSIL sEt"/>
    <s v="Reusable Bamboo Utensil Set"/>
    <x v="3"/>
    <s v="KITCHENWARE"/>
    <n v="3"/>
    <n v="15"/>
    <n v="15"/>
    <n v="3.29"/>
    <n v="45"/>
    <n v="9.870000000000001"/>
    <n v="35.129999999999995"/>
    <n v="0.78066666666666662"/>
    <s v="C0170"/>
    <x v="48"/>
    <x v="48"/>
    <x v="1"/>
    <x v="9"/>
  </r>
  <r>
    <x v="688"/>
    <x v="234"/>
    <x v="8"/>
    <x v="8"/>
    <d v="1905-07-16T00:00:00"/>
    <s v="COMpOsTaBLe PlAnT POts"/>
    <s v="Compostable Plant Pots"/>
    <x v="4"/>
    <s v="GARDENING"/>
    <n v="10"/>
    <n v="12"/>
    <n v="12"/>
    <n v="2.42"/>
    <n v="120"/>
    <n v="24.2"/>
    <n v="95.8"/>
    <n v="0.79833333333333334"/>
    <s v="C0096"/>
    <x v="82"/>
    <x v="82"/>
    <x v="0"/>
    <x v="0"/>
  </r>
  <r>
    <x v="689"/>
    <x v="234"/>
    <x v="8"/>
    <x v="8"/>
    <d v="1905-07-16T00:00:00"/>
    <s v="ecO CANVAS TOTe Bag"/>
    <s v="Eco Canvas Tote Bag"/>
    <x v="1"/>
    <s v="BAGS"/>
    <n v="5"/>
    <n v="25"/>
    <n v="25"/>
    <n v="7.76"/>
    <n v="125"/>
    <n v="38.799999999999997"/>
    <n v="86.2"/>
    <n v="0.68959999999999999"/>
    <s v="C0049"/>
    <x v="74"/>
    <x v="74"/>
    <x v="1"/>
    <x v="6"/>
  </r>
  <r>
    <x v="690"/>
    <x v="235"/>
    <x v="8"/>
    <x v="8"/>
    <d v="1905-07-16T00:00:00"/>
    <s v="bIOdegradABlE cLEaNINg cLoTH"/>
    <s v="Biodegradable Cleaning Cloth"/>
    <x v="0"/>
    <s v="CLEANING"/>
    <n v="9"/>
    <n v="10"/>
    <n v="10"/>
    <n v="3.63"/>
    <n v="90"/>
    <n v="32.67"/>
    <n v="57.33"/>
    <n v="0.63700000000000001"/>
    <s v="C0089"/>
    <x v="115"/>
    <x v="115"/>
    <x v="1"/>
    <x v="8"/>
  </r>
  <r>
    <x v="691"/>
    <x v="235"/>
    <x v="8"/>
    <x v="8"/>
    <d v="1905-07-16T00:00:00"/>
    <s v="bIOdegradABlE cLEaNINg cLoTH"/>
    <s v="Biodegradable Cleaning Cloth"/>
    <x v="0"/>
    <s v="CLEANING"/>
    <n v="8"/>
    <n v="10"/>
    <n v="10"/>
    <n v="2.33"/>
    <n v="80"/>
    <n v="18.64"/>
    <n v="61.36"/>
    <n v="0.76700000000000002"/>
    <s v="C0078"/>
    <x v="35"/>
    <x v="35"/>
    <x v="0"/>
    <x v="9"/>
  </r>
  <r>
    <x v="692"/>
    <x v="235"/>
    <x v="8"/>
    <x v="8"/>
    <d v="1905-07-16T00:00:00"/>
    <s v="REUsABle bAMboO uTeNSIL sEt"/>
    <s v="Reusable Bamboo Utensil Set"/>
    <x v="3"/>
    <s v="KITCHENWARE"/>
    <n v="4"/>
    <m/>
    <n v="15"/>
    <n v="4.5599999999999996"/>
    <n v="60"/>
    <n v="18.239999999999998"/>
    <n v="41.760000000000005"/>
    <n v="0.69600000000000006"/>
    <s v="C0088"/>
    <x v="3"/>
    <x v="3"/>
    <x v="1"/>
    <x v="2"/>
  </r>
  <r>
    <x v="693"/>
    <x v="235"/>
    <x v="8"/>
    <x v="8"/>
    <d v="1905-07-16T00:00:00"/>
    <s v="REUsABle bAMboO uTeNSIL sEt"/>
    <s v="Reusable Bamboo Utensil Set"/>
    <x v="3"/>
    <s v="KITCHENWARE"/>
    <n v="7"/>
    <n v="15"/>
    <n v="15"/>
    <n v="5.0599999999999996"/>
    <n v="105"/>
    <n v="35.419999999999995"/>
    <n v="69.580000000000013"/>
    <n v="0.66266666666666674"/>
    <s v="C0149"/>
    <x v="10"/>
    <x v="10"/>
    <x v="0"/>
    <x v="0"/>
  </r>
  <r>
    <x v="694"/>
    <x v="236"/>
    <x v="8"/>
    <x v="8"/>
    <d v="1905-07-16T00:00:00"/>
    <s v="ecO CANVAS TOTe Bag"/>
    <s v="Eco Canvas Tote Bag"/>
    <x v="1"/>
    <s v="BAGS"/>
    <n v="1"/>
    <n v="25"/>
    <n v="25"/>
    <n v="8.42"/>
    <n v="25"/>
    <n v="8.42"/>
    <n v="16.579999999999998"/>
    <n v="0.6631999999999999"/>
    <s v="C0070"/>
    <x v="117"/>
    <x v="117"/>
    <x v="0"/>
    <x v="5"/>
  </r>
  <r>
    <x v="695"/>
    <x v="237"/>
    <x v="8"/>
    <x v="8"/>
    <d v="1905-07-16T00:00:00"/>
    <s v="bIOdegradABlE cLEaNINg cLoTH"/>
    <s v="Biodegradable Cleaning Cloth"/>
    <x v="0"/>
    <s v="CLEANING"/>
    <n v="7"/>
    <n v="10"/>
    <n v="10"/>
    <n v="3.96"/>
    <n v="70"/>
    <n v="27.72"/>
    <n v="42.28"/>
    <n v="0.60399999999999998"/>
    <s v="C0092"/>
    <x v="102"/>
    <x v="102"/>
    <x v="1"/>
    <x v="3"/>
  </r>
  <r>
    <x v="696"/>
    <x v="238"/>
    <x v="8"/>
    <x v="8"/>
    <d v="1905-07-16T00:00:00"/>
    <s v="REUsABle bAMboO uTeNSIL sEt"/>
    <s v="Reusable Bamboo Utensil Set"/>
    <x v="3"/>
    <s v="KITCHENWARE"/>
    <n v="5"/>
    <n v="15"/>
    <n v="15"/>
    <n v="5.13"/>
    <n v="75"/>
    <n v="25.65"/>
    <n v="49.35"/>
    <n v="0.65800000000000003"/>
    <s v="C0122"/>
    <x v="1"/>
    <x v="1"/>
    <x v="0"/>
    <x v="1"/>
  </r>
  <r>
    <x v="697"/>
    <x v="238"/>
    <x v="8"/>
    <x v="8"/>
    <d v="1905-07-16T00:00:00"/>
    <s v="ecO CANVAS TOTe Bag"/>
    <s v="Eco Canvas Tote Bag"/>
    <x v="1"/>
    <s v="BAGS"/>
    <n v="1"/>
    <n v="25"/>
    <n v="25"/>
    <n v="8.6199999999999992"/>
    <n v="25"/>
    <n v="8.6199999999999992"/>
    <n v="16.380000000000003"/>
    <n v="0.65520000000000012"/>
    <s v="C0097"/>
    <x v="26"/>
    <x v="26"/>
    <x v="1"/>
    <x v="3"/>
  </r>
  <r>
    <x v="698"/>
    <x v="238"/>
    <x v="8"/>
    <x v="8"/>
    <d v="1905-07-16T00:00:00"/>
    <s v="ecO CANVAS TOTe Bag"/>
    <s v="Eco Canvas Tote Bag"/>
    <x v="1"/>
    <s v="BAGS"/>
    <n v="2"/>
    <n v="25"/>
    <n v="25"/>
    <n v="8.64"/>
    <n v="50"/>
    <n v="17.28"/>
    <n v="32.72"/>
    <n v="0.65439999999999998"/>
    <s v="C0143"/>
    <x v="89"/>
    <x v="89"/>
    <x v="1"/>
    <x v="0"/>
  </r>
  <r>
    <x v="699"/>
    <x v="239"/>
    <x v="8"/>
    <x v="8"/>
    <d v="1905-07-16T00:00:00"/>
    <s v="ecO CANVAS TOTe Bag"/>
    <s v="Eco Canvas Tote Bag"/>
    <x v="1"/>
    <s v="BAGS"/>
    <n v="7"/>
    <n v="25"/>
    <n v="25"/>
    <n v="9"/>
    <n v="175"/>
    <n v="63"/>
    <n v="112"/>
    <n v="0.64"/>
    <s v="C0096"/>
    <x v="82"/>
    <x v="82"/>
    <x v="1"/>
    <x v="9"/>
  </r>
  <r>
    <x v="700"/>
    <x v="239"/>
    <x v="8"/>
    <x v="8"/>
    <d v="1905-07-16T00:00:00"/>
    <s v="COMpOsTaBLe PlAnT POts"/>
    <s v="Compostable Plant Pots"/>
    <x v="4"/>
    <s v="GARDENING"/>
    <n v="8"/>
    <n v="12"/>
    <n v="12"/>
    <n v="3.81"/>
    <n v="96"/>
    <n v="30.48"/>
    <n v="65.52"/>
    <n v="0.6825"/>
    <s v="C0185"/>
    <x v="55"/>
    <x v="55"/>
    <x v="1"/>
    <x v="4"/>
  </r>
  <r>
    <x v="701"/>
    <x v="239"/>
    <x v="8"/>
    <x v="8"/>
    <d v="1905-07-16T00:00:00"/>
    <s v="bIOdegradABlE cLEaNINg cLoTH"/>
    <s v="Biodegradable Cleaning Cloth"/>
    <x v="0"/>
    <s v="CLEANING"/>
    <n v="5"/>
    <m/>
    <n v="10"/>
    <n v="2.76"/>
    <n v="50"/>
    <n v="13.799999999999999"/>
    <n v="36.200000000000003"/>
    <n v="0.72400000000000009"/>
    <s v="C0120"/>
    <x v="55"/>
    <x v="55"/>
    <x v="1"/>
    <x v="2"/>
  </r>
  <r>
    <x v="702"/>
    <x v="239"/>
    <x v="8"/>
    <x v="8"/>
    <d v="1905-07-16T00:00:00"/>
    <s v="bIOdegradABlE cLEaNINg cLoTH"/>
    <s v="Biodegradable Cleaning Cloth"/>
    <x v="0"/>
    <s v="CLEANING"/>
    <n v="9"/>
    <n v="10"/>
    <n v="10"/>
    <n v="2.41"/>
    <n v="90"/>
    <n v="21.69"/>
    <n v="68.31"/>
    <n v="0.75900000000000001"/>
    <s v="C0182"/>
    <x v="57"/>
    <x v="57"/>
    <x v="1"/>
    <x v="4"/>
  </r>
  <r>
    <x v="703"/>
    <x v="240"/>
    <x v="8"/>
    <x v="8"/>
    <d v="1905-07-16T00:00:00"/>
    <s v="COMpOsTaBLe PlAnT POts"/>
    <s v="Compostable Plant Pots"/>
    <x v="4"/>
    <s v="GARDENING"/>
    <n v="1"/>
    <n v="12"/>
    <n v="12"/>
    <n v="3.1"/>
    <n v="12"/>
    <n v="3.1"/>
    <n v="8.9"/>
    <n v="0.7416666666666667"/>
    <s v="C0164"/>
    <x v="34"/>
    <x v="34"/>
    <x v="0"/>
    <x v="6"/>
  </r>
  <r>
    <x v="704"/>
    <x v="240"/>
    <x v="8"/>
    <x v="8"/>
    <d v="1905-07-16T00:00:00"/>
    <s v="COMpOsTaBLe PlAnT POts"/>
    <s v="Compostable Plant Pots"/>
    <x v="4"/>
    <s v="GARDENING"/>
    <n v="10"/>
    <n v="12"/>
    <n v="12"/>
    <n v="3.77"/>
    <n v="120"/>
    <n v="37.700000000000003"/>
    <n v="82.3"/>
    <n v="0.68583333333333329"/>
    <s v="C0003"/>
    <x v="86"/>
    <x v="86"/>
    <x v="0"/>
    <x v="6"/>
  </r>
  <r>
    <x v="705"/>
    <x v="241"/>
    <x v="8"/>
    <x v="8"/>
    <d v="1905-07-16T00:00:00"/>
    <s v="bIOdegradABlE cLEaNINg cLoTH"/>
    <s v="Biodegradable Cleaning Cloth"/>
    <x v="0"/>
    <s v="CLEANING"/>
    <n v="9"/>
    <n v="10"/>
    <n v="10"/>
    <n v="2.02"/>
    <n v="90"/>
    <n v="18.18"/>
    <n v="71.819999999999993"/>
    <n v="0.79799999999999993"/>
    <s v="C0077"/>
    <x v="39"/>
    <x v="39"/>
    <x v="0"/>
    <x v="7"/>
  </r>
  <r>
    <x v="706"/>
    <x v="241"/>
    <x v="8"/>
    <x v="8"/>
    <d v="1905-07-16T00:00:00"/>
    <s v="SoLAR leD lAnTern"/>
    <s v="Solar Led Lantern"/>
    <x v="2"/>
    <s v="LIGHTING"/>
    <n v="4"/>
    <n v="40"/>
    <n v="40"/>
    <n v="11.92"/>
    <n v="160"/>
    <n v="47.68"/>
    <n v="112.32"/>
    <n v="0.70199999999999996"/>
    <s v="C0064"/>
    <x v="46"/>
    <x v="46"/>
    <x v="0"/>
    <x v="4"/>
  </r>
  <r>
    <x v="707"/>
    <x v="241"/>
    <x v="8"/>
    <x v="8"/>
    <d v="1905-07-16T00:00:00"/>
    <s v="bIOdegradABlE cLEaNINg cLoTH"/>
    <s v="Biodegradable Cleaning Cloth"/>
    <x v="0"/>
    <s v="CLEANING"/>
    <n v="8"/>
    <n v="10"/>
    <n v="10"/>
    <n v="3.58"/>
    <n v="80"/>
    <n v="28.64"/>
    <n v="51.36"/>
    <n v="0.64200000000000002"/>
    <s v="C0048"/>
    <x v="87"/>
    <x v="87"/>
    <x v="1"/>
    <x v="2"/>
  </r>
  <r>
    <x v="708"/>
    <x v="241"/>
    <x v="8"/>
    <x v="8"/>
    <d v="1905-07-16T00:00:00"/>
    <s v="ecO CANVAS TOTe Bag"/>
    <s v="Eco Canvas Tote Bag"/>
    <x v="1"/>
    <s v="BAGS"/>
    <n v="10"/>
    <m/>
    <n v="25"/>
    <n v="8.3699999999999992"/>
    <n v="250"/>
    <n v="83.699999999999989"/>
    <n v="166.3"/>
    <n v="0.66520000000000001"/>
    <s v="C0043"/>
    <x v="31"/>
    <x v="31"/>
    <x v="0"/>
    <x v="0"/>
  </r>
  <r>
    <x v="709"/>
    <x v="241"/>
    <x v="8"/>
    <x v="8"/>
    <d v="1905-07-16T00:00:00"/>
    <s v="COMpOsTaBLe PlAnT POts"/>
    <s v="Compostable Plant Pots"/>
    <x v="4"/>
    <s v="GARDENING"/>
    <n v="1"/>
    <n v="12"/>
    <n v="12"/>
    <n v="4.25"/>
    <n v="12"/>
    <n v="4.25"/>
    <n v="7.75"/>
    <n v="0.64583333333333337"/>
    <s v="C0132"/>
    <x v="97"/>
    <x v="97"/>
    <x v="0"/>
    <x v="3"/>
  </r>
  <r>
    <x v="710"/>
    <x v="242"/>
    <x v="8"/>
    <x v="8"/>
    <d v="1905-07-16T00:00:00"/>
    <s v="REUsABle bAMboO uTeNSIL sEt"/>
    <s v="Reusable Bamboo Utensil Set"/>
    <x v="3"/>
    <s v="KITCHENWARE"/>
    <n v="4"/>
    <n v="15"/>
    <n v="15"/>
    <n v="4.2"/>
    <n v="60"/>
    <n v="16.8"/>
    <n v="43.2"/>
    <n v="0.72000000000000008"/>
    <s v="C0071"/>
    <x v="7"/>
    <x v="7"/>
    <x v="2"/>
    <x v="5"/>
  </r>
  <r>
    <x v="711"/>
    <x v="242"/>
    <x v="8"/>
    <x v="8"/>
    <d v="1905-07-16T00:00:00"/>
    <s v="REUsABle bAMboO uTeNSIL sEt"/>
    <s v="Reusable Bamboo Utensil Set"/>
    <x v="3"/>
    <s v="KITCHENWARE"/>
    <n v="4"/>
    <n v="15"/>
    <n v="15"/>
    <n v="4.03"/>
    <n v="60"/>
    <n v="16.12"/>
    <n v="43.879999999999995"/>
    <n v="0.73133333333333328"/>
    <s v="C0078"/>
    <x v="35"/>
    <x v="35"/>
    <x v="1"/>
    <x v="4"/>
  </r>
  <r>
    <x v="712"/>
    <x v="242"/>
    <x v="8"/>
    <x v="8"/>
    <d v="1905-07-16T00:00:00"/>
    <s v="COMpOsTaBLe PlAnT POts"/>
    <s v="Compostable Plant Pots"/>
    <x v="4"/>
    <s v="GARDENING"/>
    <n v="4"/>
    <n v="12"/>
    <n v="12"/>
    <n v="2.68"/>
    <n v="48"/>
    <n v="10.72"/>
    <n v="37.28"/>
    <n v="0.77666666666666673"/>
    <s v="C0103"/>
    <x v="3"/>
    <x v="3"/>
    <x v="3"/>
    <x v="1"/>
  </r>
  <r>
    <x v="713"/>
    <x v="243"/>
    <x v="8"/>
    <x v="8"/>
    <d v="1905-07-16T00:00:00"/>
    <s v="bIOdegradABlE cLEaNINg cLoTH"/>
    <s v="Biodegradable Cleaning Cloth"/>
    <x v="0"/>
    <s v="CLEANING"/>
    <n v="10"/>
    <n v="10"/>
    <n v="10"/>
    <n v="2.65"/>
    <n v="100"/>
    <n v="26.5"/>
    <n v="73.5"/>
    <n v="0.73499999999999999"/>
    <s v="C0050"/>
    <x v="74"/>
    <x v="74"/>
    <x v="1"/>
    <x v="5"/>
  </r>
  <r>
    <x v="714"/>
    <x v="243"/>
    <x v="8"/>
    <x v="8"/>
    <d v="1905-07-16T00:00:00"/>
    <s v="SoLAR leD lAnTern"/>
    <s v="Solar Led Lantern"/>
    <x v="2"/>
    <s v="LIGHTING"/>
    <n v="8"/>
    <n v="40"/>
    <n v="40"/>
    <n v="8.8699999999999992"/>
    <n v="320"/>
    <n v="70.959999999999994"/>
    <n v="249.04000000000002"/>
    <n v="0.77825000000000011"/>
    <s v="C0030"/>
    <x v="34"/>
    <x v="34"/>
    <x v="0"/>
    <x v="9"/>
  </r>
  <r>
    <x v="715"/>
    <x v="244"/>
    <x v="8"/>
    <x v="8"/>
    <d v="1905-07-16T00:00:00"/>
    <s v="SoLAR leD lAnTern"/>
    <s v="Solar Led Lantern"/>
    <x v="2"/>
    <s v="LIGHTING"/>
    <n v="3"/>
    <n v="40"/>
    <n v="40"/>
    <n v="14.24"/>
    <n v="120"/>
    <n v="42.72"/>
    <n v="77.28"/>
    <n v="0.64400000000000002"/>
    <s v="C0055"/>
    <x v="91"/>
    <x v="91"/>
    <x v="1"/>
    <x v="3"/>
  </r>
  <r>
    <x v="716"/>
    <x v="244"/>
    <x v="8"/>
    <x v="8"/>
    <d v="1905-07-16T00:00:00"/>
    <s v="bIOdegradABlE cLEaNINg cLoTH"/>
    <s v="Biodegradable Cleaning Cloth"/>
    <x v="0"/>
    <s v="CLEANING"/>
    <n v="2"/>
    <n v="10"/>
    <n v="10"/>
    <n v="3.03"/>
    <n v="20"/>
    <n v="6.06"/>
    <n v="13.940000000000001"/>
    <n v="0.69700000000000006"/>
    <s v="C0136"/>
    <x v="90"/>
    <x v="90"/>
    <x v="0"/>
    <x v="4"/>
  </r>
  <r>
    <x v="717"/>
    <x v="245"/>
    <x v="8"/>
    <x v="8"/>
    <d v="1905-07-16T00:00:00"/>
    <s v="bIOdegradABlE cLEaNINg cLoTH"/>
    <s v="Biodegradable Cleaning Cloth"/>
    <x v="0"/>
    <s v="CLEANING"/>
    <n v="9"/>
    <n v="10"/>
    <n v="10"/>
    <n v="2.11"/>
    <n v="90"/>
    <n v="18.989999999999998"/>
    <n v="71.010000000000005"/>
    <n v="0.78900000000000003"/>
    <s v="C0039"/>
    <x v="0"/>
    <x v="0"/>
    <x v="0"/>
    <x v="3"/>
  </r>
  <r>
    <x v="718"/>
    <x v="245"/>
    <x v="8"/>
    <x v="8"/>
    <d v="1905-07-16T00:00:00"/>
    <s v="ecO CANVAS TOTe Bag"/>
    <s v="Eco Canvas Tote Bag"/>
    <x v="1"/>
    <s v="BAGS"/>
    <n v="10"/>
    <n v="25"/>
    <n v="25"/>
    <n v="6.58"/>
    <n v="250"/>
    <n v="65.8"/>
    <n v="184.2"/>
    <n v="0.7367999999999999"/>
    <s v="C0125"/>
    <x v="83"/>
    <x v="83"/>
    <x v="1"/>
    <x v="3"/>
  </r>
  <r>
    <x v="719"/>
    <x v="246"/>
    <x v="8"/>
    <x v="8"/>
    <d v="1905-07-16T00:00:00"/>
    <s v="SoLAR leD lAnTern"/>
    <s v="Solar Led Lantern"/>
    <x v="2"/>
    <s v="LIGHTING"/>
    <n v="6"/>
    <n v="40"/>
    <n v="40"/>
    <n v="15.57"/>
    <n v="240"/>
    <n v="93.42"/>
    <n v="146.57999999999998"/>
    <n v="0.6107499999999999"/>
    <s v="C0147"/>
    <x v="30"/>
    <x v="30"/>
    <x v="1"/>
    <x v="4"/>
  </r>
  <r>
    <x v="720"/>
    <x v="246"/>
    <x v="8"/>
    <x v="8"/>
    <d v="1905-07-16T00:00:00"/>
    <s v="ecO CANVAS TOTe Bag"/>
    <s v="Eco Canvas Tote Bag"/>
    <x v="1"/>
    <s v="BAGS"/>
    <n v="9"/>
    <n v="25"/>
    <n v="25"/>
    <n v="8.24"/>
    <n v="225"/>
    <n v="74.16"/>
    <n v="150.84"/>
    <n v="0.6704"/>
    <s v="C0111"/>
    <x v="49"/>
    <x v="49"/>
    <x v="1"/>
    <x v="0"/>
  </r>
  <r>
    <x v="721"/>
    <x v="246"/>
    <x v="8"/>
    <x v="8"/>
    <d v="1905-07-16T00:00:00"/>
    <s v="ecO CANVAS TOTe Bag"/>
    <s v="Eco Canvas Tote Bag"/>
    <x v="1"/>
    <s v="BAGS"/>
    <n v="10"/>
    <n v="25"/>
    <n v="25"/>
    <n v="5.84"/>
    <n v="250"/>
    <n v="58.4"/>
    <n v="191.6"/>
    <n v="0.76639999999999997"/>
    <s v="C0089"/>
    <x v="115"/>
    <x v="115"/>
    <x v="0"/>
    <x v="0"/>
  </r>
  <r>
    <x v="722"/>
    <x v="247"/>
    <x v="8"/>
    <x v="8"/>
    <d v="1905-07-16T00:00:00"/>
    <s v="bIOdegradABlE cLEaNINg cLoTH"/>
    <s v="Biodegradable Cleaning Cloth"/>
    <x v="0"/>
    <s v="CLEANING"/>
    <n v="4"/>
    <n v="10"/>
    <n v="10"/>
    <n v="3.28"/>
    <n v="40"/>
    <n v="13.12"/>
    <n v="26.880000000000003"/>
    <n v="0.67200000000000004"/>
    <s v="C0122"/>
    <x v="1"/>
    <x v="1"/>
    <x v="1"/>
    <x v="7"/>
  </r>
  <r>
    <x v="723"/>
    <x v="247"/>
    <x v="8"/>
    <x v="8"/>
    <d v="1905-07-16T00:00:00"/>
    <s v="ecO CANVAS TOTe Bag"/>
    <s v="Eco Canvas Tote Bag"/>
    <x v="1"/>
    <s v="BAGS"/>
    <n v="8"/>
    <n v="25"/>
    <n v="25"/>
    <n v="9.33"/>
    <n v="200"/>
    <n v="74.64"/>
    <n v="125.36"/>
    <n v="0.62680000000000002"/>
    <s v="C0192"/>
    <x v="66"/>
    <x v="66"/>
    <x v="1"/>
    <x v="8"/>
  </r>
  <r>
    <x v="724"/>
    <x v="248"/>
    <x v="8"/>
    <x v="8"/>
    <d v="1905-07-16T00:00:00"/>
    <s v="REUsABle bAMboO uTeNSIL sEt"/>
    <s v="Reusable Bamboo Utensil Set"/>
    <x v="3"/>
    <s v="KITCHENWARE"/>
    <n v="10"/>
    <n v="15"/>
    <n v="15"/>
    <n v="5.0199999999999996"/>
    <n v="150"/>
    <n v="50.199999999999996"/>
    <n v="99.800000000000011"/>
    <n v="0.66533333333333344"/>
    <s v="C0112"/>
    <x v="70"/>
    <x v="70"/>
    <x v="1"/>
    <x v="9"/>
  </r>
  <r>
    <x v="725"/>
    <x v="248"/>
    <x v="8"/>
    <x v="8"/>
    <d v="1905-07-16T00:00:00"/>
    <s v="ecO CANVAS TOTe Bag"/>
    <s v="Eco Canvas Tote Bag"/>
    <x v="1"/>
    <s v="BAGS"/>
    <n v="1"/>
    <n v="25"/>
    <n v="25"/>
    <n v="8.68"/>
    <n v="25"/>
    <n v="8.68"/>
    <n v="16.32"/>
    <n v="0.65280000000000005"/>
    <s v="C0058"/>
    <x v="74"/>
    <x v="74"/>
    <x v="3"/>
    <x v="1"/>
  </r>
  <r>
    <x v="726"/>
    <x v="248"/>
    <x v="8"/>
    <x v="8"/>
    <d v="1905-07-16T00:00:00"/>
    <s v="SoLAR leD lAnTern"/>
    <s v="Solar Led Lantern"/>
    <x v="2"/>
    <s v="LIGHTING"/>
    <n v="7"/>
    <n v="40"/>
    <n v="40"/>
    <n v="8.74"/>
    <n v="280"/>
    <n v="61.18"/>
    <n v="218.82"/>
    <n v="0.78149999999999997"/>
    <s v="C0177"/>
    <x v="110"/>
    <x v="110"/>
    <x v="0"/>
    <x v="4"/>
  </r>
  <r>
    <x v="727"/>
    <x v="249"/>
    <x v="8"/>
    <x v="8"/>
    <d v="1905-07-16T00:00:00"/>
    <s v="ecO CANVAS TOTe Bag"/>
    <s v="Eco Canvas Tote Bag"/>
    <x v="1"/>
    <s v="BAGS"/>
    <n v="3"/>
    <n v="25"/>
    <n v="25"/>
    <n v="7.17"/>
    <n v="75"/>
    <n v="21.509999999999998"/>
    <n v="53.49"/>
    <n v="0.71320000000000006"/>
    <s v="C0092"/>
    <x v="102"/>
    <x v="102"/>
    <x v="1"/>
    <x v="3"/>
  </r>
  <r>
    <x v="728"/>
    <x v="250"/>
    <x v="8"/>
    <x v="8"/>
    <d v="1905-07-16T00:00:00"/>
    <s v="bIOdegradABlE cLEaNINg cLoTH"/>
    <s v="Biodegradable Cleaning Cloth"/>
    <x v="0"/>
    <s v="CLEANING"/>
    <n v="8"/>
    <n v="10"/>
    <n v="10"/>
    <n v="3.47"/>
    <n v="80"/>
    <n v="27.76"/>
    <n v="52.239999999999995"/>
    <n v="0.65299999999999991"/>
    <s v="C0134"/>
    <x v="71"/>
    <x v="71"/>
    <x v="0"/>
    <x v="3"/>
  </r>
  <r>
    <x v="729"/>
    <x v="251"/>
    <x v="8"/>
    <x v="8"/>
    <d v="1905-07-16T00:00:00"/>
    <s v="COMpOsTaBLe PlAnT POts"/>
    <s v="Compostable Plant Pots"/>
    <x v="4"/>
    <s v="GARDENING"/>
    <n v="5"/>
    <n v="12"/>
    <n v="12"/>
    <n v="2.78"/>
    <n v="60"/>
    <n v="13.899999999999999"/>
    <n v="46.1"/>
    <n v="0.76833333333333331"/>
    <s v="C0083"/>
    <x v="71"/>
    <x v="71"/>
    <x v="0"/>
    <x v="2"/>
  </r>
  <r>
    <x v="730"/>
    <x v="251"/>
    <x v="8"/>
    <x v="8"/>
    <d v="1905-07-16T00:00:00"/>
    <s v="COMpOsTaBLe PlAnT POts"/>
    <s v="Compostable Plant Pots"/>
    <x v="4"/>
    <s v="GARDENING"/>
    <n v="9"/>
    <n v="12"/>
    <n v="12"/>
    <n v="2.94"/>
    <n v="108"/>
    <n v="26.46"/>
    <n v="81.539999999999992"/>
    <n v="0.75499999999999989"/>
    <s v="C0069"/>
    <x v="3"/>
    <x v="3"/>
    <x v="1"/>
    <x v="9"/>
  </r>
  <r>
    <x v="731"/>
    <x v="251"/>
    <x v="8"/>
    <x v="8"/>
    <d v="1905-07-16T00:00:00"/>
    <s v="COMpOsTaBLe PlAnT POts"/>
    <s v="Compostable Plant Pots"/>
    <x v="4"/>
    <s v="GARDENING"/>
    <n v="3"/>
    <n v="12"/>
    <n v="12"/>
    <n v="4.49"/>
    <n v="36"/>
    <n v="13.47"/>
    <n v="22.53"/>
    <n v="0.62583333333333335"/>
    <s v="C0147"/>
    <x v="30"/>
    <x v="30"/>
    <x v="1"/>
    <x v="2"/>
  </r>
  <r>
    <x v="732"/>
    <x v="252"/>
    <x v="8"/>
    <x v="8"/>
    <d v="1905-07-16T00:00:00"/>
    <s v="ecO CANVAS TOTe Bag"/>
    <s v="Eco Canvas Tote Bag"/>
    <x v="1"/>
    <s v="BAGS"/>
    <n v="8"/>
    <n v="25"/>
    <n v="25"/>
    <n v="6.84"/>
    <n v="200"/>
    <n v="54.72"/>
    <n v="145.28"/>
    <n v="0.72640000000000005"/>
    <s v="C0004"/>
    <x v="94"/>
    <x v="94"/>
    <x v="2"/>
    <x v="8"/>
  </r>
  <r>
    <x v="733"/>
    <x v="252"/>
    <x v="8"/>
    <x v="8"/>
    <d v="1905-07-16T00:00:00"/>
    <s v="ecO CANVAS TOTe Bag"/>
    <s v="Eco Canvas Tote Bag"/>
    <x v="1"/>
    <s v="BAGS"/>
    <n v="9"/>
    <n v="25"/>
    <n v="25"/>
    <n v="7.79"/>
    <n v="225"/>
    <n v="70.11"/>
    <n v="154.88999999999999"/>
    <n v="0.6883999999999999"/>
    <s v="C0200"/>
    <x v="0"/>
    <x v="0"/>
    <x v="1"/>
    <x v="6"/>
  </r>
  <r>
    <x v="734"/>
    <x v="252"/>
    <x v="8"/>
    <x v="8"/>
    <d v="1905-07-16T00:00:00"/>
    <s v="ecO CANVAS TOTe Bag"/>
    <s v="Eco Canvas Tote Bag"/>
    <x v="1"/>
    <s v="BAGS"/>
    <n v="7"/>
    <n v="25"/>
    <n v="25"/>
    <n v="8.2899999999999991"/>
    <n v="175"/>
    <n v="58.029999999999994"/>
    <n v="116.97"/>
    <n v="0.66839999999999999"/>
    <s v="C0027"/>
    <x v="73"/>
    <x v="73"/>
    <x v="1"/>
    <x v="4"/>
  </r>
  <r>
    <x v="735"/>
    <x v="253"/>
    <x v="8"/>
    <x v="8"/>
    <d v="1905-07-16T00:00:00"/>
    <s v="bIOdegradABlE cLEaNINg cLoTH"/>
    <s v="Biodegradable Cleaning Cloth"/>
    <x v="0"/>
    <s v="CLEANING"/>
    <n v="2"/>
    <n v="10"/>
    <n v="10"/>
    <n v="2.94"/>
    <n v="20"/>
    <n v="5.88"/>
    <n v="14.120000000000001"/>
    <n v="0.70600000000000007"/>
    <s v="C0041"/>
    <x v="45"/>
    <x v="45"/>
    <x v="3"/>
    <x v="0"/>
  </r>
  <r>
    <x v="736"/>
    <x v="253"/>
    <x v="8"/>
    <x v="8"/>
    <d v="1905-07-16T00:00:00"/>
    <s v="bIOdegradABlE cLEaNINg cLoTH"/>
    <s v="Biodegradable Cleaning Cloth"/>
    <x v="0"/>
    <s v="CLEANING"/>
    <n v="1"/>
    <n v="10"/>
    <n v="10"/>
    <n v="3.62"/>
    <n v="10"/>
    <n v="3.62"/>
    <n v="6.38"/>
    <n v="0.63800000000000001"/>
    <s v="C0127"/>
    <x v="22"/>
    <x v="22"/>
    <x v="1"/>
    <x v="0"/>
  </r>
  <r>
    <x v="737"/>
    <x v="254"/>
    <x v="8"/>
    <x v="8"/>
    <d v="1905-07-16T00:00:00"/>
    <s v="bIOdegradABlE cLEaNINg cLoTH"/>
    <s v="Biodegradable Cleaning Cloth"/>
    <x v="0"/>
    <s v="CLEANING"/>
    <n v="8"/>
    <m/>
    <n v="10"/>
    <n v="2.08"/>
    <n v="80"/>
    <n v="16.64"/>
    <n v="63.36"/>
    <n v="0.79200000000000004"/>
    <s v="C0138"/>
    <x v="50"/>
    <x v="50"/>
    <x v="1"/>
    <x v="2"/>
  </r>
  <r>
    <x v="738"/>
    <x v="255"/>
    <x v="8"/>
    <x v="8"/>
    <d v="1905-07-16T00:00:00"/>
    <s v="COMpOsTaBLe PlAnT POts"/>
    <s v="Compostable Plant Pots"/>
    <x v="4"/>
    <s v="GARDENING"/>
    <n v="5"/>
    <n v="12"/>
    <n v="12"/>
    <n v="4.6900000000000004"/>
    <n v="60"/>
    <n v="23.450000000000003"/>
    <n v="36.549999999999997"/>
    <n v="0.60916666666666663"/>
    <s v="C0024"/>
    <x v="104"/>
    <x v="104"/>
    <x v="1"/>
    <x v="9"/>
  </r>
  <r>
    <x v="739"/>
    <x v="255"/>
    <x v="8"/>
    <x v="8"/>
    <d v="1905-07-16T00:00:00"/>
    <s v="COMpOsTaBLe PlAnT POts"/>
    <s v="Compostable Plant Pots"/>
    <x v="4"/>
    <s v="GARDENING"/>
    <n v="7"/>
    <n v="12"/>
    <n v="12"/>
    <n v="3.9"/>
    <n v="84"/>
    <n v="27.3"/>
    <n v="56.7"/>
    <n v="0.67500000000000004"/>
    <s v="C0126"/>
    <x v="90"/>
    <x v="90"/>
    <x v="3"/>
    <x v="6"/>
  </r>
  <r>
    <x v="740"/>
    <x v="256"/>
    <x v="8"/>
    <x v="8"/>
    <d v="1905-07-16T00:00:00"/>
    <s v="REUsABle bAMboO uTeNSIL sEt"/>
    <s v="Reusable Bamboo Utensil Set"/>
    <x v="3"/>
    <s v="KITCHENWARE"/>
    <n v="10"/>
    <n v="15"/>
    <n v="15"/>
    <n v="3.05"/>
    <n v="150"/>
    <n v="30.5"/>
    <n v="119.5"/>
    <n v="0.79666666666666663"/>
    <s v="C0098"/>
    <x v="98"/>
    <x v="98"/>
    <x v="0"/>
    <x v="2"/>
  </r>
  <r>
    <x v="741"/>
    <x v="256"/>
    <x v="8"/>
    <x v="8"/>
    <d v="1905-07-16T00:00:00"/>
    <s v="SoLAR leD lAnTern"/>
    <s v="Solar Led Lantern"/>
    <x v="2"/>
    <s v="LIGHTING"/>
    <n v="5"/>
    <m/>
    <n v="40"/>
    <n v="8.11"/>
    <n v="200"/>
    <n v="40.549999999999997"/>
    <n v="159.44999999999999"/>
    <n v="0.7972499999999999"/>
    <s v="C0077"/>
    <x v="39"/>
    <x v="39"/>
    <x v="1"/>
    <x v="8"/>
  </r>
  <r>
    <x v="742"/>
    <x v="256"/>
    <x v="8"/>
    <x v="8"/>
    <d v="1905-07-16T00:00:00"/>
    <s v="bIOdegradABlE cLEaNINg cLoTH"/>
    <s v="Biodegradable Cleaning Cloth"/>
    <x v="0"/>
    <s v="CLEANING"/>
    <n v="10"/>
    <n v="10"/>
    <n v="10"/>
    <n v="3.29"/>
    <n v="100"/>
    <n v="32.9"/>
    <n v="67.099999999999994"/>
    <n v="0.67099999999999993"/>
    <s v="C0027"/>
    <x v="73"/>
    <x v="73"/>
    <x v="1"/>
    <x v="5"/>
  </r>
  <r>
    <x v="743"/>
    <x v="257"/>
    <x v="8"/>
    <x v="8"/>
    <d v="1905-07-16T00:00:00"/>
    <s v="bIOdegradABlE cLEaNINg cLoTH"/>
    <s v="Biodegradable Cleaning Cloth"/>
    <x v="0"/>
    <s v="CLEANING"/>
    <n v="5"/>
    <n v="10"/>
    <n v="10"/>
    <n v="2.66"/>
    <n v="50"/>
    <n v="13.3"/>
    <n v="36.700000000000003"/>
    <n v="0.7340000000000001"/>
    <s v="C0139"/>
    <x v="47"/>
    <x v="47"/>
    <x v="0"/>
    <x v="5"/>
  </r>
  <r>
    <x v="744"/>
    <x v="257"/>
    <x v="8"/>
    <x v="8"/>
    <d v="1905-07-16T00:00:00"/>
    <s v="REUsABle bAMboO uTeNSIL sEt"/>
    <s v="Reusable Bamboo Utensil Set"/>
    <x v="3"/>
    <s v="KITCHENWARE"/>
    <n v="7"/>
    <n v="15"/>
    <n v="15"/>
    <n v="3.82"/>
    <n v="105"/>
    <n v="26.74"/>
    <n v="78.260000000000005"/>
    <n v="0.7453333333333334"/>
    <s v="C0183"/>
    <x v="1"/>
    <x v="1"/>
    <x v="1"/>
    <x v="8"/>
  </r>
  <r>
    <x v="745"/>
    <x v="258"/>
    <x v="8"/>
    <x v="8"/>
    <d v="1905-07-16T00:00:00"/>
    <s v="SoLAR leD lAnTern"/>
    <s v="Solar Led Lantern"/>
    <x v="2"/>
    <s v="LIGHTING"/>
    <n v="4"/>
    <n v="40"/>
    <n v="40"/>
    <n v="9.31"/>
    <n v="160"/>
    <n v="37.24"/>
    <n v="122.75999999999999"/>
    <n v="0.76724999999999999"/>
    <s v="C0070"/>
    <x v="117"/>
    <x v="117"/>
    <x v="0"/>
    <x v="3"/>
  </r>
  <r>
    <x v="746"/>
    <x v="258"/>
    <x v="8"/>
    <x v="8"/>
    <d v="1905-07-16T00:00:00"/>
    <s v="COMpOsTaBLe PlAnT POts"/>
    <s v="Compostable Plant Pots"/>
    <x v="4"/>
    <s v="GARDENING"/>
    <n v="6"/>
    <n v="12"/>
    <n v="12"/>
    <n v="3.66"/>
    <n v="72"/>
    <n v="21.96"/>
    <n v="50.04"/>
    <n v="0.69499999999999995"/>
    <s v="C0036"/>
    <x v="93"/>
    <x v="93"/>
    <x v="1"/>
    <x v="8"/>
  </r>
  <r>
    <x v="747"/>
    <x v="259"/>
    <x v="8"/>
    <x v="8"/>
    <d v="1905-07-16T00:00:00"/>
    <s v="SoLAR leD lAnTern"/>
    <s v="Solar Led Lantern"/>
    <x v="2"/>
    <s v="LIGHTING"/>
    <n v="1"/>
    <n v="40"/>
    <n v="40"/>
    <n v="9.89"/>
    <n v="40"/>
    <n v="9.89"/>
    <n v="30.11"/>
    <n v="0.75275000000000003"/>
    <s v="C0063"/>
    <x v="9"/>
    <x v="9"/>
    <x v="0"/>
    <x v="3"/>
  </r>
  <r>
    <x v="748"/>
    <x v="259"/>
    <x v="8"/>
    <x v="8"/>
    <d v="1905-07-16T00:00:00"/>
    <s v="bIOdegradABlE cLEaNINg cLoTH"/>
    <s v="Biodegradable Cleaning Cloth"/>
    <x v="0"/>
    <s v="CLEANING"/>
    <n v="1"/>
    <n v="10"/>
    <n v="10"/>
    <n v="3.17"/>
    <n v="10"/>
    <n v="3.17"/>
    <n v="6.83"/>
    <n v="0.68300000000000005"/>
    <s v="C0152"/>
    <x v="101"/>
    <x v="101"/>
    <x v="0"/>
    <x v="5"/>
  </r>
  <r>
    <x v="749"/>
    <x v="259"/>
    <x v="8"/>
    <x v="8"/>
    <d v="1905-07-16T00:00:00"/>
    <s v="COMpOsTaBLe PlAnT POts"/>
    <s v="Compostable Plant Pots"/>
    <x v="4"/>
    <s v="GARDENING"/>
    <n v="1"/>
    <n v="12"/>
    <n v="12"/>
    <n v="2.92"/>
    <n v="12"/>
    <n v="2.92"/>
    <n v="9.08"/>
    <n v="0.75666666666666671"/>
    <s v="C0035"/>
    <x v="16"/>
    <x v="16"/>
    <x v="1"/>
    <x v="8"/>
  </r>
  <r>
    <x v="750"/>
    <x v="260"/>
    <x v="9"/>
    <x v="9"/>
    <d v="1905-07-16T00:00:00"/>
    <s v="bIOdegradABlE cLEaNINg cLoTH"/>
    <s v="Biodegradable Cleaning Cloth"/>
    <x v="0"/>
    <s v="CLEANING"/>
    <n v="10"/>
    <n v="10"/>
    <n v="10"/>
    <n v="2.95"/>
    <n v="100"/>
    <n v="29.5"/>
    <n v="70.5"/>
    <n v="0.70499999999999996"/>
    <s v="C0020"/>
    <x v="111"/>
    <x v="111"/>
    <x v="0"/>
    <x v="4"/>
  </r>
  <r>
    <x v="751"/>
    <x v="260"/>
    <x v="9"/>
    <x v="9"/>
    <d v="1905-07-16T00:00:00"/>
    <s v="SoLAR leD lAnTern"/>
    <s v="Solar Led Lantern"/>
    <x v="2"/>
    <s v="LIGHTING"/>
    <n v="10"/>
    <n v="40"/>
    <n v="40"/>
    <n v="15.92"/>
    <n v="400"/>
    <n v="159.19999999999999"/>
    <n v="240.8"/>
    <n v="0.60199999999999998"/>
    <s v="C0106"/>
    <x v="7"/>
    <x v="7"/>
    <x v="1"/>
    <x v="2"/>
  </r>
  <r>
    <x v="752"/>
    <x v="261"/>
    <x v="9"/>
    <x v="9"/>
    <d v="1905-07-16T00:00:00"/>
    <s v="COMpOsTaBLe PlAnT POts"/>
    <s v="Compostable Plant Pots"/>
    <x v="4"/>
    <s v="GARDENING"/>
    <n v="5"/>
    <n v="12"/>
    <n v="12"/>
    <n v="4.0199999999999996"/>
    <n v="60"/>
    <n v="20.099999999999998"/>
    <n v="39.900000000000006"/>
    <n v="0.66500000000000015"/>
    <s v="C0088"/>
    <x v="3"/>
    <x v="3"/>
    <x v="3"/>
    <x v="5"/>
  </r>
  <r>
    <x v="753"/>
    <x v="262"/>
    <x v="9"/>
    <x v="9"/>
    <d v="1905-07-16T00:00:00"/>
    <s v="bIOdegradABlE cLEaNINg cLoTH"/>
    <s v="Biodegradable Cleaning Cloth"/>
    <x v="0"/>
    <s v="CLEANING"/>
    <n v="5"/>
    <n v="10"/>
    <n v="10"/>
    <n v="3.63"/>
    <n v="50"/>
    <n v="18.149999999999999"/>
    <n v="31.85"/>
    <n v="0.63700000000000001"/>
    <s v="C0147"/>
    <x v="30"/>
    <x v="30"/>
    <x v="1"/>
    <x v="4"/>
  </r>
  <r>
    <x v="754"/>
    <x v="262"/>
    <x v="9"/>
    <x v="9"/>
    <d v="1905-07-16T00:00:00"/>
    <s v="SoLAR leD lAnTern"/>
    <s v="Solar Led Lantern"/>
    <x v="2"/>
    <s v="LIGHTING"/>
    <n v="10"/>
    <n v="40"/>
    <n v="40"/>
    <n v="9.3800000000000008"/>
    <n v="400"/>
    <n v="93.800000000000011"/>
    <n v="306.2"/>
    <n v="0.76549999999999996"/>
    <s v="C0132"/>
    <x v="97"/>
    <x v="97"/>
    <x v="2"/>
    <x v="1"/>
  </r>
  <r>
    <x v="755"/>
    <x v="262"/>
    <x v="9"/>
    <x v="9"/>
    <d v="1905-07-16T00:00:00"/>
    <s v="REUsABle bAMboO uTeNSIL sEt"/>
    <s v="Reusable Bamboo Utensil Set"/>
    <x v="3"/>
    <s v="KITCHENWARE"/>
    <n v="9"/>
    <m/>
    <n v="15"/>
    <n v="3.13"/>
    <n v="135"/>
    <n v="28.169999999999998"/>
    <n v="106.83"/>
    <n v="0.79133333333333333"/>
    <s v="C0164"/>
    <x v="34"/>
    <x v="34"/>
    <x v="3"/>
    <x v="4"/>
  </r>
  <r>
    <x v="756"/>
    <x v="263"/>
    <x v="9"/>
    <x v="9"/>
    <d v="1905-07-16T00:00:00"/>
    <s v="bIOdegradABlE cLEaNINg cLoTH"/>
    <s v="Biodegradable Cleaning Cloth"/>
    <x v="0"/>
    <s v="CLEANING"/>
    <n v="6"/>
    <n v="10"/>
    <n v="10"/>
    <n v="2.29"/>
    <n v="60"/>
    <n v="13.74"/>
    <n v="46.26"/>
    <n v="0.77100000000000002"/>
    <s v="C0186"/>
    <x v="98"/>
    <x v="98"/>
    <x v="1"/>
    <x v="2"/>
  </r>
  <r>
    <x v="757"/>
    <x v="263"/>
    <x v="9"/>
    <x v="9"/>
    <d v="1905-07-16T00:00:00"/>
    <s v="REUsABle bAMboO uTeNSIL sEt"/>
    <s v="Reusable Bamboo Utensil Set"/>
    <x v="3"/>
    <s v="KITCHENWARE"/>
    <n v="3"/>
    <n v="15"/>
    <n v="15"/>
    <n v="5.75"/>
    <n v="45"/>
    <n v="17.25"/>
    <n v="27.75"/>
    <n v="0.6166666666666667"/>
    <s v="C0180"/>
    <x v="83"/>
    <x v="83"/>
    <x v="1"/>
    <x v="9"/>
  </r>
  <r>
    <x v="758"/>
    <x v="263"/>
    <x v="9"/>
    <x v="9"/>
    <d v="1905-07-16T00:00:00"/>
    <s v="COMpOsTaBLe PlAnT POts"/>
    <s v="Compostable Plant Pots"/>
    <x v="4"/>
    <s v="GARDENING"/>
    <n v="1"/>
    <n v="12"/>
    <n v="12"/>
    <n v="3.85"/>
    <n v="12"/>
    <n v="3.85"/>
    <n v="8.15"/>
    <n v="0.6791666666666667"/>
    <s v="C0158"/>
    <x v="36"/>
    <x v="36"/>
    <x v="1"/>
    <x v="6"/>
  </r>
  <r>
    <x v="759"/>
    <x v="264"/>
    <x v="9"/>
    <x v="9"/>
    <d v="1905-07-16T00:00:00"/>
    <s v="SoLAR leD lAnTern"/>
    <s v="Solar Led Lantern"/>
    <x v="2"/>
    <s v="LIGHTING"/>
    <n v="7"/>
    <n v="40"/>
    <n v="40"/>
    <n v="10.52"/>
    <n v="280"/>
    <n v="73.64"/>
    <n v="206.36"/>
    <n v="0.7370000000000001"/>
    <s v="C0057"/>
    <x v="54"/>
    <x v="54"/>
    <x v="1"/>
    <x v="9"/>
  </r>
  <r>
    <x v="760"/>
    <x v="264"/>
    <x v="9"/>
    <x v="9"/>
    <d v="1905-07-16T00:00:00"/>
    <s v="bIOdegradABlE cLEaNINg cLoTH"/>
    <s v="Biodegradable Cleaning Cloth"/>
    <x v="0"/>
    <s v="CLEANING"/>
    <n v="1"/>
    <n v="10"/>
    <n v="10"/>
    <n v="3.77"/>
    <n v="10"/>
    <n v="3.77"/>
    <n v="6.23"/>
    <n v="0.623"/>
    <s v="C0009"/>
    <x v="53"/>
    <x v="53"/>
    <x v="1"/>
    <x v="1"/>
  </r>
  <r>
    <x v="761"/>
    <x v="265"/>
    <x v="9"/>
    <x v="9"/>
    <d v="1905-07-16T00:00:00"/>
    <s v="ecO CANVAS TOTe Bag"/>
    <s v="Eco Canvas Tote Bag"/>
    <x v="1"/>
    <s v="BAGS"/>
    <n v="8"/>
    <n v="25"/>
    <n v="25"/>
    <n v="8.85"/>
    <n v="200"/>
    <n v="70.8"/>
    <n v="129.19999999999999"/>
    <n v="0.64599999999999991"/>
    <s v="C0198"/>
    <x v="109"/>
    <x v="109"/>
    <x v="1"/>
    <x v="9"/>
  </r>
  <r>
    <x v="762"/>
    <x v="265"/>
    <x v="9"/>
    <x v="9"/>
    <d v="1905-07-16T00:00:00"/>
    <s v="ecO CANVAS TOTe Bag"/>
    <s v="Eco Canvas Tote Bag"/>
    <x v="1"/>
    <s v="BAGS"/>
    <n v="2"/>
    <m/>
    <n v="25"/>
    <n v="8.5399999999999991"/>
    <n v="50"/>
    <n v="17.079999999999998"/>
    <n v="32.92"/>
    <n v="0.65839999999999999"/>
    <s v="C0127"/>
    <x v="22"/>
    <x v="22"/>
    <x v="1"/>
    <x v="6"/>
  </r>
  <r>
    <x v="763"/>
    <x v="266"/>
    <x v="9"/>
    <x v="9"/>
    <d v="1905-07-16T00:00:00"/>
    <s v="REUsABle bAMboO uTeNSIL sEt"/>
    <s v="Reusable Bamboo Utensil Set"/>
    <x v="3"/>
    <s v="KITCHENWARE"/>
    <n v="10"/>
    <n v="15"/>
    <n v="15"/>
    <n v="4.92"/>
    <n v="150"/>
    <n v="49.2"/>
    <n v="100.8"/>
    <n v="0.67199999999999993"/>
    <s v="C0137"/>
    <x v="52"/>
    <x v="52"/>
    <x v="1"/>
    <x v="7"/>
  </r>
  <r>
    <x v="764"/>
    <x v="267"/>
    <x v="9"/>
    <x v="9"/>
    <d v="1905-07-16T00:00:00"/>
    <s v="SoLAR leD lAnTern"/>
    <s v="Solar Led Lantern"/>
    <x v="2"/>
    <s v="LIGHTING"/>
    <n v="8"/>
    <n v="40"/>
    <n v="40"/>
    <n v="15.87"/>
    <n v="320"/>
    <n v="126.96"/>
    <n v="193.04000000000002"/>
    <n v="0.60325000000000006"/>
    <s v="C0022"/>
    <x v="32"/>
    <x v="32"/>
    <x v="2"/>
    <x v="0"/>
  </r>
  <r>
    <x v="765"/>
    <x v="267"/>
    <x v="9"/>
    <x v="9"/>
    <d v="1905-07-16T00:00:00"/>
    <s v="COMpOsTaBLe PlAnT POts"/>
    <s v="Compostable Plant Pots"/>
    <x v="4"/>
    <s v="GARDENING"/>
    <n v="8"/>
    <n v="12"/>
    <n v="12"/>
    <n v="2.44"/>
    <n v="96"/>
    <n v="19.52"/>
    <n v="76.48"/>
    <n v="0.79666666666666675"/>
    <s v="C0112"/>
    <x v="70"/>
    <x v="70"/>
    <x v="1"/>
    <x v="5"/>
  </r>
  <r>
    <x v="766"/>
    <x v="267"/>
    <x v="9"/>
    <x v="9"/>
    <d v="1905-07-16T00:00:00"/>
    <s v="REUsABle bAMboO uTeNSIL sEt"/>
    <s v="Reusable Bamboo Utensil Set"/>
    <x v="3"/>
    <s v="KITCHENWARE"/>
    <n v="7"/>
    <n v="15"/>
    <n v="15"/>
    <n v="3.55"/>
    <n v="105"/>
    <n v="24.849999999999998"/>
    <n v="80.150000000000006"/>
    <n v="0.76333333333333342"/>
    <s v="C0072"/>
    <x v="88"/>
    <x v="88"/>
    <x v="1"/>
    <x v="3"/>
  </r>
  <r>
    <x v="767"/>
    <x v="267"/>
    <x v="9"/>
    <x v="9"/>
    <d v="1905-07-16T00:00:00"/>
    <s v="bIOdegradABlE cLEaNINg cLoTH"/>
    <s v="Biodegradable Cleaning Cloth"/>
    <x v="0"/>
    <s v="CLEANING"/>
    <n v="1"/>
    <n v="10"/>
    <n v="10"/>
    <n v="3.51"/>
    <n v="10"/>
    <n v="3.51"/>
    <n v="6.49"/>
    <n v="0.64900000000000002"/>
    <s v="C0180"/>
    <x v="83"/>
    <x v="83"/>
    <x v="1"/>
    <x v="5"/>
  </r>
  <r>
    <x v="768"/>
    <x v="268"/>
    <x v="9"/>
    <x v="9"/>
    <d v="1905-07-16T00:00:00"/>
    <s v="ecO CANVAS TOTe Bag"/>
    <s v="Eco Canvas Tote Bag"/>
    <x v="1"/>
    <s v="BAGS"/>
    <n v="3"/>
    <n v="25"/>
    <n v="25"/>
    <n v="8.26"/>
    <n v="75"/>
    <n v="24.78"/>
    <n v="50.22"/>
    <n v="0.66959999999999997"/>
    <s v="C0114"/>
    <x v="5"/>
    <x v="5"/>
    <x v="1"/>
    <x v="5"/>
  </r>
  <r>
    <x v="769"/>
    <x v="269"/>
    <x v="9"/>
    <x v="9"/>
    <d v="1905-07-16T00:00:00"/>
    <s v="ecO CANVAS TOTe Bag"/>
    <s v="Eco Canvas Tote Bag"/>
    <x v="1"/>
    <s v="BAGS"/>
    <n v="10"/>
    <n v="25"/>
    <n v="25"/>
    <n v="7.05"/>
    <n v="250"/>
    <n v="70.5"/>
    <n v="179.5"/>
    <n v="0.71799999999999997"/>
    <s v="C0083"/>
    <x v="71"/>
    <x v="71"/>
    <x v="0"/>
    <x v="0"/>
  </r>
  <r>
    <x v="770"/>
    <x v="269"/>
    <x v="9"/>
    <x v="9"/>
    <d v="1905-07-16T00:00:00"/>
    <s v="SoLAR leD lAnTern"/>
    <s v="Solar Led Lantern"/>
    <x v="2"/>
    <s v="LIGHTING"/>
    <n v="4"/>
    <m/>
    <n v="40"/>
    <n v="14.12"/>
    <n v="160"/>
    <n v="56.48"/>
    <n v="103.52000000000001"/>
    <n v="0.64700000000000002"/>
    <s v="C0127"/>
    <x v="22"/>
    <x v="22"/>
    <x v="2"/>
    <x v="2"/>
  </r>
  <r>
    <x v="771"/>
    <x v="270"/>
    <x v="9"/>
    <x v="9"/>
    <d v="1905-07-16T00:00:00"/>
    <s v="SoLAR leD lAnTern"/>
    <s v="Solar Led Lantern"/>
    <x v="2"/>
    <s v="LIGHTING"/>
    <n v="7"/>
    <n v="40"/>
    <n v="40"/>
    <n v="10.23"/>
    <n v="280"/>
    <n v="71.61"/>
    <n v="208.39"/>
    <n v="0.74424999999999997"/>
    <s v="C0198"/>
    <x v="109"/>
    <x v="109"/>
    <x v="1"/>
    <x v="2"/>
  </r>
  <r>
    <x v="772"/>
    <x v="270"/>
    <x v="9"/>
    <x v="9"/>
    <d v="1905-07-16T00:00:00"/>
    <s v="REUsABle bAMboO uTeNSIL sEt"/>
    <s v="Reusable Bamboo Utensil Set"/>
    <x v="3"/>
    <s v="KITCHENWARE"/>
    <n v="5"/>
    <n v="15"/>
    <n v="15"/>
    <n v="5.01"/>
    <n v="75"/>
    <n v="25.049999999999997"/>
    <n v="49.95"/>
    <n v="0.66600000000000004"/>
    <s v="C0084"/>
    <x v="28"/>
    <x v="28"/>
    <x v="2"/>
    <x v="2"/>
  </r>
  <r>
    <x v="773"/>
    <x v="271"/>
    <x v="9"/>
    <x v="9"/>
    <d v="1905-07-16T00:00:00"/>
    <s v="ecO CANVAS TOTe Bag"/>
    <s v="Eco Canvas Tote Bag"/>
    <x v="1"/>
    <s v="BAGS"/>
    <n v="9"/>
    <n v="25"/>
    <n v="25"/>
    <n v="7.98"/>
    <n v="225"/>
    <n v="71.820000000000007"/>
    <n v="153.18"/>
    <n v="0.68080000000000007"/>
    <s v="C0143"/>
    <x v="89"/>
    <x v="89"/>
    <x v="1"/>
    <x v="8"/>
  </r>
  <r>
    <x v="774"/>
    <x v="271"/>
    <x v="9"/>
    <x v="9"/>
    <d v="1905-07-16T00:00:00"/>
    <s v="SoLAR leD lAnTern"/>
    <s v="Solar Led Lantern"/>
    <x v="2"/>
    <s v="LIGHTING"/>
    <n v="7"/>
    <n v="40"/>
    <n v="40"/>
    <n v="14.85"/>
    <n v="280"/>
    <n v="103.95"/>
    <n v="176.05"/>
    <n v="0.62875000000000003"/>
    <s v="C0071"/>
    <x v="7"/>
    <x v="7"/>
    <x v="2"/>
    <x v="1"/>
  </r>
  <r>
    <x v="775"/>
    <x v="271"/>
    <x v="9"/>
    <x v="9"/>
    <d v="1905-07-16T00:00:00"/>
    <s v="COMpOsTaBLe PlAnT POts"/>
    <s v="Compostable Plant Pots"/>
    <x v="4"/>
    <s v="GARDENING"/>
    <n v="7"/>
    <n v="12"/>
    <n v="12"/>
    <n v="4.57"/>
    <n v="84"/>
    <n v="31.990000000000002"/>
    <n v="52.01"/>
    <n v="0.61916666666666664"/>
    <s v="C0171"/>
    <x v="59"/>
    <x v="59"/>
    <x v="1"/>
    <x v="2"/>
  </r>
  <r>
    <x v="776"/>
    <x v="272"/>
    <x v="9"/>
    <x v="9"/>
    <d v="1905-07-16T00:00:00"/>
    <s v="COMpOsTaBLe PlAnT POts"/>
    <s v="Compostable Plant Pots"/>
    <x v="4"/>
    <s v="GARDENING"/>
    <n v="7"/>
    <n v="12"/>
    <n v="12"/>
    <n v="4.38"/>
    <n v="84"/>
    <n v="30.66"/>
    <n v="53.34"/>
    <n v="0.63500000000000001"/>
    <s v="C0049"/>
    <x v="74"/>
    <x v="74"/>
    <x v="1"/>
    <x v="2"/>
  </r>
  <r>
    <x v="777"/>
    <x v="272"/>
    <x v="9"/>
    <x v="9"/>
    <d v="1905-07-16T00:00:00"/>
    <s v="REUsABle bAMboO uTeNSIL sEt"/>
    <s v="Reusable Bamboo Utensil Set"/>
    <x v="3"/>
    <s v="KITCHENWARE"/>
    <n v="10"/>
    <n v="15"/>
    <n v="15"/>
    <n v="3.73"/>
    <n v="150"/>
    <n v="37.299999999999997"/>
    <n v="112.7"/>
    <n v="0.7513333333333333"/>
    <s v="C0012"/>
    <x v="13"/>
    <x v="13"/>
    <x v="3"/>
    <x v="6"/>
  </r>
  <r>
    <x v="778"/>
    <x v="272"/>
    <x v="9"/>
    <x v="9"/>
    <d v="1905-07-16T00:00:00"/>
    <s v="SoLAR leD lAnTern"/>
    <s v="Solar Led Lantern"/>
    <x v="2"/>
    <s v="LIGHTING"/>
    <n v="6"/>
    <n v="40"/>
    <n v="40"/>
    <n v="10.78"/>
    <n v="240"/>
    <n v="64.679999999999993"/>
    <n v="175.32"/>
    <n v="0.73049999999999993"/>
    <s v="C0075"/>
    <x v="71"/>
    <x v="71"/>
    <x v="0"/>
    <x v="8"/>
  </r>
  <r>
    <x v="779"/>
    <x v="272"/>
    <x v="9"/>
    <x v="9"/>
    <d v="1905-07-16T00:00:00"/>
    <s v="REUsABle bAMboO uTeNSIL sEt"/>
    <s v="Reusable Bamboo Utensil Set"/>
    <x v="3"/>
    <s v="KITCHENWARE"/>
    <n v="9"/>
    <n v="15"/>
    <n v="15"/>
    <n v="4.62"/>
    <n v="135"/>
    <n v="41.58"/>
    <n v="93.42"/>
    <n v="0.69200000000000006"/>
    <s v="C0019"/>
    <x v="118"/>
    <x v="118"/>
    <x v="0"/>
    <x v="5"/>
  </r>
  <r>
    <x v="780"/>
    <x v="272"/>
    <x v="9"/>
    <x v="9"/>
    <d v="1905-07-16T00:00:00"/>
    <s v="SoLAR leD lAnTern"/>
    <s v="Solar Led Lantern"/>
    <x v="2"/>
    <s v="LIGHTING"/>
    <n v="10"/>
    <n v="40"/>
    <n v="40"/>
    <n v="10.4"/>
    <n v="400"/>
    <n v="104"/>
    <n v="296"/>
    <n v="0.74"/>
    <s v="C0110"/>
    <x v="26"/>
    <x v="26"/>
    <x v="3"/>
    <x v="3"/>
  </r>
  <r>
    <x v="781"/>
    <x v="273"/>
    <x v="9"/>
    <x v="9"/>
    <d v="1905-07-16T00:00:00"/>
    <s v="COMpOsTaBLe PlAnT POts"/>
    <s v="Compostable Plant Pots"/>
    <x v="4"/>
    <s v="GARDENING"/>
    <n v="6"/>
    <n v="12"/>
    <n v="12"/>
    <n v="4.6100000000000003"/>
    <n v="72"/>
    <n v="27.660000000000004"/>
    <n v="44.339999999999996"/>
    <n v="0.61583333333333323"/>
    <s v="C0008"/>
    <x v="68"/>
    <x v="68"/>
    <x v="1"/>
    <x v="6"/>
  </r>
  <r>
    <x v="782"/>
    <x v="274"/>
    <x v="9"/>
    <x v="9"/>
    <d v="1905-07-16T00:00:00"/>
    <s v="REUsABle bAMboO uTeNSIL sEt"/>
    <s v="Reusable Bamboo Utensil Set"/>
    <x v="3"/>
    <s v="KITCHENWARE"/>
    <n v="5"/>
    <n v="15"/>
    <n v="15"/>
    <n v="5.78"/>
    <n v="75"/>
    <n v="28.900000000000002"/>
    <n v="46.099999999999994"/>
    <n v="0.61466666666666658"/>
    <s v="C0101"/>
    <x v="3"/>
    <x v="3"/>
    <x v="0"/>
    <x v="0"/>
  </r>
  <r>
    <x v="783"/>
    <x v="274"/>
    <x v="9"/>
    <x v="9"/>
    <d v="1905-07-16T00:00:00"/>
    <s v="ecO CANVAS TOTe Bag"/>
    <s v="Eco Canvas Tote Bag"/>
    <x v="1"/>
    <s v="BAGS"/>
    <n v="6"/>
    <n v="25"/>
    <n v="25"/>
    <n v="7.31"/>
    <n v="150"/>
    <n v="43.86"/>
    <n v="106.14"/>
    <n v="0.70760000000000001"/>
    <s v="C0059"/>
    <x v="31"/>
    <x v="31"/>
    <x v="1"/>
    <x v="1"/>
  </r>
  <r>
    <x v="784"/>
    <x v="274"/>
    <x v="9"/>
    <x v="9"/>
    <d v="1905-07-16T00:00:00"/>
    <s v="ecO CANVAS TOTe Bag"/>
    <s v="Eco Canvas Tote Bag"/>
    <x v="1"/>
    <s v="BAGS"/>
    <n v="4"/>
    <n v="25"/>
    <n v="25"/>
    <n v="5.44"/>
    <n v="100"/>
    <n v="21.76"/>
    <n v="78.239999999999995"/>
    <n v="0.78239999999999998"/>
    <s v="C0010"/>
    <x v="63"/>
    <x v="63"/>
    <x v="1"/>
    <x v="2"/>
  </r>
  <r>
    <x v="785"/>
    <x v="275"/>
    <x v="9"/>
    <x v="9"/>
    <d v="1905-07-16T00:00:00"/>
    <s v="SoLAR leD lAnTern"/>
    <s v="Solar Led Lantern"/>
    <x v="2"/>
    <s v="LIGHTING"/>
    <n v="1"/>
    <n v="40"/>
    <n v="40"/>
    <n v="15.04"/>
    <n v="40"/>
    <n v="15.04"/>
    <n v="24.96"/>
    <n v="0.624"/>
    <s v="C0134"/>
    <x v="71"/>
    <x v="71"/>
    <x v="0"/>
    <x v="3"/>
  </r>
  <r>
    <x v="786"/>
    <x v="275"/>
    <x v="9"/>
    <x v="9"/>
    <d v="1905-07-16T00:00:00"/>
    <s v="REUsABle bAMboO uTeNSIL sEt"/>
    <s v="Reusable Bamboo Utensil Set"/>
    <x v="3"/>
    <s v="KITCHENWARE"/>
    <n v="9"/>
    <n v="15"/>
    <n v="15"/>
    <n v="4.9000000000000004"/>
    <n v="135"/>
    <n v="44.1"/>
    <n v="90.9"/>
    <n v="0.67333333333333334"/>
    <s v="C0082"/>
    <x v="14"/>
    <x v="14"/>
    <x v="0"/>
    <x v="8"/>
  </r>
  <r>
    <x v="787"/>
    <x v="275"/>
    <x v="9"/>
    <x v="9"/>
    <d v="1905-07-16T00:00:00"/>
    <s v="SoLAR leD lAnTern"/>
    <s v="Solar Led Lantern"/>
    <x v="2"/>
    <s v="LIGHTING"/>
    <n v="6"/>
    <n v="40"/>
    <n v="40"/>
    <n v="11.76"/>
    <n v="240"/>
    <n v="70.56"/>
    <n v="169.44"/>
    <n v="0.70599999999999996"/>
    <s v="C0132"/>
    <x v="97"/>
    <x v="97"/>
    <x v="1"/>
    <x v="9"/>
  </r>
  <r>
    <x v="788"/>
    <x v="275"/>
    <x v="9"/>
    <x v="9"/>
    <d v="1905-07-16T00:00:00"/>
    <s v="COMpOsTaBLe PlAnT POts"/>
    <s v="Compostable Plant Pots"/>
    <x v="4"/>
    <s v="GARDENING"/>
    <n v="5"/>
    <n v="12"/>
    <n v="12"/>
    <n v="4.68"/>
    <n v="60"/>
    <n v="23.4"/>
    <n v="36.6"/>
    <n v="0.61"/>
    <s v="C0037"/>
    <x v="64"/>
    <x v="64"/>
    <x v="0"/>
    <x v="8"/>
  </r>
  <r>
    <x v="789"/>
    <x v="276"/>
    <x v="9"/>
    <x v="9"/>
    <d v="1905-07-16T00:00:00"/>
    <s v="REUsABle bAMboO uTeNSIL sEt"/>
    <s v="Reusable Bamboo Utensil Set"/>
    <x v="3"/>
    <s v="KITCHENWARE"/>
    <n v="7"/>
    <n v="15"/>
    <n v="15"/>
    <n v="4.3899999999999997"/>
    <n v="105"/>
    <n v="30.729999999999997"/>
    <n v="74.27000000000001"/>
    <n v="0.70733333333333348"/>
    <s v="C0038"/>
    <x v="22"/>
    <x v="22"/>
    <x v="1"/>
    <x v="7"/>
  </r>
  <r>
    <x v="790"/>
    <x v="276"/>
    <x v="9"/>
    <x v="9"/>
    <d v="1905-07-16T00:00:00"/>
    <s v="COMpOsTaBLe PlAnT POts"/>
    <s v="Compostable Plant Pots"/>
    <x v="4"/>
    <s v="GARDENING"/>
    <n v="7"/>
    <n v="12"/>
    <n v="12"/>
    <n v="4.01"/>
    <n v="84"/>
    <n v="28.07"/>
    <n v="55.93"/>
    <n v="0.66583333333333328"/>
    <s v="C0052"/>
    <x v="6"/>
    <x v="6"/>
    <x v="1"/>
    <x v="2"/>
  </r>
  <r>
    <x v="791"/>
    <x v="276"/>
    <x v="9"/>
    <x v="9"/>
    <d v="1905-07-16T00:00:00"/>
    <s v="REUsABle bAMboO uTeNSIL sEt"/>
    <s v="Reusable Bamboo Utensil Set"/>
    <x v="3"/>
    <s v="KITCHENWARE"/>
    <n v="6"/>
    <n v="15"/>
    <n v="15"/>
    <n v="3.88"/>
    <n v="90"/>
    <n v="23.28"/>
    <n v="66.72"/>
    <n v="0.74133333333333329"/>
    <s v="C0168"/>
    <x v="62"/>
    <x v="62"/>
    <x v="0"/>
    <x v="6"/>
  </r>
  <r>
    <x v="792"/>
    <x v="276"/>
    <x v="9"/>
    <x v="9"/>
    <d v="1905-07-16T00:00:00"/>
    <s v="ecO CANVAS TOTe Bag"/>
    <s v="Eco Canvas Tote Bag"/>
    <x v="1"/>
    <s v="BAGS"/>
    <n v="6"/>
    <n v="25"/>
    <n v="25"/>
    <n v="6.57"/>
    <n v="150"/>
    <n v="39.42"/>
    <n v="110.58"/>
    <n v="0.73719999999999997"/>
    <s v="C0092"/>
    <x v="102"/>
    <x v="102"/>
    <x v="0"/>
    <x v="5"/>
  </r>
  <r>
    <x v="793"/>
    <x v="276"/>
    <x v="9"/>
    <x v="9"/>
    <d v="1905-07-16T00:00:00"/>
    <s v="bIOdegradABlE cLEaNINg cLoTH"/>
    <s v="Biodegradable Cleaning Cloth"/>
    <x v="0"/>
    <s v="CLEANING"/>
    <n v="7"/>
    <n v="10"/>
    <n v="10"/>
    <n v="3.92"/>
    <n v="70"/>
    <n v="27.439999999999998"/>
    <n v="42.56"/>
    <n v="0.60799999999999998"/>
    <s v="C0025"/>
    <x v="58"/>
    <x v="58"/>
    <x v="3"/>
    <x v="3"/>
  </r>
  <r>
    <x v="794"/>
    <x v="276"/>
    <x v="9"/>
    <x v="9"/>
    <d v="1905-07-16T00:00:00"/>
    <s v="bIOdegradABlE cLEaNINg cLoTH"/>
    <s v="Biodegradable Cleaning Cloth"/>
    <x v="0"/>
    <s v="CLEANING"/>
    <n v="4"/>
    <n v="10"/>
    <n v="10"/>
    <n v="2.33"/>
    <n v="40"/>
    <n v="9.32"/>
    <n v="30.68"/>
    <n v="0.76700000000000002"/>
    <s v="C0041"/>
    <x v="45"/>
    <x v="45"/>
    <x v="1"/>
    <x v="1"/>
  </r>
  <r>
    <x v="795"/>
    <x v="276"/>
    <x v="9"/>
    <x v="9"/>
    <d v="1905-07-16T00:00:00"/>
    <s v="bIOdegradABlE cLEaNINg cLoTH"/>
    <s v="Biodegradable Cleaning Cloth"/>
    <x v="0"/>
    <s v="CLEANING"/>
    <n v="2"/>
    <n v="10"/>
    <n v="10"/>
    <n v="3.79"/>
    <n v="20"/>
    <n v="7.58"/>
    <n v="12.42"/>
    <n v="0.621"/>
    <s v="C0060"/>
    <x v="80"/>
    <x v="80"/>
    <x v="1"/>
    <x v="9"/>
  </r>
  <r>
    <x v="796"/>
    <x v="277"/>
    <x v="9"/>
    <x v="9"/>
    <d v="1905-07-16T00:00:00"/>
    <s v="COMpOsTaBLe PlAnT POts"/>
    <s v="Compostable Plant Pots"/>
    <x v="4"/>
    <s v="GARDENING"/>
    <n v="4"/>
    <n v="12"/>
    <n v="12"/>
    <n v="4.72"/>
    <n v="48"/>
    <n v="18.88"/>
    <n v="29.12"/>
    <n v="0.60666666666666669"/>
    <s v="C0195"/>
    <x v="56"/>
    <x v="56"/>
    <x v="1"/>
    <x v="5"/>
  </r>
  <r>
    <x v="797"/>
    <x v="277"/>
    <x v="9"/>
    <x v="9"/>
    <d v="1905-07-16T00:00:00"/>
    <s v="REUsABle bAMboO uTeNSIL sEt"/>
    <s v="Reusable Bamboo Utensil Set"/>
    <x v="3"/>
    <s v="KITCHENWARE"/>
    <n v="1"/>
    <n v="15"/>
    <n v="15"/>
    <n v="4.58"/>
    <n v="15"/>
    <n v="4.58"/>
    <n v="10.42"/>
    <n v="0.69466666666666665"/>
    <s v="C0195"/>
    <x v="56"/>
    <x v="56"/>
    <x v="1"/>
    <x v="6"/>
  </r>
  <r>
    <x v="798"/>
    <x v="278"/>
    <x v="9"/>
    <x v="9"/>
    <d v="1905-07-16T00:00:00"/>
    <s v="ecO CANVAS TOTe Bag"/>
    <s v="Eco Canvas Tote Bag"/>
    <x v="1"/>
    <s v="BAGS"/>
    <n v="3"/>
    <n v="25"/>
    <n v="25"/>
    <n v="8.26"/>
    <n v="75"/>
    <n v="24.78"/>
    <n v="50.22"/>
    <n v="0.66959999999999997"/>
    <s v="C0023"/>
    <x v="63"/>
    <x v="63"/>
    <x v="1"/>
    <x v="9"/>
  </r>
  <r>
    <x v="799"/>
    <x v="278"/>
    <x v="9"/>
    <x v="9"/>
    <d v="1905-07-16T00:00:00"/>
    <s v="REUsABle bAMboO uTeNSIL sEt"/>
    <s v="Reusable Bamboo Utensil Set"/>
    <x v="3"/>
    <s v="KITCHENWARE"/>
    <n v="9"/>
    <m/>
    <n v="15"/>
    <n v="4.99"/>
    <n v="135"/>
    <n v="44.910000000000004"/>
    <n v="90.09"/>
    <n v="0.66733333333333333"/>
    <s v="C0107"/>
    <x v="56"/>
    <x v="56"/>
    <x v="1"/>
    <x v="9"/>
  </r>
  <r>
    <x v="800"/>
    <x v="278"/>
    <x v="9"/>
    <x v="9"/>
    <d v="1905-07-16T00:00:00"/>
    <s v="COMpOsTaBLe PlAnT POts"/>
    <s v="Compostable Plant Pots"/>
    <x v="4"/>
    <s v="GARDENING"/>
    <n v="9"/>
    <n v="12"/>
    <n v="12"/>
    <n v="4.3499999999999996"/>
    <n v="108"/>
    <n v="39.15"/>
    <n v="68.849999999999994"/>
    <n v="0.63749999999999996"/>
    <s v="C0067"/>
    <x v="52"/>
    <x v="52"/>
    <x v="1"/>
    <x v="4"/>
  </r>
  <r>
    <x v="801"/>
    <x v="278"/>
    <x v="9"/>
    <x v="9"/>
    <d v="1905-07-16T00:00:00"/>
    <s v="SoLAR leD lAnTern"/>
    <s v="Solar Led Lantern"/>
    <x v="2"/>
    <s v="LIGHTING"/>
    <n v="1"/>
    <n v="40"/>
    <n v="40"/>
    <n v="13.06"/>
    <n v="40"/>
    <n v="13.06"/>
    <n v="26.939999999999998"/>
    <n v="0.67349999999999999"/>
    <s v="C0155"/>
    <x v="89"/>
    <x v="89"/>
    <x v="1"/>
    <x v="3"/>
  </r>
  <r>
    <x v="802"/>
    <x v="278"/>
    <x v="9"/>
    <x v="9"/>
    <d v="1905-07-16T00:00:00"/>
    <s v="REUsABle bAMboO uTeNSIL sEt"/>
    <s v="Reusable Bamboo Utensil Set"/>
    <x v="3"/>
    <s v="KITCHENWARE"/>
    <n v="10"/>
    <n v="15"/>
    <n v="15"/>
    <n v="5.31"/>
    <n v="150"/>
    <n v="53.099999999999994"/>
    <n v="96.9"/>
    <n v="0.64600000000000002"/>
    <s v="C0080"/>
    <x v="16"/>
    <x v="16"/>
    <x v="0"/>
    <x v="9"/>
  </r>
  <r>
    <x v="803"/>
    <x v="278"/>
    <x v="9"/>
    <x v="9"/>
    <d v="1905-07-16T00:00:00"/>
    <s v="REUsABle bAMboO uTeNSIL sEt"/>
    <s v="Reusable Bamboo Utensil Set"/>
    <x v="3"/>
    <s v="KITCHENWARE"/>
    <n v="5"/>
    <n v="15"/>
    <n v="15"/>
    <n v="4.21"/>
    <n v="75"/>
    <n v="21.05"/>
    <n v="53.95"/>
    <n v="0.71933333333333338"/>
    <s v="C0055"/>
    <x v="91"/>
    <x v="91"/>
    <x v="1"/>
    <x v="4"/>
  </r>
  <r>
    <x v="804"/>
    <x v="278"/>
    <x v="9"/>
    <x v="9"/>
    <d v="1905-07-16T00:00:00"/>
    <s v="bIOdegradABlE cLEaNINg cLoTH"/>
    <s v="Biodegradable Cleaning Cloth"/>
    <x v="0"/>
    <s v="CLEANING"/>
    <n v="6"/>
    <n v="10"/>
    <n v="10"/>
    <n v="2.83"/>
    <n v="60"/>
    <n v="16.98"/>
    <n v="43.019999999999996"/>
    <n v="0.71699999999999997"/>
    <s v="C0058"/>
    <x v="74"/>
    <x v="74"/>
    <x v="1"/>
    <x v="0"/>
  </r>
  <r>
    <x v="805"/>
    <x v="279"/>
    <x v="9"/>
    <x v="9"/>
    <d v="1905-07-16T00:00:00"/>
    <s v="ecO CANVAS TOTe Bag"/>
    <s v="Eco Canvas Tote Bag"/>
    <x v="1"/>
    <s v="BAGS"/>
    <n v="2"/>
    <n v="25"/>
    <n v="25"/>
    <n v="6.21"/>
    <n v="50"/>
    <n v="12.42"/>
    <n v="37.58"/>
    <n v="0.75159999999999993"/>
    <s v="C0121"/>
    <x v="44"/>
    <x v="44"/>
    <x v="1"/>
    <x v="0"/>
  </r>
  <r>
    <x v="806"/>
    <x v="279"/>
    <x v="9"/>
    <x v="9"/>
    <d v="1905-07-16T00:00:00"/>
    <s v="REUsABle bAMboO uTeNSIL sEt"/>
    <s v="Reusable Bamboo Utensil Set"/>
    <x v="3"/>
    <s v="KITCHENWARE"/>
    <n v="4"/>
    <m/>
    <n v="15"/>
    <n v="5.58"/>
    <n v="60"/>
    <n v="22.32"/>
    <n v="37.68"/>
    <n v="0.628"/>
    <s v="C0166"/>
    <x v="68"/>
    <x v="68"/>
    <x v="1"/>
    <x v="4"/>
  </r>
  <r>
    <x v="807"/>
    <x v="280"/>
    <x v="9"/>
    <x v="9"/>
    <d v="1905-07-16T00:00:00"/>
    <s v="SoLAR leD lAnTern"/>
    <s v="Solar Led Lantern"/>
    <x v="2"/>
    <s v="LIGHTING"/>
    <n v="4"/>
    <n v="40"/>
    <n v="40"/>
    <n v="8.16"/>
    <n v="160"/>
    <n v="32.64"/>
    <n v="127.36"/>
    <n v="0.79600000000000004"/>
    <s v="C0123"/>
    <x v="123"/>
    <x v="123"/>
    <x v="3"/>
    <x v="1"/>
  </r>
  <r>
    <x v="808"/>
    <x v="280"/>
    <x v="9"/>
    <x v="9"/>
    <d v="1905-07-16T00:00:00"/>
    <s v="REUsABle bAMboO uTeNSIL sEt"/>
    <s v="Reusable Bamboo Utensil Set"/>
    <x v="3"/>
    <s v="KITCHENWARE"/>
    <n v="7"/>
    <n v="15"/>
    <n v="15"/>
    <n v="4.8899999999999997"/>
    <n v="105"/>
    <n v="34.229999999999997"/>
    <n v="70.77000000000001"/>
    <n v="0.67400000000000004"/>
    <s v="C0092"/>
    <x v="102"/>
    <x v="102"/>
    <x v="1"/>
    <x v="8"/>
  </r>
  <r>
    <x v="809"/>
    <x v="280"/>
    <x v="9"/>
    <x v="9"/>
    <d v="1905-07-16T00:00:00"/>
    <s v="SoLAR leD lAnTern"/>
    <s v="Solar Led Lantern"/>
    <x v="2"/>
    <s v="LIGHTING"/>
    <n v="5"/>
    <n v="40"/>
    <n v="40"/>
    <n v="13.34"/>
    <n v="200"/>
    <n v="66.7"/>
    <n v="133.30000000000001"/>
    <n v="0.66650000000000009"/>
    <s v="C0068"/>
    <x v="96"/>
    <x v="96"/>
    <x v="1"/>
    <x v="1"/>
  </r>
  <r>
    <x v="810"/>
    <x v="280"/>
    <x v="9"/>
    <x v="9"/>
    <d v="1905-07-16T00:00:00"/>
    <s v="SoLAR leD lAnTern"/>
    <s v="Solar Led Lantern"/>
    <x v="2"/>
    <s v="LIGHTING"/>
    <n v="8"/>
    <n v="40"/>
    <n v="40"/>
    <n v="14.63"/>
    <n v="320"/>
    <n v="117.04"/>
    <n v="202.95999999999998"/>
    <n v="0.63424999999999998"/>
    <s v="C0057"/>
    <x v="54"/>
    <x v="54"/>
    <x v="1"/>
    <x v="3"/>
  </r>
  <r>
    <x v="811"/>
    <x v="280"/>
    <x v="9"/>
    <x v="9"/>
    <d v="1905-07-16T00:00:00"/>
    <s v="SoLAR leD lAnTern"/>
    <s v="Solar Led Lantern"/>
    <x v="2"/>
    <s v="LIGHTING"/>
    <n v="2"/>
    <n v="40"/>
    <n v="40"/>
    <n v="12.12"/>
    <n v="80"/>
    <n v="24.24"/>
    <n v="55.760000000000005"/>
    <n v="0.69700000000000006"/>
    <s v="C0081"/>
    <x v="33"/>
    <x v="33"/>
    <x v="1"/>
    <x v="9"/>
  </r>
  <r>
    <x v="812"/>
    <x v="281"/>
    <x v="9"/>
    <x v="9"/>
    <d v="1905-07-16T00:00:00"/>
    <s v="bIOdegradABlE cLEaNINg cLoTH"/>
    <s v="Biodegradable Cleaning Cloth"/>
    <x v="0"/>
    <s v="CLEANING"/>
    <n v="8"/>
    <m/>
    <n v="10"/>
    <n v="3.74"/>
    <n v="80"/>
    <n v="29.92"/>
    <n v="50.08"/>
    <n v="0.626"/>
    <s v="C0035"/>
    <x v="16"/>
    <x v="16"/>
    <x v="1"/>
    <x v="4"/>
  </r>
  <r>
    <x v="813"/>
    <x v="282"/>
    <x v="9"/>
    <x v="9"/>
    <d v="1905-07-16T00:00:00"/>
    <s v="SoLAR leD lAnTern"/>
    <s v="Solar Led Lantern"/>
    <x v="2"/>
    <s v="LIGHTING"/>
    <n v="9"/>
    <n v="40"/>
    <n v="40"/>
    <n v="9.27"/>
    <n v="360"/>
    <n v="83.429999999999993"/>
    <n v="276.57"/>
    <n v="0.76824999999999999"/>
    <s v="C0145"/>
    <x v="43"/>
    <x v="43"/>
    <x v="2"/>
    <x v="5"/>
  </r>
  <r>
    <x v="814"/>
    <x v="282"/>
    <x v="9"/>
    <x v="9"/>
    <d v="1905-07-16T00:00:00"/>
    <s v="COMpOsTaBLe PlAnT POts"/>
    <s v="Compostable Plant Pots"/>
    <x v="4"/>
    <s v="GARDENING"/>
    <n v="3"/>
    <n v="12"/>
    <n v="12"/>
    <n v="4.5999999999999996"/>
    <n v="36"/>
    <n v="13.799999999999999"/>
    <n v="22.200000000000003"/>
    <n v="0.6166666666666667"/>
    <s v="C0156"/>
    <x v="18"/>
    <x v="18"/>
    <x v="1"/>
    <x v="3"/>
  </r>
  <r>
    <x v="815"/>
    <x v="282"/>
    <x v="9"/>
    <x v="9"/>
    <d v="1905-07-16T00:00:00"/>
    <s v="COMpOsTaBLe PlAnT POts"/>
    <s v="Compostable Plant Pots"/>
    <x v="4"/>
    <s v="GARDENING"/>
    <n v="2"/>
    <n v="12"/>
    <n v="12"/>
    <n v="2.86"/>
    <n v="24"/>
    <n v="5.72"/>
    <n v="18.28"/>
    <n v="0.76166666666666671"/>
    <s v="C0156"/>
    <x v="18"/>
    <x v="18"/>
    <x v="1"/>
    <x v="6"/>
  </r>
  <r>
    <x v="816"/>
    <x v="282"/>
    <x v="9"/>
    <x v="9"/>
    <d v="1905-07-16T00:00:00"/>
    <s v="bIOdegradABlE cLEaNINg cLoTH"/>
    <s v="Biodegradable Cleaning Cloth"/>
    <x v="0"/>
    <s v="CLEANING"/>
    <n v="10"/>
    <m/>
    <n v="10"/>
    <n v="3.01"/>
    <n v="100"/>
    <n v="30.099999999999998"/>
    <n v="69.900000000000006"/>
    <n v="0.69900000000000007"/>
    <s v="C0176"/>
    <x v="9"/>
    <x v="9"/>
    <x v="1"/>
    <x v="7"/>
  </r>
  <r>
    <x v="817"/>
    <x v="282"/>
    <x v="9"/>
    <x v="9"/>
    <d v="1905-07-16T00:00:00"/>
    <s v="ecO CANVAS TOTe Bag"/>
    <s v="Eco Canvas Tote Bag"/>
    <x v="1"/>
    <s v="BAGS"/>
    <n v="4"/>
    <n v="25"/>
    <n v="25"/>
    <n v="5.63"/>
    <n v="100"/>
    <n v="22.52"/>
    <n v="77.48"/>
    <n v="0.77480000000000004"/>
    <s v="C0078"/>
    <x v="35"/>
    <x v="35"/>
    <x v="0"/>
    <x v="7"/>
  </r>
  <r>
    <x v="818"/>
    <x v="283"/>
    <x v="9"/>
    <x v="9"/>
    <d v="1905-07-16T00:00:00"/>
    <s v="COMpOsTaBLe PlAnT POts"/>
    <s v="Compostable Plant Pots"/>
    <x v="4"/>
    <s v="GARDENING"/>
    <n v="2"/>
    <n v="12"/>
    <n v="12"/>
    <n v="2.46"/>
    <n v="24"/>
    <n v="4.92"/>
    <n v="19.079999999999998"/>
    <n v="0.79499999999999993"/>
    <s v="C0157"/>
    <x v="27"/>
    <x v="27"/>
    <x v="1"/>
    <x v="1"/>
  </r>
  <r>
    <x v="819"/>
    <x v="283"/>
    <x v="9"/>
    <x v="9"/>
    <d v="1905-07-16T00:00:00"/>
    <s v="bIOdegradABlE cLEaNINg cLoTH"/>
    <s v="Biodegradable Cleaning Cloth"/>
    <x v="0"/>
    <s v="CLEANING"/>
    <n v="10"/>
    <n v="10"/>
    <n v="10"/>
    <n v="3.42"/>
    <n v="100"/>
    <n v="34.200000000000003"/>
    <n v="65.8"/>
    <n v="0.65799999999999992"/>
    <s v="C0079"/>
    <x v="100"/>
    <x v="100"/>
    <x v="1"/>
    <x v="1"/>
  </r>
  <r>
    <x v="820"/>
    <x v="284"/>
    <x v="9"/>
    <x v="9"/>
    <d v="1905-07-16T00:00:00"/>
    <s v="bIOdegradABlE cLEaNINg cLoTH"/>
    <s v="Biodegradable Cleaning Cloth"/>
    <x v="0"/>
    <s v="CLEANING"/>
    <n v="1"/>
    <n v="10"/>
    <n v="10"/>
    <n v="3.95"/>
    <n v="10"/>
    <n v="3.95"/>
    <n v="6.05"/>
    <n v="0.60499999999999998"/>
    <s v="C0185"/>
    <x v="55"/>
    <x v="55"/>
    <x v="0"/>
    <x v="4"/>
  </r>
  <r>
    <x v="821"/>
    <x v="284"/>
    <x v="9"/>
    <x v="9"/>
    <d v="1905-07-16T00:00:00"/>
    <s v="ecO CANVAS TOTe Bag"/>
    <s v="Eco Canvas Tote Bag"/>
    <x v="1"/>
    <s v="BAGS"/>
    <n v="9"/>
    <n v="25"/>
    <n v="25"/>
    <n v="9.23"/>
    <n v="225"/>
    <n v="83.070000000000007"/>
    <n v="141.93"/>
    <n v="0.63080000000000003"/>
    <s v="C0097"/>
    <x v="26"/>
    <x v="26"/>
    <x v="1"/>
    <x v="3"/>
  </r>
  <r>
    <x v="822"/>
    <x v="285"/>
    <x v="9"/>
    <x v="9"/>
    <d v="1905-07-16T00:00:00"/>
    <s v="SoLAR leD lAnTern"/>
    <s v="Solar Led Lantern"/>
    <x v="2"/>
    <s v="LIGHTING"/>
    <n v="2"/>
    <n v="40"/>
    <n v="40"/>
    <n v="11.27"/>
    <n v="80"/>
    <n v="22.54"/>
    <n v="57.46"/>
    <n v="0.71825000000000006"/>
    <s v="C0031"/>
    <x v="61"/>
    <x v="61"/>
    <x v="1"/>
    <x v="6"/>
  </r>
  <r>
    <x v="823"/>
    <x v="285"/>
    <x v="9"/>
    <x v="9"/>
    <d v="1905-07-16T00:00:00"/>
    <s v="SoLAR leD lAnTern"/>
    <s v="Solar Led Lantern"/>
    <x v="2"/>
    <s v="LIGHTING"/>
    <n v="4"/>
    <n v="40"/>
    <n v="40"/>
    <n v="9.61"/>
    <n v="160"/>
    <n v="38.44"/>
    <n v="121.56"/>
    <n v="0.75975000000000004"/>
    <s v="C0018"/>
    <x v="62"/>
    <x v="62"/>
    <x v="1"/>
    <x v="8"/>
  </r>
  <r>
    <x v="824"/>
    <x v="285"/>
    <x v="9"/>
    <x v="9"/>
    <d v="1905-07-16T00:00:00"/>
    <s v="ecO CANVAS TOTe Bag"/>
    <s v="Eco Canvas Tote Bag"/>
    <x v="1"/>
    <s v="BAGS"/>
    <n v="6"/>
    <n v="25"/>
    <n v="25"/>
    <n v="9.08"/>
    <n v="150"/>
    <n v="54.480000000000004"/>
    <n v="95.52"/>
    <n v="0.63679999999999992"/>
    <s v="C0093"/>
    <x v="76"/>
    <x v="76"/>
    <x v="1"/>
    <x v="4"/>
  </r>
  <r>
    <x v="825"/>
    <x v="286"/>
    <x v="9"/>
    <x v="9"/>
    <d v="1905-07-16T00:00:00"/>
    <s v="bIOdegradABlE cLEaNINg cLoTH"/>
    <s v="Biodegradable Cleaning Cloth"/>
    <x v="0"/>
    <s v="CLEANING"/>
    <n v="10"/>
    <n v="10"/>
    <n v="10"/>
    <n v="3.48"/>
    <n v="100"/>
    <n v="34.799999999999997"/>
    <n v="65.2"/>
    <n v="0.65200000000000002"/>
    <s v="C0014"/>
    <x v="18"/>
    <x v="18"/>
    <x v="1"/>
    <x v="5"/>
  </r>
  <r>
    <x v="826"/>
    <x v="286"/>
    <x v="9"/>
    <x v="9"/>
    <d v="1905-07-16T00:00:00"/>
    <s v="ecO CANVAS TOTe Bag"/>
    <s v="Eco Canvas Tote Bag"/>
    <x v="1"/>
    <s v="BAGS"/>
    <n v="1"/>
    <n v="25"/>
    <n v="25"/>
    <n v="6.8"/>
    <n v="25"/>
    <n v="6.8"/>
    <n v="18.2"/>
    <n v="0.72799999999999998"/>
    <s v="C0072"/>
    <x v="88"/>
    <x v="88"/>
    <x v="1"/>
    <x v="8"/>
  </r>
  <r>
    <x v="827"/>
    <x v="286"/>
    <x v="9"/>
    <x v="9"/>
    <d v="1905-07-16T00:00:00"/>
    <s v="ecO CANVAS TOTe Bag"/>
    <s v="Eco Canvas Tote Bag"/>
    <x v="1"/>
    <s v="BAGS"/>
    <n v="10"/>
    <n v="25"/>
    <n v="25"/>
    <n v="8.74"/>
    <n v="250"/>
    <n v="87.4"/>
    <n v="162.6"/>
    <n v="0.65039999999999998"/>
    <s v="C0144"/>
    <x v="80"/>
    <x v="80"/>
    <x v="1"/>
    <x v="4"/>
  </r>
  <r>
    <x v="828"/>
    <x v="286"/>
    <x v="9"/>
    <x v="9"/>
    <d v="1905-07-16T00:00:00"/>
    <s v="REUsABle bAMboO uTeNSIL sEt"/>
    <s v="Reusable Bamboo Utensil Set"/>
    <x v="3"/>
    <s v="KITCHENWARE"/>
    <n v="8"/>
    <n v="15"/>
    <n v="15"/>
    <n v="5.93"/>
    <n v="120"/>
    <n v="47.44"/>
    <n v="72.56"/>
    <n v="0.60466666666666669"/>
    <s v="C0154"/>
    <x v="81"/>
    <x v="81"/>
    <x v="0"/>
    <x v="9"/>
  </r>
  <r>
    <x v="829"/>
    <x v="286"/>
    <x v="9"/>
    <x v="9"/>
    <d v="1905-07-16T00:00:00"/>
    <s v="SoLAR leD lAnTern"/>
    <s v="Solar Led Lantern"/>
    <x v="2"/>
    <s v="LIGHTING"/>
    <n v="2"/>
    <n v="40"/>
    <n v="40"/>
    <n v="11.4"/>
    <n v="80"/>
    <n v="22.8"/>
    <n v="57.2"/>
    <n v="0.71500000000000008"/>
    <s v="C0090"/>
    <x v="116"/>
    <x v="116"/>
    <x v="1"/>
    <x v="9"/>
  </r>
  <r>
    <x v="830"/>
    <x v="287"/>
    <x v="9"/>
    <x v="9"/>
    <d v="1905-07-16T00:00:00"/>
    <s v="REUsABle bAMboO uTeNSIL sEt"/>
    <s v="Reusable Bamboo Utensil Set"/>
    <x v="3"/>
    <s v="KITCHENWARE"/>
    <n v="10"/>
    <n v="15"/>
    <n v="15"/>
    <n v="3.2"/>
    <n v="150"/>
    <n v="32"/>
    <n v="118"/>
    <n v="0.78666666666666663"/>
    <s v="C0136"/>
    <x v="90"/>
    <x v="90"/>
    <x v="1"/>
    <x v="3"/>
  </r>
  <r>
    <x v="831"/>
    <x v="287"/>
    <x v="9"/>
    <x v="9"/>
    <d v="1905-07-16T00:00:00"/>
    <s v="bIOdegradABlE cLEaNINg cLoTH"/>
    <s v="Biodegradable Cleaning Cloth"/>
    <x v="0"/>
    <s v="CLEANING"/>
    <n v="7"/>
    <n v="10"/>
    <n v="10"/>
    <n v="3.47"/>
    <n v="70"/>
    <n v="24.290000000000003"/>
    <n v="45.709999999999994"/>
    <n v="0.65299999999999991"/>
    <s v="C0132"/>
    <x v="97"/>
    <x v="97"/>
    <x v="1"/>
    <x v="1"/>
  </r>
  <r>
    <x v="832"/>
    <x v="287"/>
    <x v="9"/>
    <x v="9"/>
    <d v="1905-07-16T00:00:00"/>
    <s v="SoLAR leD lAnTern"/>
    <s v="Solar Led Lantern"/>
    <x v="2"/>
    <s v="LIGHTING"/>
    <n v="3"/>
    <n v="40"/>
    <n v="40"/>
    <n v="8.8800000000000008"/>
    <n v="120"/>
    <n v="26.64"/>
    <n v="93.36"/>
    <n v="0.77800000000000002"/>
    <s v="C0136"/>
    <x v="90"/>
    <x v="90"/>
    <x v="0"/>
    <x v="4"/>
  </r>
  <r>
    <x v="833"/>
    <x v="287"/>
    <x v="9"/>
    <x v="9"/>
    <d v="1905-07-16T00:00:00"/>
    <s v="REUsABle bAMboO uTeNSIL sEt"/>
    <s v="Reusable Bamboo Utensil Set"/>
    <x v="3"/>
    <s v="KITCHENWARE"/>
    <n v="10"/>
    <n v="15"/>
    <n v="15"/>
    <n v="4.0999999999999996"/>
    <n v="150"/>
    <n v="41"/>
    <n v="109"/>
    <n v="0.72666666666666668"/>
    <s v="C0170"/>
    <x v="48"/>
    <x v="48"/>
    <x v="2"/>
    <x v="0"/>
  </r>
  <r>
    <x v="834"/>
    <x v="288"/>
    <x v="9"/>
    <x v="9"/>
    <d v="1905-07-16T00:00:00"/>
    <s v="ecO CANVAS TOTe Bag"/>
    <s v="Eco Canvas Tote Bag"/>
    <x v="1"/>
    <s v="BAGS"/>
    <n v="5"/>
    <n v="25"/>
    <n v="25"/>
    <n v="9.99"/>
    <n v="125"/>
    <n v="49.95"/>
    <n v="75.05"/>
    <n v="0.60039999999999993"/>
    <s v="C0005"/>
    <x v="99"/>
    <x v="99"/>
    <x v="1"/>
    <x v="6"/>
  </r>
  <r>
    <x v="835"/>
    <x v="288"/>
    <x v="9"/>
    <x v="9"/>
    <d v="1905-07-16T00:00:00"/>
    <s v="REUsABle bAMboO uTeNSIL sEt"/>
    <s v="Reusable Bamboo Utensil Set"/>
    <x v="3"/>
    <s v="KITCHENWARE"/>
    <n v="7"/>
    <n v="15"/>
    <n v="15"/>
    <n v="5.7"/>
    <n v="105"/>
    <n v="39.9"/>
    <n v="65.099999999999994"/>
    <n v="0.62"/>
    <s v="C0069"/>
    <x v="3"/>
    <x v="3"/>
    <x v="3"/>
    <x v="8"/>
  </r>
  <r>
    <x v="836"/>
    <x v="288"/>
    <x v="9"/>
    <x v="9"/>
    <d v="1905-07-16T00:00:00"/>
    <s v="COMpOsTaBLe PlAnT POts"/>
    <s v="Compostable Plant Pots"/>
    <x v="4"/>
    <s v="GARDENING"/>
    <n v="2"/>
    <n v="12"/>
    <n v="12"/>
    <n v="3.58"/>
    <n v="24"/>
    <n v="7.16"/>
    <n v="16.84"/>
    <n v="0.70166666666666666"/>
    <s v="C0013"/>
    <x v="16"/>
    <x v="16"/>
    <x v="1"/>
    <x v="0"/>
  </r>
  <r>
    <x v="837"/>
    <x v="288"/>
    <x v="9"/>
    <x v="9"/>
    <d v="1905-07-16T00:00:00"/>
    <s v="REUsABle bAMboO uTeNSIL sEt"/>
    <s v="Reusable Bamboo Utensil Set"/>
    <x v="3"/>
    <s v="KITCHENWARE"/>
    <n v="5"/>
    <n v="15"/>
    <n v="15"/>
    <n v="4.07"/>
    <n v="75"/>
    <n v="20.350000000000001"/>
    <n v="54.65"/>
    <n v="0.72866666666666668"/>
    <s v="C0094"/>
    <x v="44"/>
    <x v="44"/>
    <x v="1"/>
    <x v="0"/>
  </r>
  <r>
    <x v="838"/>
    <x v="288"/>
    <x v="9"/>
    <x v="9"/>
    <d v="1905-07-16T00:00:00"/>
    <s v="ecO CANVAS TOTe Bag"/>
    <s v="Eco Canvas Tote Bag"/>
    <x v="1"/>
    <s v="BAGS"/>
    <n v="10"/>
    <n v="25"/>
    <n v="25"/>
    <n v="9.42"/>
    <n v="250"/>
    <n v="94.2"/>
    <n v="155.80000000000001"/>
    <n v="0.62320000000000009"/>
    <s v="C0103"/>
    <x v="3"/>
    <x v="3"/>
    <x v="1"/>
    <x v="3"/>
  </r>
  <r>
    <x v="839"/>
    <x v="289"/>
    <x v="9"/>
    <x v="9"/>
    <d v="1905-07-16T00:00:00"/>
    <s v="SoLAR leD lAnTern"/>
    <s v="Solar Led Lantern"/>
    <x v="2"/>
    <s v="LIGHTING"/>
    <n v="1"/>
    <n v="40"/>
    <n v="40"/>
    <n v="13.18"/>
    <n v="40"/>
    <n v="13.18"/>
    <n v="26.82"/>
    <n v="0.67049999999999998"/>
    <s v="C0161"/>
    <x v="18"/>
    <x v="18"/>
    <x v="0"/>
    <x v="2"/>
  </r>
  <r>
    <x v="840"/>
    <x v="289"/>
    <x v="9"/>
    <x v="9"/>
    <d v="1905-07-16T00:00:00"/>
    <s v="ecO CANVAS TOTe Bag"/>
    <s v="Eco Canvas Tote Bag"/>
    <x v="1"/>
    <s v="BAGS"/>
    <n v="2"/>
    <n v="25"/>
    <n v="25"/>
    <n v="7.53"/>
    <n v="50"/>
    <n v="15.06"/>
    <n v="34.94"/>
    <n v="0.69879999999999998"/>
    <s v="C0106"/>
    <x v="7"/>
    <x v="7"/>
    <x v="1"/>
    <x v="4"/>
  </r>
  <r>
    <x v="841"/>
    <x v="289"/>
    <x v="9"/>
    <x v="9"/>
    <d v="1905-07-16T00:00:00"/>
    <s v="COMpOsTaBLe PlAnT POts"/>
    <s v="Compostable Plant Pots"/>
    <x v="4"/>
    <s v="GARDENING"/>
    <n v="7"/>
    <n v="12"/>
    <n v="12"/>
    <n v="4.74"/>
    <n v="84"/>
    <n v="33.18"/>
    <n v="50.82"/>
    <n v="0.60499999999999998"/>
    <s v="C0094"/>
    <x v="44"/>
    <x v="44"/>
    <x v="3"/>
    <x v="6"/>
  </r>
  <r>
    <x v="842"/>
    <x v="289"/>
    <x v="9"/>
    <x v="9"/>
    <d v="1905-07-16T00:00:00"/>
    <s v="COMpOsTaBLe PlAnT POts"/>
    <s v="Compostable Plant Pots"/>
    <x v="4"/>
    <s v="GARDENING"/>
    <n v="7"/>
    <n v="12"/>
    <n v="12"/>
    <n v="3.58"/>
    <n v="84"/>
    <n v="25.060000000000002"/>
    <n v="58.94"/>
    <n v="0.70166666666666666"/>
    <s v="C0114"/>
    <x v="5"/>
    <x v="5"/>
    <x v="1"/>
    <x v="9"/>
  </r>
  <r>
    <x v="843"/>
    <x v="290"/>
    <x v="10"/>
    <x v="10"/>
    <d v="1905-07-16T00:00:00"/>
    <s v="ecO CANVAS TOTe Bag"/>
    <s v="Eco Canvas Tote Bag"/>
    <x v="1"/>
    <s v="BAGS"/>
    <n v="8"/>
    <n v="25"/>
    <n v="25"/>
    <n v="5.8"/>
    <n v="200"/>
    <n v="46.4"/>
    <n v="153.6"/>
    <n v="0.76800000000000002"/>
    <s v="C0012"/>
    <x v="13"/>
    <x v="13"/>
    <x v="3"/>
    <x v="7"/>
  </r>
  <r>
    <x v="844"/>
    <x v="290"/>
    <x v="10"/>
    <x v="10"/>
    <d v="1905-07-16T00:00:00"/>
    <s v="COMpOsTaBLe PlAnT POts"/>
    <s v="Compostable Plant Pots"/>
    <x v="4"/>
    <s v="GARDENING"/>
    <n v="2"/>
    <n v="12"/>
    <n v="12"/>
    <n v="3.34"/>
    <n v="24"/>
    <n v="6.68"/>
    <n v="17.32"/>
    <n v="0.72166666666666668"/>
    <s v="C0035"/>
    <x v="16"/>
    <x v="16"/>
    <x v="1"/>
    <x v="7"/>
  </r>
  <r>
    <x v="845"/>
    <x v="290"/>
    <x v="10"/>
    <x v="10"/>
    <d v="1905-07-16T00:00:00"/>
    <s v="ecO CANVAS TOTe Bag"/>
    <s v="Eco Canvas Tote Bag"/>
    <x v="1"/>
    <s v="BAGS"/>
    <n v="8"/>
    <n v="25"/>
    <n v="25"/>
    <n v="9.2899999999999991"/>
    <n v="200"/>
    <n v="74.319999999999993"/>
    <n v="125.68"/>
    <n v="0.62840000000000007"/>
    <s v="C0180"/>
    <x v="83"/>
    <x v="83"/>
    <x v="1"/>
    <x v="9"/>
  </r>
  <r>
    <x v="846"/>
    <x v="291"/>
    <x v="10"/>
    <x v="10"/>
    <d v="1905-07-16T00:00:00"/>
    <s v="REUsABle bAMboO uTeNSIL sEt"/>
    <s v="Reusable Bamboo Utensil Set"/>
    <x v="3"/>
    <s v="KITCHENWARE"/>
    <n v="8"/>
    <n v="15"/>
    <n v="15"/>
    <n v="5.94"/>
    <n v="120"/>
    <n v="47.52"/>
    <n v="72.47999999999999"/>
    <n v="0.60399999999999987"/>
    <s v="C0052"/>
    <x v="6"/>
    <x v="6"/>
    <x v="1"/>
    <x v="5"/>
  </r>
  <r>
    <x v="847"/>
    <x v="291"/>
    <x v="10"/>
    <x v="10"/>
    <d v="1905-07-16T00:00:00"/>
    <s v="bIOdegradABlE cLEaNINg cLoTH"/>
    <s v="Biodegradable Cleaning Cloth"/>
    <x v="0"/>
    <s v="CLEANING"/>
    <n v="10"/>
    <n v="10"/>
    <n v="10"/>
    <n v="3.09"/>
    <n v="100"/>
    <n v="30.9"/>
    <n v="69.099999999999994"/>
    <n v="0.69099999999999995"/>
    <s v="C0081"/>
    <x v="33"/>
    <x v="33"/>
    <x v="1"/>
    <x v="6"/>
  </r>
  <r>
    <x v="848"/>
    <x v="291"/>
    <x v="10"/>
    <x v="10"/>
    <d v="1905-07-16T00:00:00"/>
    <s v="COMpOsTaBLe PlAnT POts"/>
    <s v="Compostable Plant Pots"/>
    <x v="4"/>
    <s v="GARDENING"/>
    <n v="10"/>
    <m/>
    <n v="12"/>
    <n v="3.06"/>
    <n v="120"/>
    <n v="30.6"/>
    <n v="89.4"/>
    <n v="0.745"/>
    <s v="C0045"/>
    <x v="51"/>
    <x v="51"/>
    <x v="1"/>
    <x v="3"/>
  </r>
  <r>
    <x v="849"/>
    <x v="291"/>
    <x v="10"/>
    <x v="10"/>
    <d v="1905-07-16T00:00:00"/>
    <s v="ecO CANVAS TOTe Bag"/>
    <s v="Eco Canvas Tote Bag"/>
    <x v="1"/>
    <s v="BAGS"/>
    <n v="1"/>
    <n v="25"/>
    <n v="25"/>
    <n v="5.0999999999999996"/>
    <n v="25"/>
    <n v="5.0999999999999996"/>
    <n v="19.899999999999999"/>
    <n v="0.79599999999999993"/>
    <s v="C0038"/>
    <x v="22"/>
    <x v="22"/>
    <x v="1"/>
    <x v="1"/>
  </r>
  <r>
    <x v="850"/>
    <x v="292"/>
    <x v="10"/>
    <x v="10"/>
    <d v="1905-07-16T00:00:00"/>
    <s v="ecO CANVAS TOTe Bag"/>
    <s v="Eco Canvas Tote Bag"/>
    <x v="1"/>
    <s v="BAGS"/>
    <n v="7"/>
    <n v="25"/>
    <n v="25"/>
    <n v="8.57"/>
    <n v="175"/>
    <n v="59.99"/>
    <n v="115.00999999999999"/>
    <n v="0.6571999999999999"/>
    <s v="C0182"/>
    <x v="57"/>
    <x v="57"/>
    <x v="1"/>
    <x v="1"/>
  </r>
  <r>
    <x v="851"/>
    <x v="292"/>
    <x v="10"/>
    <x v="10"/>
    <d v="1905-07-16T00:00:00"/>
    <s v="SoLAR leD lAnTern"/>
    <s v="Solar Led Lantern"/>
    <x v="2"/>
    <s v="LIGHTING"/>
    <n v="9"/>
    <n v="40"/>
    <n v="40"/>
    <n v="15.79"/>
    <n v="360"/>
    <n v="142.10999999999999"/>
    <n v="217.89000000000001"/>
    <n v="0.60525000000000007"/>
    <s v="C0086"/>
    <x v="35"/>
    <x v="35"/>
    <x v="0"/>
    <x v="5"/>
  </r>
  <r>
    <x v="852"/>
    <x v="292"/>
    <x v="10"/>
    <x v="10"/>
    <d v="1905-07-16T00:00:00"/>
    <s v="bIOdegradABlE cLEaNINg cLoTH"/>
    <s v="Biodegradable Cleaning Cloth"/>
    <x v="0"/>
    <s v="CLEANING"/>
    <n v="5"/>
    <n v="10"/>
    <n v="10"/>
    <n v="2.91"/>
    <n v="50"/>
    <n v="14.55"/>
    <n v="35.450000000000003"/>
    <n v="0.70900000000000007"/>
    <s v="C0165"/>
    <x v="8"/>
    <x v="8"/>
    <x v="2"/>
    <x v="2"/>
  </r>
  <r>
    <x v="853"/>
    <x v="293"/>
    <x v="10"/>
    <x v="10"/>
    <d v="1905-07-16T00:00:00"/>
    <s v="bIOdegradABlE cLEaNINg cLoTH"/>
    <s v="Biodegradable Cleaning Cloth"/>
    <x v="0"/>
    <s v="CLEANING"/>
    <n v="4"/>
    <n v="10"/>
    <n v="10"/>
    <n v="2.2200000000000002"/>
    <n v="40"/>
    <n v="8.8800000000000008"/>
    <n v="31.119999999999997"/>
    <n v="0.77799999999999991"/>
    <s v="C0187"/>
    <x v="48"/>
    <x v="48"/>
    <x v="2"/>
    <x v="0"/>
  </r>
  <r>
    <x v="854"/>
    <x v="293"/>
    <x v="10"/>
    <x v="10"/>
    <d v="1905-07-16T00:00:00"/>
    <s v="ecO CANVAS TOTe Bag"/>
    <s v="Eco Canvas Tote Bag"/>
    <x v="1"/>
    <s v="BAGS"/>
    <n v="1"/>
    <n v="25"/>
    <n v="25"/>
    <n v="8.4499999999999993"/>
    <n v="25"/>
    <n v="8.4499999999999993"/>
    <n v="16.55"/>
    <n v="0.66200000000000003"/>
    <s v="C0163"/>
    <x v="95"/>
    <x v="95"/>
    <x v="3"/>
    <x v="7"/>
  </r>
  <r>
    <x v="855"/>
    <x v="294"/>
    <x v="10"/>
    <x v="10"/>
    <d v="1905-07-16T00:00:00"/>
    <s v="REUsABle bAMboO uTeNSIL sEt"/>
    <s v="Reusable Bamboo Utensil Set"/>
    <x v="3"/>
    <s v="KITCHENWARE"/>
    <n v="3"/>
    <n v="15"/>
    <n v="15"/>
    <n v="3.12"/>
    <n v="45"/>
    <n v="9.36"/>
    <n v="35.64"/>
    <n v="0.79200000000000004"/>
    <s v="C0147"/>
    <x v="30"/>
    <x v="30"/>
    <x v="0"/>
    <x v="5"/>
  </r>
  <r>
    <x v="856"/>
    <x v="294"/>
    <x v="10"/>
    <x v="10"/>
    <d v="1905-07-16T00:00:00"/>
    <s v="ecO CANVAS TOTe Bag"/>
    <s v="Eco Canvas Tote Bag"/>
    <x v="1"/>
    <s v="BAGS"/>
    <n v="7"/>
    <n v="25"/>
    <n v="25"/>
    <n v="7.96"/>
    <n v="175"/>
    <n v="55.72"/>
    <n v="119.28"/>
    <n v="0.68159999999999998"/>
    <s v="C0154"/>
    <x v="81"/>
    <x v="81"/>
    <x v="1"/>
    <x v="6"/>
  </r>
  <r>
    <x v="857"/>
    <x v="295"/>
    <x v="10"/>
    <x v="10"/>
    <d v="1905-07-16T00:00:00"/>
    <s v="bIOdegradABlE cLEaNINg cLoTH"/>
    <s v="Biodegradable Cleaning Cloth"/>
    <x v="0"/>
    <s v="CLEANING"/>
    <n v="10"/>
    <n v="10"/>
    <n v="10"/>
    <n v="3.97"/>
    <n v="100"/>
    <n v="39.700000000000003"/>
    <n v="60.3"/>
    <n v="0.60299999999999998"/>
    <s v="C0054"/>
    <x v="37"/>
    <x v="37"/>
    <x v="1"/>
    <x v="5"/>
  </r>
  <r>
    <x v="858"/>
    <x v="295"/>
    <x v="10"/>
    <x v="10"/>
    <d v="1905-07-16T00:00:00"/>
    <s v="bIOdegradABlE cLEaNINg cLoTH"/>
    <s v="Biodegradable Cleaning Cloth"/>
    <x v="0"/>
    <s v="CLEANING"/>
    <n v="7"/>
    <n v="10"/>
    <n v="10"/>
    <n v="3.07"/>
    <n v="70"/>
    <n v="21.49"/>
    <n v="48.510000000000005"/>
    <n v="0.69300000000000006"/>
    <s v="C0021"/>
    <x v="37"/>
    <x v="37"/>
    <x v="1"/>
    <x v="1"/>
  </r>
  <r>
    <x v="859"/>
    <x v="296"/>
    <x v="10"/>
    <x v="10"/>
    <d v="1905-07-16T00:00:00"/>
    <s v="REUsABle bAMboO uTeNSIL sEt"/>
    <s v="Reusable Bamboo Utensil Set"/>
    <x v="3"/>
    <s v="KITCHENWARE"/>
    <n v="2"/>
    <n v="15"/>
    <n v="15"/>
    <n v="5.34"/>
    <n v="30"/>
    <n v="10.68"/>
    <n v="19.32"/>
    <n v="0.64400000000000002"/>
    <s v="C0085"/>
    <x v="29"/>
    <x v="29"/>
    <x v="1"/>
    <x v="1"/>
  </r>
  <r>
    <x v="860"/>
    <x v="297"/>
    <x v="10"/>
    <x v="10"/>
    <d v="1905-07-16T00:00:00"/>
    <s v="REUsABle bAMboO uTeNSIL sEt"/>
    <s v="Reusable Bamboo Utensil Set"/>
    <x v="3"/>
    <s v="KITCHENWARE"/>
    <n v="6"/>
    <n v="15"/>
    <n v="15"/>
    <n v="5.79"/>
    <n v="90"/>
    <n v="34.74"/>
    <n v="55.26"/>
    <n v="0.61399999999999999"/>
    <s v="C0122"/>
    <x v="1"/>
    <x v="1"/>
    <x v="2"/>
    <x v="2"/>
  </r>
  <r>
    <x v="861"/>
    <x v="297"/>
    <x v="10"/>
    <x v="10"/>
    <d v="1905-07-16T00:00:00"/>
    <s v="bIOdegradABlE cLEaNINg cLoTH"/>
    <s v="Biodegradable Cleaning Cloth"/>
    <x v="0"/>
    <s v="CLEANING"/>
    <n v="5"/>
    <n v="10"/>
    <n v="10"/>
    <n v="3.82"/>
    <n v="50"/>
    <n v="19.099999999999998"/>
    <n v="30.900000000000002"/>
    <n v="0.61799999999999999"/>
    <s v="C0191"/>
    <x v="17"/>
    <x v="17"/>
    <x v="1"/>
    <x v="3"/>
  </r>
  <r>
    <x v="862"/>
    <x v="297"/>
    <x v="10"/>
    <x v="10"/>
    <d v="1905-07-16T00:00:00"/>
    <s v="bIOdegradABlE cLEaNINg cLoTH"/>
    <s v="Biodegradable Cleaning Cloth"/>
    <x v="0"/>
    <s v="CLEANING"/>
    <n v="1"/>
    <n v="10"/>
    <n v="10"/>
    <n v="2"/>
    <n v="10"/>
    <n v="2"/>
    <n v="8"/>
    <n v="0.8"/>
    <s v="C0112"/>
    <x v="70"/>
    <x v="70"/>
    <x v="2"/>
    <x v="7"/>
  </r>
  <r>
    <x v="863"/>
    <x v="298"/>
    <x v="10"/>
    <x v="10"/>
    <d v="1905-07-16T00:00:00"/>
    <s v="bIOdegradABlE cLEaNINg cLoTH"/>
    <s v="Biodegradable Cleaning Cloth"/>
    <x v="0"/>
    <s v="CLEANING"/>
    <n v="3"/>
    <n v="10"/>
    <n v="10"/>
    <n v="2.39"/>
    <n v="30"/>
    <n v="7.17"/>
    <n v="22.83"/>
    <n v="0.7609999999999999"/>
    <s v="C0102"/>
    <x v="85"/>
    <x v="85"/>
    <x v="0"/>
    <x v="2"/>
  </r>
  <r>
    <x v="864"/>
    <x v="298"/>
    <x v="10"/>
    <x v="10"/>
    <d v="1905-07-16T00:00:00"/>
    <s v="bIOdegradABlE cLEaNINg cLoTH"/>
    <s v="Biodegradable Cleaning Cloth"/>
    <x v="0"/>
    <s v="CLEANING"/>
    <n v="5"/>
    <n v="10"/>
    <n v="10"/>
    <n v="2.48"/>
    <n v="50"/>
    <n v="12.4"/>
    <n v="37.6"/>
    <n v="0.752"/>
    <s v="C0060"/>
    <x v="80"/>
    <x v="80"/>
    <x v="3"/>
    <x v="7"/>
  </r>
  <r>
    <x v="865"/>
    <x v="299"/>
    <x v="10"/>
    <x v="10"/>
    <d v="1905-07-16T00:00:00"/>
    <s v="ecO CANVAS TOTe Bag"/>
    <s v="Eco Canvas Tote Bag"/>
    <x v="1"/>
    <s v="BAGS"/>
    <n v="4"/>
    <n v="25"/>
    <n v="25"/>
    <n v="6.48"/>
    <n v="100"/>
    <n v="25.92"/>
    <n v="74.08"/>
    <n v="0.74080000000000001"/>
    <s v="C0013"/>
    <x v="16"/>
    <x v="16"/>
    <x v="1"/>
    <x v="9"/>
  </r>
  <r>
    <x v="866"/>
    <x v="299"/>
    <x v="10"/>
    <x v="10"/>
    <d v="1905-07-16T00:00:00"/>
    <s v="COMpOsTaBLe PlAnT POts"/>
    <s v="Compostable Plant Pots"/>
    <x v="4"/>
    <s v="GARDENING"/>
    <n v="8"/>
    <n v="12"/>
    <n v="12"/>
    <n v="3.72"/>
    <n v="96"/>
    <n v="29.76"/>
    <n v="66.239999999999995"/>
    <n v="0.69"/>
    <s v="C0146"/>
    <x v="58"/>
    <x v="58"/>
    <x v="0"/>
    <x v="5"/>
  </r>
  <r>
    <x v="867"/>
    <x v="299"/>
    <x v="10"/>
    <x v="10"/>
    <d v="1905-07-16T00:00:00"/>
    <s v="COMpOsTaBLe PlAnT POts"/>
    <s v="Compostable Plant Pots"/>
    <x v="4"/>
    <s v="GARDENING"/>
    <n v="8"/>
    <n v="12"/>
    <n v="12"/>
    <n v="3.33"/>
    <n v="96"/>
    <n v="26.64"/>
    <n v="69.36"/>
    <n v="0.72250000000000003"/>
    <s v="C0177"/>
    <x v="110"/>
    <x v="110"/>
    <x v="1"/>
    <x v="0"/>
  </r>
  <r>
    <x v="868"/>
    <x v="299"/>
    <x v="10"/>
    <x v="10"/>
    <d v="1905-07-16T00:00:00"/>
    <s v="bIOdegradABlE cLEaNINg cLoTH"/>
    <s v="Biodegradable Cleaning Cloth"/>
    <x v="0"/>
    <s v="CLEANING"/>
    <n v="4"/>
    <n v="10"/>
    <n v="10"/>
    <n v="2.23"/>
    <n v="40"/>
    <n v="8.92"/>
    <n v="31.08"/>
    <n v="0.77699999999999991"/>
    <s v="C0123"/>
    <x v="123"/>
    <x v="123"/>
    <x v="1"/>
    <x v="8"/>
  </r>
  <r>
    <x v="869"/>
    <x v="300"/>
    <x v="10"/>
    <x v="10"/>
    <d v="1905-07-16T00:00:00"/>
    <s v="SoLAR leD lAnTern"/>
    <s v="Solar Led Lantern"/>
    <x v="2"/>
    <s v="LIGHTING"/>
    <n v="4"/>
    <n v="40"/>
    <n v="40"/>
    <n v="13.67"/>
    <n v="160"/>
    <n v="54.68"/>
    <n v="105.32"/>
    <n v="0.65825"/>
    <s v="C0132"/>
    <x v="97"/>
    <x v="97"/>
    <x v="1"/>
    <x v="2"/>
  </r>
  <r>
    <x v="870"/>
    <x v="300"/>
    <x v="10"/>
    <x v="10"/>
    <d v="1905-07-16T00:00:00"/>
    <s v="SoLAR leD lAnTern"/>
    <s v="Solar Led Lantern"/>
    <x v="2"/>
    <s v="LIGHTING"/>
    <n v="10"/>
    <n v="40"/>
    <n v="40"/>
    <n v="8.85"/>
    <n v="400"/>
    <n v="88.5"/>
    <n v="311.5"/>
    <n v="0.77875000000000005"/>
    <s v="C0190"/>
    <x v="39"/>
    <x v="39"/>
    <x v="1"/>
    <x v="4"/>
  </r>
  <r>
    <x v="871"/>
    <x v="300"/>
    <x v="10"/>
    <x v="10"/>
    <d v="1905-07-16T00:00:00"/>
    <s v="COMpOsTaBLe PlAnT POts"/>
    <s v="Compostable Plant Pots"/>
    <x v="4"/>
    <s v="GARDENING"/>
    <n v="9"/>
    <n v="12"/>
    <n v="12"/>
    <n v="2.5499999999999998"/>
    <n v="108"/>
    <n v="22.95"/>
    <n v="85.05"/>
    <n v="0.78749999999999998"/>
    <s v="C0029"/>
    <x v="124"/>
    <x v="124"/>
    <x v="1"/>
    <x v="3"/>
  </r>
  <r>
    <x v="872"/>
    <x v="300"/>
    <x v="10"/>
    <x v="10"/>
    <d v="1905-07-16T00:00:00"/>
    <s v="REUsABle bAMboO uTeNSIL sEt"/>
    <s v="Reusable Bamboo Utensil Set"/>
    <x v="3"/>
    <s v="KITCHENWARE"/>
    <n v="4"/>
    <n v="15"/>
    <n v="15"/>
    <n v="5.0199999999999996"/>
    <n v="60"/>
    <n v="20.079999999999998"/>
    <n v="39.92"/>
    <n v="0.66533333333333333"/>
    <s v="C0092"/>
    <x v="102"/>
    <x v="102"/>
    <x v="1"/>
    <x v="1"/>
  </r>
  <r>
    <x v="873"/>
    <x v="300"/>
    <x v="10"/>
    <x v="10"/>
    <d v="1905-07-16T00:00:00"/>
    <s v="REUsABle bAMboO uTeNSIL sEt"/>
    <s v="Reusable Bamboo Utensil Set"/>
    <x v="3"/>
    <s v="KITCHENWARE"/>
    <n v="1"/>
    <n v="15"/>
    <n v="15"/>
    <n v="5.27"/>
    <n v="15"/>
    <n v="5.27"/>
    <n v="9.73"/>
    <n v="0.64866666666666672"/>
    <s v="C0080"/>
    <x v="16"/>
    <x v="16"/>
    <x v="1"/>
    <x v="1"/>
  </r>
  <r>
    <x v="874"/>
    <x v="300"/>
    <x v="10"/>
    <x v="10"/>
    <d v="1905-07-16T00:00:00"/>
    <s v="REUsABle bAMboO uTeNSIL sEt"/>
    <s v="Reusable Bamboo Utensil Set"/>
    <x v="3"/>
    <s v="KITCHENWARE"/>
    <n v="8"/>
    <n v="15"/>
    <n v="15"/>
    <n v="3.79"/>
    <n v="120"/>
    <n v="30.32"/>
    <n v="89.68"/>
    <n v="0.7473333333333334"/>
    <s v="C0188"/>
    <x v="30"/>
    <x v="30"/>
    <x v="1"/>
    <x v="4"/>
  </r>
  <r>
    <x v="875"/>
    <x v="301"/>
    <x v="10"/>
    <x v="10"/>
    <d v="1905-07-16T00:00:00"/>
    <s v="bIOdegradABlE cLEaNINg cLoTH"/>
    <s v="Biodegradable Cleaning Cloth"/>
    <x v="0"/>
    <s v="CLEANING"/>
    <n v="8"/>
    <n v="10"/>
    <n v="10"/>
    <n v="2.94"/>
    <n v="80"/>
    <n v="23.52"/>
    <n v="56.480000000000004"/>
    <n v="0.70600000000000007"/>
    <s v="C0196"/>
    <x v="42"/>
    <x v="42"/>
    <x v="1"/>
    <x v="3"/>
  </r>
  <r>
    <x v="876"/>
    <x v="301"/>
    <x v="10"/>
    <x v="10"/>
    <d v="1905-07-16T00:00:00"/>
    <s v="ecO CANVAS TOTe Bag"/>
    <s v="Eco Canvas Tote Bag"/>
    <x v="1"/>
    <s v="BAGS"/>
    <n v="10"/>
    <n v="25"/>
    <n v="25"/>
    <n v="6.9"/>
    <n v="250"/>
    <n v="69"/>
    <n v="181"/>
    <n v="0.72399999999999998"/>
    <s v="C0171"/>
    <x v="59"/>
    <x v="59"/>
    <x v="0"/>
    <x v="8"/>
  </r>
  <r>
    <x v="877"/>
    <x v="302"/>
    <x v="10"/>
    <x v="10"/>
    <d v="1905-07-16T00:00:00"/>
    <s v="SoLAR leD lAnTern"/>
    <s v="Solar Led Lantern"/>
    <x v="2"/>
    <s v="LIGHTING"/>
    <n v="9"/>
    <n v="40"/>
    <n v="40"/>
    <n v="14.51"/>
    <n v="360"/>
    <n v="130.59"/>
    <n v="229.41"/>
    <n v="0.63724999999999998"/>
    <s v="C0182"/>
    <x v="57"/>
    <x v="57"/>
    <x v="1"/>
    <x v="2"/>
  </r>
  <r>
    <x v="878"/>
    <x v="302"/>
    <x v="10"/>
    <x v="10"/>
    <d v="1905-07-16T00:00:00"/>
    <s v="REUsABle bAMboO uTeNSIL sEt"/>
    <s v="Reusable Bamboo Utensil Set"/>
    <x v="3"/>
    <s v="KITCHENWARE"/>
    <n v="9"/>
    <n v="15"/>
    <n v="15"/>
    <n v="4.51"/>
    <n v="135"/>
    <n v="40.589999999999996"/>
    <n v="94.41"/>
    <n v="0.69933333333333336"/>
    <s v="C0057"/>
    <x v="54"/>
    <x v="54"/>
    <x v="3"/>
    <x v="6"/>
  </r>
  <r>
    <x v="879"/>
    <x v="302"/>
    <x v="10"/>
    <x v="10"/>
    <d v="1905-07-16T00:00:00"/>
    <s v="SoLAR leD lAnTern"/>
    <s v="Solar Led Lantern"/>
    <x v="2"/>
    <s v="LIGHTING"/>
    <n v="8"/>
    <n v="40"/>
    <n v="40"/>
    <n v="14.12"/>
    <n v="320"/>
    <n v="112.96"/>
    <n v="207.04000000000002"/>
    <n v="0.64700000000000002"/>
    <s v="C0188"/>
    <x v="30"/>
    <x v="30"/>
    <x v="1"/>
    <x v="6"/>
  </r>
  <r>
    <x v="880"/>
    <x v="302"/>
    <x v="10"/>
    <x v="10"/>
    <d v="1905-07-16T00:00:00"/>
    <s v="SoLAR leD lAnTern"/>
    <s v="Solar Led Lantern"/>
    <x v="2"/>
    <s v="LIGHTING"/>
    <n v="1"/>
    <n v="40"/>
    <n v="40"/>
    <n v="9.23"/>
    <n v="40"/>
    <n v="9.23"/>
    <n v="30.77"/>
    <n v="0.76924999999999999"/>
    <s v="C0036"/>
    <x v="93"/>
    <x v="93"/>
    <x v="0"/>
    <x v="0"/>
  </r>
  <r>
    <x v="881"/>
    <x v="303"/>
    <x v="10"/>
    <x v="10"/>
    <d v="1905-07-16T00:00:00"/>
    <s v="COMpOsTaBLe PlAnT POts"/>
    <s v="Compostable Plant Pots"/>
    <x v="4"/>
    <s v="GARDENING"/>
    <n v="3"/>
    <n v="12"/>
    <n v="12"/>
    <n v="3.16"/>
    <n v="36"/>
    <n v="9.48"/>
    <n v="26.52"/>
    <n v="0.73666666666666669"/>
    <s v="C0017"/>
    <x v="17"/>
    <x v="17"/>
    <x v="1"/>
    <x v="9"/>
  </r>
  <r>
    <x v="882"/>
    <x v="303"/>
    <x v="10"/>
    <x v="10"/>
    <d v="1905-07-16T00:00:00"/>
    <s v="ecO CANVAS TOTe Bag"/>
    <s v="Eco Canvas Tote Bag"/>
    <x v="1"/>
    <s v="BAGS"/>
    <n v="8"/>
    <n v="25"/>
    <n v="25"/>
    <n v="9.1199999999999992"/>
    <n v="200"/>
    <n v="72.959999999999994"/>
    <n v="127.04"/>
    <n v="0.63519999999999999"/>
    <s v="C0119"/>
    <x v="21"/>
    <x v="21"/>
    <x v="1"/>
    <x v="2"/>
  </r>
  <r>
    <x v="883"/>
    <x v="304"/>
    <x v="10"/>
    <x v="10"/>
    <d v="1905-07-16T00:00:00"/>
    <s v="SoLAR leD lAnTern"/>
    <s v="Solar Led Lantern"/>
    <x v="2"/>
    <s v="LIGHTING"/>
    <n v="6"/>
    <n v="40"/>
    <n v="40"/>
    <n v="13.56"/>
    <n v="240"/>
    <n v="81.36"/>
    <n v="158.63999999999999"/>
    <n v="0.66099999999999992"/>
    <s v="C0011"/>
    <x v="50"/>
    <x v="50"/>
    <x v="1"/>
    <x v="5"/>
  </r>
  <r>
    <x v="884"/>
    <x v="305"/>
    <x v="10"/>
    <x v="10"/>
    <d v="1905-07-16T00:00:00"/>
    <s v="SoLAR leD lAnTern"/>
    <s v="Solar Led Lantern"/>
    <x v="2"/>
    <s v="LIGHTING"/>
    <n v="6"/>
    <n v="40"/>
    <n v="40"/>
    <n v="9.3699999999999992"/>
    <n v="240"/>
    <n v="56.22"/>
    <n v="183.78"/>
    <n v="0.76575000000000004"/>
    <s v="C0089"/>
    <x v="115"/>
    <x v="115"/>
    <x v="1"/>
    <x v="4"/>
  </r>
  <r>
    <x v="885"/>
    <x v="305"/>
    <x v="10"/>
    <x v="10"/>
    <d v="1905-07-16T00:00:00"/>
    <s v="ecO CANVAS TOTe Bag"/>
    <s v="Eco Canvas Tote Bag"/>
    <x v="1"/>
    <s v="BAGS"/>
    <n v="4"/>
    <n v="25"/>
    <n v="25"/>
    <n v="7.64"/>
    <n v="100"/>
    <n v="30.56"/>
    <n v="69.44"/>
    <n v="0.69440000000000002"/>
    <s v="C0131"/>
    <x v="69"/>
    <x v="69"/>
    <x v="2"/>
    <x v="5"/>
  </r>
  <r>
    <x v="886"/>
    <x v="306"/>
    <x v="10"/>
    <x v="10"/>
    <d v="1905-07-16T00:00:00"/>
    <s v="ecO CANVAS TOTe Bag"/>
    <s v="Eco Canvas Tote Bag"/>
    <x v="1"/>
    <s v="BAGS"/>
    <n v="9"/>
    <n v="25"/>
    <n v="25"/>
    <n v="6.72"/>
    <n v="225"/>
    <n v="60.48"/>
    <n v="164.52"/>
    <n v="0.73120000000000007"/>
    <s v="C0139"/>
    <x v="47"/>
    <x v="47"/>
    <x v="1"/>
    <x v="9"/>
  </r>
  <r>
    <x v="887"/>
    <x v="306"/>
    <x v="10"/>
    <x v="10"/>
    <d v="1905-07-16T00:00:00"/>
    <s v="COMpOsTaBLe PlAnT POts"/>
    <s v="Compostable Plant Pots"/>
    <x v="4"/>
    <s v="GARDENING"/>
    <n v="6"/>
    <n v="12"/>
    <n v="12"/>
    <n v="4.53"/>
    <n v="72"/>
    <n v="27.18"/>
    <n v="44.82"/>
    <n v="0.62250000000000005"/>
    <s v="C0045"/>
    <x v="51"/>
    <x v="51"/>
    <x v="1"/>
    <x v="5"/>
  </r>
  <r>
    <x v="888"/>
    <x v="306"/>
    <x v="10"/>
    <x v="10"/>
    <d v="1905-07-16T00:00:00"/>
    <s v="ecO CANVAS TOTe Bag"/>
    <s v="Eco Canvas Tote Bag"/>
    <x v="1"/>
    <s v="BAGS"/>
    <n v="2"/>
    <n v="25"/>
    <n v="25"/>
    <n v="8.14"/>
    <n v="50"/>
    <n v="16.28"/>
    <n v="33.72"/>
    <n v="0.6744"/>
    <s v="C0184"/>
    <x v="11"/>
    <x v="11"/>
    <x v="0"/>
    <x v="9"/>
  </r>
  <r>
    <x v="889"/>
    <x v="307"/>
    <x v="10"/>
    <x v="10"/>
    <d v="1905-07-16T00:00:00"/>
    <s v="REUsABle bAMboO uTeNSIL sEt"/>
    <s v="Reusable Bamboo Utensil Set"/>
    <x v="3"/>
    <s v="KITCHENWARE"/>
    <n v="2"/>
    <n v="15"/>
    <n v="15"/>
    <n v="5.3"/>
    <n v="30"/>
    <n v="10.6"/>
    <n v="19.399999999999999"/>
    <n v="0.64666666666666661"/>
    <s v="C0066"/>
    <x v="41"/>
    <x v="41"/>
    <x v="1"/>
    <x v="7"/>
  </r>
  <r>
    <x v="890"/>
    <x v="307"/>
    <x v="10"/>
    <x v="10"/>
    <d v="1905-07-16T00:00:00"/>
    <s v="COMpOsTaBLe PlAnT POts"/>
    <s v="Compostable Plant Pots"/>
    <x v="4"/>
    <s v="GARDENING"/>
    <n v="10"/>
    <n v="12"/>
    <n v="12"/>
    <n v="2.4500000000000002"/>
    <n v="120"/>
    <n v="24.5"/>
    <n v="95.5"/>
    <n v="0.79583333333333328"/>
    <s v="C0024"/>
    <x v="104"/>
    <x v="104"/>
    <x v="1"/>
    <x v="8"/>
  </r>
  <r>
    <x v="891"/>
    <x v="307"/>
    <x v="10"/>
    <x v="10"/>
    <d v="1905-07-16T00:00:00"/>
    <s v="SoLAR leD lAnTern"/>
    <s v="Solar Led Lantern"/>
    <x v="2"/>
    <s v="LIGHTING"/>
    <n v="1"/>
    <n v="40"/>
    <n v="40"/>
    <n v="8.51"/>
    <n v="40"/>
    <n v="8.51"/>
    <n v="31.490000000000002"/>
    <n v="0.78725000000000001"/>
    <s v="C0077"/>
    <x v="39"/>
    <x v="39"/>
    <x v="3"/>
    <x v="2"/>
  </r>
  <r>
    <x v="892"/>
    <x v="307"/>
    <x v="10"/>
    <x v="10"/>
    <d v="1905-07-16T00:00:00"/>
    <s v="ecO CANVAS TOTe Bag"/>
    <s v="Eco Canvas Tote Bag"/>
    <x v="1"/>
    <s v="BAGS"/>
    <n v="3"/>
    <n v="25"/>
    <n v="25"/>
    <n v="5.0999999999999996"/>
    <n v="75"/>
    <n v="15.299999999999999"/>
    <n v="59.7"/>
    <n v="0.79600000000000004"/>
    <s v="C0191"/>
    <x v="17"/>
    <x v="17"/>
    <x v="0"/>
    <x v="1"/>
  </r>
  <r>
    <x v="893"/>
    <x v="307"/>
    <x v="10"/>
    <x v="10"/>
    <d v="1905-07-16T00:00:00"/>
    <s v="bIOdegradABlE cLEaNINg cLoTH"/>
    <s v="Biodegradable Cleaning Cloth"/>
    <x v="0"/>
    <s v="CLEANING"/>
    <n v="9"/>
    <n v="10"/>
    <n v="10"/>
    <n v="2.68"/>
    <n v="90"/>
    <n v="24.12"/>
    <n v="65.88"/>
    <n v="0.73199999999999998"/>
    <s v="C0160"/>
    <x v="19"/>
    <x v="19"/>
    <x v="3"/>
    <x v="1"/>
  </r>
  <r>
    <x v="894"/>
    <x v="307"/>
    <x v="10"/>
    <x v="10"/>
    <d v="1905-07-16T00:00:00"/>
    <s v="bIOdegradABlE cLEaNINg cLoTH"/>
    <s v="Biodegradable Cleaning Cloth"/>
    <x v="0"/>
    <s v="CLEANING"/>
    <n v="10"/>
    <n v="10"/>
    <n v="10"/>
    <n v="3.4"/>
    <n v="100"/>
    <n v="34"/>
    <n v="66"/>
    <n v="0.66"/>
    <s v="C0124"/>
    <x v="15"/>
    <x v="15"/>
    <x v="0"/>
    <x v="4"/>
  </r>
  <r>
    <x v="895"/>
    <x v="308"/>
    <x v="10"/>
    <x v="10"/>
    <d v="1905-07-16T00:00:00"/>
    <s v="bIOdegradABlE cLEaNINg cLoTH"/>
    <s v="Biodegradable Cleaning Cloth"/>
    <x v="0"/>
    <s v="CLEANING"/>
    <n v="1"/>
    <n v="10"/>
    <n v="10"/>
    <n v="3.72"/>
    <n v="10"/>
    <n v="3.72"/>
    <n v="6.2799999999999994"/>
    <n v="0.62799999999999989"/>
    <s v="C0022"/>
    <x v="32"/>
    <x v="32"/>
    <x v="0"/>
    <x v="2"/>
  </r>
  <r>
    <x v="896"/>
    <x v="309"/>
    <x v="10"/>
    <x v="10"/>
    <d v="1905-07-16T00:00:00"/>
    <s v="ecO CANVAS TOTe Bag"/>
    <s v="Eco Canvas Tote Bag"/>
    <x v="1"/>
    <s v="BAGS"/>
    <n v="10"/>
    <n v="25"/>
    <n v="25"/>
    <n v="9.86"/>
    <n v="250"/>
    <n v="98.6"/>
    <n v="151.4"/>
    <n v="0.60560000000000003"/>
    <s v="C0001"/>
    <x v="92"/>
    <x v="92"/>
    <x v="3"/>
    <x v="8"/>
  </r>
  <r>
    <x v="897"/>
    <x v="310"/>
    <x v="10"/>
    <x v="10"/>
    <d v="1905-07-16T00:00:00"/>
    <s v="COMpOsTaBLe PlAnT POts"/>
    <s v="Compostable Plant Pots"/>
    <x v="4"/>
    <s v="GARDENING"/>
    <n v="2"/>
    <n v="12"/>
    <n v="12"/>
    <n v="4.3899999999999997"/>
    <n v="24"/>
    <n v="8.7799999999999994"/>
    <n v="15.22"/>
    <n v="0.63416666666666666"/>
    <s v="C0162"/>
    <x v="4"/>
    <x v="4"/>
    <x v="1"/>
    <x v="8"/>
  </r>
  <r>
    <x v="898"/>
    <x v="311"/>
    <x v="10"/>
    <x v="10"/>
    <d v="1905-07-16T00:00:00"/>
    <s v="REUsABle bAMboO uTeNSIL sEt"/>
    <s v="Reusable Bamboo Utensil Set"/>
    <x v="3"/>
    <s v="KITCHENWARE"/>
    <n v="1"/>
    <n v="15"/>
    <n v="15"/>
    <n v="3.55"/>
    <n v="15"/>
    <n v="3.55"/>
    <n v="11.45"/>
    <n v="0.76333333333333331"/>
    <s v="C0196"/>
    <x v="42"/>
    <x v="42"/>
    <x v="1"/>
    <x v="2"/>
  </r>
  <r>
    <x v="899"/>
    <x v="311"/>
    <x v="10"/>
    <x v="10"/>
    <d v="1905-07-16T00:00:00"/>
    <s v="REUsABle bAMboO uTeNSIL sEt"/>
    <s v="Reusable Bamboo Utensil Set"/>
    <x v="3"/>
    <s v="KITCHENWARE"/>
    <n v="7"/>
    <n v="15"/>
    <n v="15"/>
    <n v="4.03"/>
    <n v="105"/>
    <n v="28.21"/>
    <n v="76.789999999999992"/>
    <n v="0.73133333333333328"/>
    <s v="C0136"/>
    <x v="90"/>
    <x v="90"/>
    <x v="1"/>
    <x v="9"/>
  </r>
  <r>
    <x v="900"/>
    <x v="312"/>
    <x v="10"/>
    <x v="10"/>
    <d v="1905-07-16T00:00:00"/>
    <s v="ecO CANVAS TOTe Bag"/>
    <s v="Eco Canvas Tote Bag"/>
    <x v="1"/>
    <s v="BAGS"/>
    <n v="1"/>
    <n v="25"/>
    <n v="25"/>
    <n v="9.8800000000000008"/>
    <n v="25"/>
    <n v="9.8800000000000008"/>
    <n v="15.12"/>
    <n v="0.6048"/>
    <s v="C0036"/>
    <x v="93"/>
    <x v="93"/>
    <x v="1"/>
    <x v="2"/>
  </r>
  <r>
    <x v="901"/>
    <x v="312"/>
    <x v="10"/>
    <x v="10"/>
    <d v="1905-07-16T00:00:00"/>
    <s v="ecO CANVAS TOTe Bag"/>
    <s v="Eco Canvas Tote Bag"/>
    <x v="1"/>
    <s v="BAGS"/>
    <n v="8"/>
    <n v="25"/>
    <n v="25"/>
    <n v="6.58"/>
    <n v="200"/>
    <n v="52.64"/>
    <n v="147.36000000000001"/>
    <n v="0.73680000000000012"/>
    <s v="C0014"/>
    <x v="18"/>
    <x v="18"/>
    <x v="1"/>
    <x v="8"/>
  </r>
  <r>
    <x v="902"/>
    <x v="312"/>
    <x v="10"/>
    <x v="10"/>
    <d v="1905-07-16T00:00:00"/>
    <s v="ecO CANVAS TOTe Bag"/>
    <s v="Eco Canvas Tote Bag"/>
    <x v="1"/>
    <s v="BAGS"/>
    <n v="8"/>
    <n v="25"/>
    <n v="25"/>
    <n v="6.56"/>
    <n v="200"/>
    <n v="52.48"/>
    <n v="147.52000000000001"/>
    <n v="0.73760000000000003"/>
    <s v="C0011"/>
    <x v="50"/>
    <x v="50"/>
    <x v="0"/>
    <x v="1"/>
  </r>
  <r>
    <x v="903"/>
    <x v="313"/>
    <x v="10"/>
    <x v="10"/>
    <d v="1905-07-16T00:00:00"/>
    <s v="bIOdegradABlE cLEaNINg cLoTH"/>
    <s v="Biodegradable Cleaning Cloth"/>
    <x v="0"/>
    <s v="CLEANING"/>
    <n v="9"/>
    <n v="10"/>
    <n v="10"/>
    <n v="2.66"/>
    <n v="90"/>
    <n v="23.94"/>
    <n v="66.06"/>
    <n v="0.73399999999999999"/>
    <s v="C0154"/>
    <x v="81"/>
    <x v="81"/>
    <x v="0"/>
    <x v="2"/>
  </r>
  <r>
    <x v="904"/>
    <x v="314"/>
    <x v="10"/>
    <x v="10"/>
    <d v="1905-07-16T00:00:00"/>
    <s v="SoLAR leD lAnTern"/>
    <s v="Solar Led Lantern"/>
    <x v="2"/>
    <s v="LIGHTING"/>
    <n v="1"/>
    <n v="40"/>
    <n v="40"/>
    <n v="10.130000000000001"/>
    <n v="40"/>
    <n v="10.130000000000001"/>
    <n v="29.869999999999997"/>
    <n v="0.74674999999999991"/>
    <s v="C0180"/>
    <x v="83"/>
    <x v="83"/>
    <x v="1"/>
    <x v="4"/>
  </r>
  <r>
    <x v="905"/>
    <x v="314"/>
    <x v="10"/>
    <x v="10"/>
    <d v="1905-07-16T00:00:00"/>
    <s v="REUsABle bAMboO uTeNSIL sEt"/>
    <s v="Reusable Bamboo Utensil Set"/>
    <x v="3"/>
    <s v="KITCHENWARE"/>
    <n v="2"/>
    <n v="15"/>
    <n v="15"/>
    <n v="3.3"/>
    <n v="30"/>
    <n v="6.6"/>
    <n v="23.4"/>
    <n v="0.77999999999999992"/>
    <s v="C0044"/>
    <x v="78"/>
    <x v="78"/>
    <x v="0"/>
    <x v="5"/>
  </r>
  <r>
    <x v="906"/>
    <x v="314"/>
    <x v="10"/>
    <x v="10"/>
    <d v="1905-07-16T00:00:00"/>
    <s v="REUsABle bAMboO uTeNSIL sEt"/>
    <s v="Reusable Bamboo Utensil Set"/>
    <x v="3"/>
    <s v="KITCHENWARE"/>
    <n v="6"/>
    <n v="15"/>
    <n v="15"/>
    <n v="5.45"/>
    <n v="90"/>
    <n v="32.700000000000003"/>
    <n v="57.3"/>
    <n v="0.6366666666666666"/>
    <s v="C0161"/>
    <x v="18"/>
    <x v="18"/>
    <x v="0"/>
    <x v="3"/>
  </r>
  <r>
    <x v="907"/>
    <x v="314"/>
    <x v="10"/>
    <x v="10"/>
    <d v="1905-07-16T00:00:00"/>
    <s v="SoLAR leD lAnTern"/>
    <s v="Solar Led Lantern"/>
    <x v="2"/>
    <s v="LIGHTING"/>
    <n v="2"/>
    <n v="40"/>
    <n v="40"/>
    <n v="12.19"/>
    <n v="80"/>
    <n v="24.38"/>
    <n v="55.620000000000005"/>
    <n v="0.69525000000000003"/>
    <s v="C0198"/>
    <x v="109"/>
    <x v="109"/>
    <x v="1"/>
    <x v="8"/>
  </r>
  <r>
    <x v="908"/>
    <x v="314"/>
    <x v="10"/>
    <x v="10"/>
    <d v="1905-07-16T00:00:00"/>
    <s v="ecO CANVAS TOTe Bag"/>
    <s v="Eco Canvas Tote Bag"/>
    <x v="1"/>
    <s v="BAGS"/>
    <n v="2"/>
    <n v="25"/>
    <n v="25"/>
    <n v="6.17"/>
    <n v="50"/>
    <n v="12.34"/>
    <n v="37.659999999999997"/>
    <n v="0.75319999999999998"/>
    <s v="C0149"/>
    <x v="10"/>
    <x v="10"/>
    <x v="1"/>
    <x v="6"/>
  </r>
  <r>
    <x v="909"/>
    <x v="314"/>
    <x v="10"/>
    <x v="10"/>
    <d v="1905-07-16T00:00:00"/>
    <s v="ecO CANVAS TOTe Bag"/>
    <s v="Eco Canvas Tote Bag"/>
    <x v="1"/>
    <s v="BAGS"/>
    <n v="9"/>
    <n v="25"/>
    <n v="25"/>
    <n v="6.35"/>
    <n v="225"/>
    <n v="57.15"/>
    <n v="167.85"/>
    <n v="0.746"/>
    <s v="C0172"/>
    <x v="103"/>
    <x v="103"/>
    <x v="2"/>
    <x v="9"/>
  </r>
  <r>
    <x v="910"/>
    <x v="315"/>
    <x v="10"/>
    <x v="10"/>
    <d v="1905-07-16T00:00:00"/>
    <s v="REUsABle bAMboO uTeNSIL sEt"/>
    <s v="Reusable Bamboo Utensil Set"/>
    <x v="3"/>
    <s v="KITCHENWARE"/>
    <n v="2"/>
    <m/>
    <n v="15"/>
    <n v="4.1500000000000004"/>
    <n v="30"/>
    <n v="8.3000000000000007"/>
    <n v="21.7"/>
    <n v="0.72333333333333327"/>
    <s v="C0109"/>
    <x v="74"/>
    <x v="74"/>
    <x v="0"/>
    <x v="3"/>
  </r>
  <r>
    <x v="911"/>
    <x v="315"/>
    <x v="10"/>
    <x v="10"/>
    <d v="1905-07-16T00:00:00"/>
    <s v="ecO CANVAS TOTe Bag"/>
    <s v="Eco Canvas Tote Bag"/>
    <x v="1"/>
    <s v="BAGS"/>
    <n v="3"/>
    <n v="25"/>
    <n v="25"/>
    <n v="9.27"/>
    <n v="75"/>
    <n v="27.81"/>
    <n v="47.19"/>
    <n v="0.62919999999999998"/>
    <s v="C0001"/>
    <x v="92"/>
    <x v="92"/>
    <x v="2"/>
    <x v="2"/>
  </r>
  <r>
    <x v="912"/>
    <x v="315"/>
    <x v="10"/>
    <x v="10"/>
    <d v="1905-07-16T00:00:00"/>
    <s v="COMpOsTaBLe PlAnT POts"/>
    <s v="Compostable Plant Pots"/>
    <x v="4"/>
    <s v="GARDENING"/>
    <n v="4"/>
    <n v="12"/>
    <n v="12"/>
    <n v="4.3899999999999997"/>
    <n v="48"/>
    <n v="17.559999999999999"/>
    <n v="30.44"/>
    <n v="0.63416666666666666"/>
    <s v="C0004"/>
    <x v="94"/>
    <x v="94"/>
    <x v="1"/>
    <x v="7"/>
  </r>
  <r>
    <x v="913"/>
    <x v="315"/>
    <x v="10"/>
    <x v="10"/>
    <d v="1905-07-16T00:00:00"/>
    <s v="ecO CANVAS TOTe Bag"/>
    <s v="Eco Canvas Tote Bag"/>
    <x v="1"/>
    <s v="BAGS"/>
    <n v="10"/>
    <n v="25"/>
    <n v="25"/>
    <n v="9.83"/>
    <n v="250"/>
    <n v="98.3"/>
    <n v="151.69999999999999"/>
    <n v="0.60680000000000001"/>
    <s v="C0175"/>
    <x v="79"/>
    <x v="79"/>
    <x v="0"/>
    <x v="2"/>
  </r>
  <r>
    <x v="914"/>
    <x v="315"/>
    <x v="10"/>
    <x v="10"/>
    <d v="1905-07-16T00:00:00"/>
    <s v="COMpOsTaBLe PlAnT POts"/>
    <s v="Compostable Plant Pots"/>
    <x v="4"/>
    <s v="GARDENING"/>
    <n v="2"/>
    <n v="12"/>
    <n v="12"/>
    <n v="3.46"/>
    <n v="24"/>
    <n v="6.92"/>
    <n v="17.079999999999998"/>
    <n v="0.71166666666666656"/>
    <s v="C0139"/>
    <x v="47"/>
    <x v="47"/>
    <x v="0"/>
    <x v="4"/>
  </r>
  <r>
    <x v="915"/>
    <x v="316"/>
    <x v="10"/>
    <x v="10"/>
    <d v="1905-07-16T00:00:00"/>
    <s v="ecO CANVAS TOTe Bag"/>
    <s v="Eco Canvas Tote Bag"/>
    <x v="1"/>
    <s v="BAGS"/>
    <n v="2"/>
    <n v="25"/>
    <n v="25"/>
    <n v="7.66"/>
    <n v="50"/>
    <n v="15.32"/>
    <n v="34.68"/>
    <n v="0.69359999999999999"/>
    <s v="C0176"/>
    <x v="9"/>
    <x v="9"/>
    <x v="1"/>
    <x v="2"/>
  </r>
  <r>
    <x v="916"/>
    <x v="317"/>
    <x v="10"/>
    <x v="10"/>
    <d v="1905-07-16T00:00:00"/>
    <s v="bIOdegradABlE cLEaNINg cLoTH"/>
    <s v="Biodegradable Cleaning Cloth"/>
    <x v="0"/>
    <s v="CLEANING"/>
    <n v="10"/>
    <n v="10"/>
    <n v="10"/>
    <n v="2.0299999999999998"/>
    <n v="100"/>
    <n v="20.299999999999997"/>
    <n v="79.7"/>
    <n v="0.79700000000000004"/>
    <s v="C0025"/>
    <x v="58"/>
    <x v="58"/>
    <x v="0"/>
    <x v="8"/>
  </r>
  <r>
    <x v="917"/>
    <x v="317"/>
    <x v="10"/>
    <x v="10"/>
    <d v="1905-07-16T00:00:00"/>
    <s v="bIOdegradABlE cLEaNINg cLoTH"/>
    <s v="Biodegradable Cleaning Cloth"/>
    <x v="0"/>
    <s v="CLEANING"/>
    <n v="10"/>
    <n v="10"/>
    <n v="10"/>
    <n v="3.83"/>
    <n v="100"/>
    <n v="38.299999999999997"/>
    <n v="61.7"/>
    <n v="0.61699999999999999"/>
    <s v="C0068"/>
    <x v="96"/>
    <x v="96"/>
    <x v="2"/>
    <x v="2"/>
  </r>
  <r>
    <x v="918"/>
    <x v="317"/>
    <x v="10"/>
    <x v="10"/>
    <d v="1905-07-16T00:00:00"/>
    <s v="ecO CANVAS TOTe Bag"/>
    <s v="Eco Canvas Tote Bag"/>
    <x v="1"/>
    <s v="BAGS"/>
    <n v="2"/>
    <n v="25"/>
    <n v="25"/>
    <n v="7.63"/>
    <n v="50"/>
    <n v="15.26"/>
    <n v="34.74"/>
    <n v="0.69480000000000008"/>
    <s v="C0156"/>
    <x v="18"/>
    <x v="18"/>
    <x v="3"/>
    <x v="8"/>
  </r>
  <r>
    <x v="919"/>
    <x v="317"/>
    <x v="10"/>
    <x v="10"/>
    <d v="1905-07-16T00:00:00"/>
    <s v="REUsABle bAMboO uTeNSIL sEt"/>
    <s v="Reusable Bamboo Utensil Set"/>
    <x v="3"/>
    <s v="KITCHENWARE"/>
    <n v="4"/>
    <n v="15"/>
    <n v="15"/>
    <n v="4.93"/>
    <n v="60"/>
    <n v="19.72"/>
    <n v="40.28"/>
    <n v="0.67133333333333334"/>
    <s v="C0167"/>
    <x v="23"/>
    <x v="23"/>
    <x v="1"/>
    <x v="7"/>
  </r>
  <r>
    <x v="920"/>
    <x v="318"/>
    <x v="11"/>
    <x v="11"/>
    <d v="1905-07-16T00:00:00"/>
    <s v="ecO CANVAS TOTe Bag"/>
    <s v="Eco Canvas Tote Bag"/>
    <x v="1"/>
    <s v="BAGS"/>
    <n v="8"/>
    <n v="25"/>
    <n v="25"/>
    <n v="7.07"/>
    <n v="200"/>
    <n v="56.56"/>
    <n v="143.44"/>
    <n v="0.71719999999999995"/>
    <s v="C0163"/>
    <x v="95"/>
    <x v="95"/>
    <x v="1"/>
    <x v="3"/>
  </r>
  <r>
    <x v="921"/>
    <x v="318"/>
    <x v="11"/>
    <x v="11"/>
    <d v="1905-07-16T00:00:00"/>
    <s v="COMpOsTaBLe PlAnT POts"/>
    <s v="Compostable Plant Pots"/>
    <x v="4"/>
    <s v="GARDENING"/>
    <n v="9"/>
    <n v="12"/>
    <n v="12"/>
    <n v="2.78"/>
    <n v="108"/>
    <n v="25.02"/>
    <n v="82.98"/>
    <n v="0.76833333333333342"/>
    <s v="C0119"/>
    <x v="21"/>
    <x v="21"/>
    <x v="0"/>
    <x v="4"/>
  </r>
  <r>
    <x v="922"/>
    <x v="318"/>
    <x v="11"/>
    <x v="11"/>
    <d v="1905-07-16T00:00:00"/>
    <s v="SoLAR leD lAnTern"/>
    <s v="Solar Led Lantern"/>
    <x v="2"/>
    <s v="LIGHTING"/>
    <n v="3"/>
    <n v="40"/>
    <n v="40"/>
    <n v="15.33"/>
    <n v="120"/>
    <n v="45.99"/>
    <n v="74.009999999999991"/>
    <n v="0.61674999999999991"/>
    <s v="C0155"/>
    <x v="89"/>
    <x v="89"/>
    <x v="1"/>
    <x v="0"/>
  </r>
  <r>
    <x v="923"/>
    <x v="319"/>
    <x v="11"/>
    <x v="11"/>
    <d v="1905-07-16T00:00:00"/>
    <s v="COMpOsTaBLe PlAnT POts"/>
    <s v="Compostable Plant Pots"/>
    <x v="4"/>
    <s v="GARDENING"/>
    <n v="1"/>
    <n v="12"/>
    <n v="12"/>
    <n v="4.46"/>
    <n v="12"/>
    <n v="4.46"/>
    <n v="7.54"/>
    <n v="0.6283333333333333"/>
    <s v="C0114"/>
    <x v="5"/>
    <x v="5"/>
    <x v="0"/>
    <x v="4"/>
  </r>
  <r>
    <x v="924"/>
    <x v="320"/>
    <x v="11"/>
    <x v="11"/>
    <d v="1905-07-16T00:00:00"/>
    <s v="REUsABle bAMboO uTeNSIL sEt"/>
    <s v="Reusable Bamboo Utensil Set"/>
    <x v="3"/>
    <s v="KITCHENWARE"/>
    <n v="10"/>
    <n v="15"/>
    <n v="15"/>
    <n v="3.12"/>
    <n v="150"/>
    <n v="31.200000000000003"/>
    <n v="118.8"/>
    <n v="0.79199999999999993"/>
    <s v="C0019"/>
    <x v="118"/>
    <x v="118"/>
    <x v="1"/>
    <x v="2"/>
  </r>
  <r>
    <x v="925"/>
    <x v="320"/>
    <x v="11"/>
    <x v="11"/>
    <d v="1905-07-16T00:00:00"/>
    <s v="ecO CANVAS TOTe Bag"/>
    <s v="Eco Canvas Tote Bag"/>
    <x v="1"/>
    <s v="BAGS"/>
    <n v="5"/>
    <n v="25"/>
    <n v="25"/>
    <n v="5.22"/>
    <n v="125"/>
    <n v="26.099999999999998"/>
    <n v="98.9"/>
    <n v="0.79120000000000001"/>
    <s v="C0007"/>
    <x v="65"/>
    <x v="65"/>
    <x v="3"/>
    <x v="8"/>
  </r>
  <r>
    <x v="926"/>
    <x v="321"/>
    <x v="11"/>
    <x v="11"/>
    <d v="1905-07-16T00:00:00"/>
    <s v="ecO CANVAS TOTe Bag"/>
    <s v="Eco Canvas Tote Bag"/>
    <x v="1"/>
    <s v="BAGS"/>
    <n v="2"/>
    <n v="25"/>
    <n v="25"/>
    <n v="7.12"/>
    <n v="50"/>
    <n v="14.24"/>
    <n v="35.76"/>
    <n v="0.71519999999999995"/>
    <s v="C0107"/>
    <x v="56"/>
    <x v="56"/>
    <x v="3"/>
    <x v="1"/>
  </r>
  <r>
    <x v="927"/>
    <x v="322"/>
    <x v="11"/>
    <x v="11"/>
    <d v="1905-07-16T00:00:00"/>
    <s v="COMpOsTaBLe PlAnT POts"/>
    <s v="Compostable Plant Pots"/>
    <x v="4"/>
    <s v="GARDENING"/>
    <n v="4"/>
    <m/>
    <n v="12"/>
    <n v="4.01"/>
    <n v="48"/>
    <n v="16.04"/>
    <n v="31.96"/>
    <n v="0.66583333333333339"/>
    <s v="C0029"/>
    <x v="124"/>
    <x v="124"/>
    <x v="1"/>
    <x v="8"/>
  </r>
  <r>
    <x v="928"/>
    <x v="322"/>
    <x v="11"/>
    <x v="11"/>
    <d v="1905-07-16T00:00:00"/>
    <s v="SoLAR leD lAnTern"/>
    <s v="Solar Led Lantern"/>
    <x v="2"/>
    <s v="LIGHTING"/>
    <n v="8"/>
    <n v="40"/>
    <n v="40"/>
    <n v="8.52"/>
    <n v="320"/>
    <n v="68.16"/>
    <n v="251.84"/>
    <n v="0.78700000000000003"/>
    <s v="C0182"/>
    <x v="57"/>
    <x v="57"/>
    <x v="1"/>
    <x v="0"/>
  </r>
  <r>
    <x v="929"/>
    <x v="322"/>
    <x v="11"/>
    <x v="11"/>
    <d v="1905-07-16T00:00:00"/>
    <s v="ecO CANVAS TOTe Bag"/>
    <s v="Eco Canvas Tote Bag"/>
    <x v="1"/>
    <s v="BAGS"/>
    <n v="10"/>
    <n v="25"/>
    <n v="25"/>
    <n v="6.39"/>
    <n v="250"/>
    <n v="63.9"/>
    <n v="186.1"/>
    <n v="0.74439999999999995"/>
    <s v="C0142"/>
    <x v="102"/>
    <x v="102"/>
    <x v="0"/>
    <x v="6"/>
  </r>
  <r>
    <x v="930"/>
    <x v="322"/>
    <x v="11"/>
    <x v="11"/>
    <d v="1905-07-16T00:00:00"/>
    <s v="ecO CANVAS TOTe Bag"/>
    <s v="Eco Canvas Tote Bag"/>
    <x v="1"/>
    <s v="BAGS"/>
    <n v="6"/>
    <n v="25"/>
    <n v="25"/>
    <n v="7.8"/>
    <n v="150"/>
    <n v="46.8"/>
    <n v="103.2"/>
    <n v="0.68800000000000006"/>
    <s v="C0197"/>
    <x v="68"/>
    <x v="68"/>
    <x v="0"/>
    <x v="1"/>
  </r>
  <r>
    <x v="931"/>
    <x v="322"/>
    <x v="11"/>
    <x v="11"/>
    <d v="1905-07-16T00:00:00"/>
    <s v="SoLAR leD lAnTern"/>
    <s v="Solar Led Lantern"/>
    <x v="2"/>
    <s v="LIGHTING"/>
    <n v="4"/>
    <n v="40"/>
    <n v="40"/>
    <n v="8.2899999999999991"/>
    <n v="160"/>
    <n v="33.159999999999997"/>
    <n v="126.84"/>
    <n v="0.79275000000000007"/>
    <s v="C0106"/>
    <x v="7"/>
    <x v="7"/>
    <x v="0"/>
    <x v="4"/>
  </r>
  <r>
    <x v="932"/>
    <x v="323"/>
    <x v="11"/>
    <x v="11"/>
    <d v="1905-07-16T00:00:00"/>
    <s v="bIOdegradABlE cLEaNINg cLoTH"/>
    <s v="Biodegradable Cleaning Cloth"/>
    <x v="0"/>
    <s v="CLEANING"/>
    <n v="10"/>
    <n v="10"/>
    <n v="10"/>
    <n v="3.14"/>
    <n v="100"/>
    <n v="31.400000000000002"/>
    <n v="68.599999999999994"/>
    <n v="0.68599999999999994"/>
    <s v="C0121"/>
    <x v="44"/>
    <x v="44"/>
    <x v="1"/>
    <x v="7"/>
  </r>
  <r>
    <x v="933"/>
    <x v="323"/>
    <x v="11"/>
    <x v="11"/>
    <d v="1905-07-16T00:00:00"/>
    <s v="ecO CANVAS TOTe Bag"/>
    <s v="Eco Canvas Tote Bag"/>
    <x v="1"/>
    <s v="BAGS"/>
    <n v="3"/>
    <n v="25"/>
    <n v="25"/>
    <n v="8.4700000000000006"/>
    <n v="75"/>
    <n v="25.410000000000004"/>
    <n v="49.589999999999996"/>
    <n v="0.6611999999999999"/>
    <s v="C0079"/>
    <x v="100"/>
    <x v="100"/>
    <x v="0"/>
    <x v="4"/>
  </r>
  <r>
    <x v="934"/>
    <x v="323"/>
    <x v="11"/>
    <x v="11"/>
    <d v="1905-07-16T00:00:00"/>
    <s v="SoLAR leD lAnTern"/>
    <s v="Solar Led Lantern"/>
    <x v="2"/>
    <s v="LIGHTING"/>
    <n v="9"/>
    <n v="40"/>
    <n v="40"/>
    <n v="14.84"/>
    <n v="360"/>
    <n v="133.56"/>
    <n v="226.44"/>
    <n v="0.629"/>
    <s v="C0190"/>
    <x v="39"/>
    <x v="39"/>
    <x v="1"/>
    <x v="0"/>
  </r>
  <r>
    <x v="935"/>
    <x v="324"/>
    <x v="11"/>
    <x v="11"/>
    <d v="1905-07-16T00:00:00"/>
    <s v="bIOdegradABlE cLEaNINg cLoTH"/>
    <s v="Biodegradable Cleaning Cloth"/>
    <x v="0"/>
    <s v="CLEANING"/>
    <n v="6"/>
    <n v="10"/>
    <n v="10"/>
    <n v="3.49"/>
    <n v="60"/>
    <n v="20.94"/>
    <n v="39.06"/>
    <n v="0.65100000000000002"/>
    <s v="C0057"/>
    <x v="54"/>
    <x v="54"/>
    <x v="1"/>
    <x v="7"/>
  </r>
  <r>
    <x v="936"/>
    <x v="324"/>
    <x v="11"/>
    <x v="11"/>
    <d v="1905-07-16T00:00:00"/>
    <s v="REUsABle bAMboO uTeNSIL sEt"/>
    <s v="Reusable Bamboo Utensil Set"/>
    <x v="3"/>
    <s v="KITCHENWARE"/>
    <n v="2"/>
    <n v="15"/>
    <n v="15"/>
    <n v="5.61"/>
    <n v="30"/>
    <n v="11.22"/>
    <n v="18.78"/>
    <n v="0.626"/>
    <s v="C0033"/>
    <x v="25"/>
    <x v="25"/>
    <x v="1"/>
    <x v="0"/>
  </r>
  <r>
    <x v="937"/>
    <x v="324"/>
    <x v="11"/>
    <x v="11"/>
    <d v="1905-07-16T00:00:00"/>
    <s v="ecO CANVAS TOTe Bag"/>
    <s v="Eco Canvas Tote Bag"/>
    <x v="1"/>
    <s v="BAGS"/>
    <n v="7"/>
    <m/>
    <n v="25"/>
    <n v="7.45"/>
    <n v="175"/>
    <n v="52.15"/>
    <n v="122.85"/>
    <n v="0.70199999999999996"/>
    <s v="C0052"/>
    <x v="6"/>
    <x v="6"/>
    <x v="1"/>
    <x v="1"/>
  </r>
  <r>
    <x v="938"/>
    <x v="325"/>
    <x v="11"/>
    <x v="11"/>
    <d v="1905-07-16T00:00:00"/>
    <s v="SoLAR leD lAnTern"/>
    <s v="Solar Led Lantern"/>
    <x v="2"/>
    <s v="LIGHTING"/>
    <n v="3"/>
    <n v="40"/>
    <n v="40"/>
    <n v="13.88"/>
    <n v="120"/>
    <n v="41.64"/>
    <n v="78.36"/>
    <n v="0.65300000000000002"/>
    <s v="C0143"/>
    <x v="89"/>
    <x v="89"/>
    <x v="1"/>
    <x v="8"/>
  </r>
  <r>
    <x v="939"/>
    <x v="325"/>
    <x v="11"/>
    <x v="11"/>
    <d v="1905-07-16T00:00:00"/>
    <s v="SoLAR leD lAnTern"/>
    <s v="Solar Led Lantern"/>
    <x v="2"/>
    <s v="LIGHTING"/>
    <n v="10"/>
    <n v="40"/>
    <n v="40"/>
    <n v="10.5"/>
    <n v="400"/>
    <n v="105"/>
    <n v="295"/>
    <n v="0.73750000000000004"/>
    <s v="C0152"/>
    <x v="101"/>
    <x v="101"/>
    <x v="1"/>
    <x v="6"/>
  </r>
  <r>
    <x v="940"/>
    <x v="326"/>
    <x v="11"/>
    <x v="11"/>
    <d v="1905-07-16T00:00:00"/>
    <s v="REUsABle bAMboO uTeNSIL sEt"/>
    <s v="Reusable Bamboo Utensil Set"/>
    <x v="3"/>
    <s v="KITCHENWARE"/>
    <n v="3"/>
    <n v="15"/>
    <n v="15"/>
    <n v="3.32"/>
    <n v="45"/>
    <n v="9.9599999999999991"/>
    <n v="35.04"/>
    <n v="0.77866666666666662"/>
    <s v="C0065"/>
    <x v="48"/>
    <x v="48"/>
    <x v="1"/>
    <x v="3"/>
  </r>
  <r>
    <x v="941"/>
    <x v="326"/>
    <x v="11"/>
    <x v="11"/>
    <d v="1905-07-16T00:00:00"/>
    <s v="SoLAR leD lAnTern"/>
    <s v="Solar Led Lantern"/>
    <x v="2"/>
    <s v="LIGHTING"/>
    <n v="10"/>
    <n v="40"/>
    <n v="40"/>
    <n v="11.45"/>
    <n v="400"/>
    <n v="114.5"/>
    <n v="285.5"/>
    <n v="0.71375"/>
    <s v="C0196"/>
    <x v="42"/>
    <x v="42"/>
    <x v="3"/>
    <x v="6"/>
  </r>
  <r>
    <x v="942"/>
    <x v="327"/>
    <x v="11"/>
    <x v="11"/>
    <d v="1905-07-16T00:00:00"/>
    <s v="ecO CANVAS TOTe Bag"/>
    <s v="Eco Canvas Tote Bag"/>
    <x v="1"/>
    <s v="BAGS"/>
    <n v="10"/>
    <n v="25"/>
    <n v="25"/>
    <n v="9.69"/>
    <n v="250"/>
    <n v="96.899999999999991"/>
    <n v="153.10000000000002"/>
    <n v="0.61240000000000006"/>
    <s v="C0169"/>
    <x v="56"/>
    <x v="56"/>
    <x v="1"/>
    <x v="3"/>
  </r>
  <r>
    <x v="943"/>
    <x v="327"/>
    <x v="11"/>
    <x v="11"/>
    <d v="1905-07-16T00:00:00"/>
    <s v="COMpOsTaBLe PlAnT POts"/>
    <s v="Compostable Plant Pots"/>
    <x v="4"/>
    <s v="GARDENING"/>
    <n v="9"/>
    <n v="12"/>
    <n v="12"/>
    <n v="3.65"/>
    <n v="108"/>
    <n v="32.85"/>
    <n v="75.150000000000006"/>
    <n v="0.69583333333333341"/>
    <s v="C0148"/>
    <x v="48"/>
    <x v="48"/>
    <x v="3"/>
    <x v="0"/>
  </r>
  <r>
    <x v="944"/>
    <x v="327"/>
    <x v="11"/>
    <x v="11"/>
    <d v="1905-07-16T00:00:00"/>
    <s v="ecO CANVAS TOTe Bag"/>
    <s v="Eco Canvas Tote Bag"/>
    <x v="1"/>
    <s v="BAGS"/>
    <n v="5"/>
    <n v="25"/>
    <n v="25"/>
    <n v="8.9600000000000009"/>
    <n v="125"/>
    <n v="44.800000000000004"/>
    <n v="80.199999999999989"/>
    <n v="0.64159999999999995"/>
    <s v="C0079"/>
    <x v="100"/>
    <x v="100"/>
    <x v="1"/>
    <x v="4"/>
  </r>
  <r>
    <x v="945"/>
    <x v="327"/>
    <x v="11"/>
    <x v="11"/>
    <d v="1905-07-16T00:00:00"/>
    <s v="ecO CANVAS TOTe Bag"/>
    <s v="Eco Canvas Tote Bag"/>
    <x v="1"/>
    <s v="BAGS"/>
    <n v="4"/>
    <n v="25"/>
    <n v="25"/>
    <n v="9.9499999999999993"/>
    <n v="100"/>
    <n v="39.799999999999997"/>
    <n v="60.2"/>
    <n v="0.60199999999999998"/>
    <s v="C0030"/>
    <x v="34"/>
    <x v="34"/>
    <x v="1"/>
    <x v="4"/>
  </r>
  <r>
    <x v="946"/>
    <x v="327"/>
    <x v="11"/>
    <x v="11"/>
    <d v="1905-07-16T00:00:00"/>
    <s v="COMpOsTaBLe PlAnT POts"/>
    <s v="Compostable Plant Pots"/>
    <x v="4"/>
    <s v="GARDENING"/>
    <n v="3"/>
    <n v="12"/>
    <n v="12"/>
    <n v="4.3899999999999997"/>
    <n v="36"/>
    <n v="13.169999999999998"/>
    <n v="22.830000000000002"/>
    <n v="0.63416666666666677"/>
    <s v="C0007"/>
    <x v="65"/>
    <x v="65"/>
    <x v="0"/>
    <x v="4"/>
  </r>
  <r>
    <x v="947"/>
    <x v="328"/>
    <x v="11"/>
    <x v="11"/>
    <d v="1905-07-16T00:00:00"/>
    <s v="ecO CANVAS TOTe Bag"/>
    <s v="Eco Canvas Tote Bag"/>
    <x v="1"/>
    <s v="BAGS"/>
    <n v="5"/>
    <n v="25"/>
    <n v="25"/>
    <n v="9.1199999999999992"/>
    <n v="125"/>
    <n v="45.599999999999994"/>
    <n v="79.400000000000006"/>
    <n v="0.6352000000000001"/>
    <s v="C0102"/>
    <x v="85"/>
    <x v="85"/>
    <x v="1"/>
    <x v="9"/>
  </r>
  <r>
    <x v="948"/>
    <x v="328"/>
    <x v="11"/>
    <x v="11"/>
    <d v="1905-07-16T00:00:00"/>
    <s v="bIOdegradABlE cLEaNINg cLoTH"/>
    <s v="Biodegradable Cleaning Cloth"/>
    <x v="0"/>
    <s v="CLEANING"/>
    <n v="5"/>
    <n v="10"/>
    <n v="10"/>
    <n v="2.04"/>
    <n v="50"/>
    <n v="10.199999999999999"/>
    <n v="39.799999999999997"/>
    <n v="0.79599999999999993"/>
    <s v="C0109"/>
    <x v="74"/>
    <x v="74"/>
    <x v="1"/>
    <x v="0"/>
  </r>
  <r>
    <x v="949"/>
    <x v="329"/>
    <x v="11"/>
    <x v="11"/>
    <d v="1905-07-16T00:00:00"/>
    <s v="REUsABle bAMboO uTeNSIL sEt"/>
    <s v="Reusable Bamboo Utensil Set"/>
    <x v="3"/>
    <s v="KITCHENWARE"/>
    <n v="5"/>
    <n v="15"/>
    <n v="15"/>
    <n v="5.67"/>
    <n v="75"/>
    <n v="28.35"/>
    <n v="46.65"/>
    <n v="0.622"/>
    <s v="C0199"/>
    <x v="20"/>
    <x v="20"/>
    <x v="1"/>
    <x v="1"/>
  </r>
  <r>
    <x v="950"/>
    <x v="329"/>
    <x v="11"/>
    <x v="11"/>
    <d v="1905-07-16T00:00:00"/>
    <s v="REUsABle bAMboO uTeNSIL sEt"/>
    <s v="Reusable Bamboo Utensil Set"/>
    <x v="3"/>
    <s v="KITCHENWARE"/>
    <n v="1"/>
    <n v="15"/>
    <n v="15"/>
    <n v="5.36"/>
    <n v="15"/>
    <n v="5.36"/>
    <n v="9.64"/>
    <n v="0.64266666666666672"/>
    <s v="C0098"/>
    <x v="98"/>
    <x v="98"/>
    <x v="2"/>
    <x v="5"/>
  </r>
  <r>
    <x v="951"/>
    <x v="330"/>
    <x v="11"/>
    <x v="11"/>
    <d v="1905-07-16T00:00:00"/>
    <s v="REUsABle bAMboO uTeNSIL sEt"/>
    <s v="Reusable Bamboo Utensil Set"/>
    <x v="3"/>
    <s v="KITCHENWARE"/>
    <n v="5"/>
    <n v="15"/>
    <n v="15"/>
    <n v="3.45"/>
    <n v="75"/>
    <n v="17.25"/>
    <n v="57.75"/>
    <n v="0.77"/>
    <s v="C0019"/>
    <x v="118"/>
    <x v="118"/>
    <x v="1"/>
    <x v="5"/>
  </r>
  <r>
    <x v="952"/>
    <x v="331"/>
    <x v="11"/>
    <x v="11"/>
    <d v="1905-07-16T00:00:00"/>
    <s v="COMpOsTaBLe PlAnT POts"/>
    <s v="Compostable Plant Pots"/>
    <x v="4"/>
    <s v="GARDENING"/>
    <n v="9"/>
    <n v="12"/>
    <n v="12"/>
    <n v="3.54"/>
    <n v="108"/>
    <n v="31.86"/>
    <n v="76.14"/>
    <n v="0.70499999999999996"/>
    <s v="C0086"/>
    <x v="35"/>
    <x v="35"/>
    <x v="1"/>
    <x v="7"/>
  </r>
  <r>
    <x v="953"/>
    <x v="331"/>
    <x v="11"/>
    <x v="11"/>
    <d v="1905-07-16T00:00:00"/>
    <s v="COMpOsTaBLe PlAnT POts"/>
    <s v="Compostable Plant Pots"/>
    <x v="4"/>
    <s v="GARDENING"/>
    <n v="5"/>
    <n v="12"/>
    <n v="12"/>
    <n v="4.01"/>
    <n v="60"/>
    <n v="20.049999999999997"/>
    <n v="39.950000000000003"/>
    <n v="0.66583333333333339"/>
    <s v="C0049"/>
    <x v="74"/>
    <x v="74"/>
    <x v="1"/>
    <x v="5"/>
  </r>
  <r>
    <x v="954"/>
    <x v="331"/>
    <x v="11"/>
    <x v="11"/>
    <d v="1905-07-16T00:00:00"/>
    <s v="SoLAR leD lAnTern"/>
    <s v="Solar Led Lantern"/>
    <x v="2"/>
    <s v="LIGHTING"/>
    <n v="10"/>
    <n v="40"/>
    <n v="40"/>
    <n v="15.7"/>
    <n v="400"/>
    <n v="157"/>
    <n v="243"/>
    <n v="0.60750000000000004"/>
    <s v="C0003"/>
    <x v="86"/>
    <x v="86"/>
    <x v="0"/>
    <x v="4"/>
  </r>
  <r>
    <x v="955"/>
    <x v="331"/>
    <x v="11"/>
    <x v="11"/>
    <d v="1905-07-16T00:00:00"/>
    <s v="SoLAR leD lAnTern"/>
    <s v="Solar Led Lantern"/>
    <x v="2"/>
    <s v="LIGHTING"/>
    <n v="3"/>
    <n v="40"/>
    <n v="40"/>
    <n v="12.54"/>
    <n v="120"/>
    <n v="37.619999999999997"/>
    <n v="82.38"/>
    <n v="0.6865"/>
    <s v="C0005"/>
    <x v="99"/>
    <x v="99"/>
    <x v="1"/>
    <x v="4"/>
  </r>
  <r>
    <x v="956"/>
    <x v="331"/>
    <x v="11"/>
    <x v="11"/>
    <d v="1905-07-16T00:00:00"/>
    <s v="ecO CANVAS TOTe Bag"/>
    <s v="Eco Canvas Tote Bag"/>
    <x v="1"/>
    <s v="BAGS"/>
    <n v="5"/>
    <n v="25"/>
    <n v="25"/>
    <n v="8.98"/>
    <n v="125"/>
    <n v="44.900000000000006"/>
    <n v="80.099999999999994"/>
    <n v="0.64079999999999993"/>
    <s v="C0112"/>
    <x v="70"/>
    <x v="70"/>
    <x v="3"/>
    <x v="0"/>
  </r>
  <r>
    <x v="957"/>
    <x v="332"/>
    <x v="11"/>
    <x v="11"/>
    <d v="1905-07-16T00:00:00"/>
    <s v="SoLAR leD lAnTern"/>
    <s v="Solar Led Lantern"/>
    <x v="2"/>
    <s v="LIGHTING"/>
    <n v="7"/>
    <n v="40"/>
    <n v="40"/>
    <n v="14.44"/>
    <n v="280"/>
    <n v="101.08"/>
    <n v="178.92000000000002"/>
    <n v="0.63900000000000001"/>
    <s v="C0195"/>
    <x v="56"/>
    <x v="56"/>
    <x v="1"/>
    <x v="1"/>
  </r>
  <r>
    <x v="958"/>
    <x v="332"/>
    <x v="11"/>
    <x v="11"/>
    <d v="1905-07-16T00:00:00"/>
    <s v="SoLAR leD lAnTern"/>
    <s v="Solar Led Lantern"/>
    <x v="2"/>
    <s v="LIGHTING"/>
    <n v="8"/>
    <n v="40"/>
    <n v="40"/>
    <n v="9.3699999999999992"/>
    <n v="320"/>
    <n v="74.959999999999994"/>
    <n v="245.04000000000002"/>
    <n v="0.76575000000000004"/>
    <s v="C0197"/>
    <x v="68"/>
    <x v="68"/>
    <x v="1"/>
    <x v="1"/>
  </r>
  <r>
    <x v="959"/>
    <x v="332"/>
    <x v="11"/>
    <x v="11"/>
    <d v="1905-07-16T00:00:00"/>
    <s v="COMpOsTaBLe PlAnT POts"/>
    <s v="Compostable Plant Pots"/>
    <x v="4"/>
    <s v="GARDENING"/>
    <n v="8"/>
    <n v="12"/>
    <n v="12"/>
    <n v="2.73"/>
    <n v="96"/>
    <n v="21.84"/>
    <n v="74.16"/>
    <n v="0.77249999999999996"/>
    <s v="C0155"/>
    <x v="89"/>
    <x v="89"/>
    <x v="0"/>
    <x v="0"/>
  </r>
  <r>
    <x v="960"/>
    <x v="333"/>
    <x v="11"/>
    <x v="11"/>
    <d v="1905-07-16T00:00:00"/>
    <s v="REUsABle bAMboO uTeNSIL sEt"/>
    <s v="Reusable Bamboo Utensil Set"/>
    <x v="3"/>
    <s v="KITCHENWARE"/>
    <n v="5"/>
    <n v="15"/>
    <n v="15"/>
    <n v="5.13"/>
    <n v="75"/>
    <n v="25.65"/>
    <n v="49.35"/>
    <n v="0.65800000000000003"/>
    <s v="C0020"/>
    <x v="111"/>
    <x v="111"/>
    <x v="1"/>
    <x v="5"/>
  </r>
  <r>
    <x v="961"/>
    <x v="333"/>
    <x v="11"/>
    <x v="11"/>
    <d v="1905-07-16T00:00:00"/>
    <s v="bIOdegradABlE cLEaNINg cLoTH"/>
    <s v="Biodegradable Cleaning Cloth"/>
    <x v="0"/>
    <s v="CLEANING"/>
    <n v="3"/>
    <n v="10"/>
    <n v="10"/>
    <n v="2.86"/>
    <n v="30"/>
    <n v="8.58"/>
    <n v="21.42"/>
    <n v="0.71400000000000008"/>
    <s v="C0048"/>
    <x v="87"/>
    <x v="87"/>
    <x v="1"/>
    <x v="2"/>
  </r>
  <r>
    <x v="962"/>
    <x v="333"/>
    <x v="11"/>
    <x v="11"/>
    <d v="1905-07-16T00:00:00"/>
    <s v="REUsABle bAMboO uTeNSIL sEt"/>
    <s v="Reusable Bamboo Utensil Set"/>
    <x v="3"/>
    <s v="KITCHENWARE"/>
    <n v="10"/>
    <n v="15"/>
    <n v="15"/>
    <n v="5.18"/>
    <n v="150"/>
    <n v="51.8"/>
    <n v="98.2"/>
    <n v="0.65466666666666673"/>
    <s v="C0034"/>
    <x v="40"/>
    <x v="40"/>
    <x v="1"/>
    <x v="0"/>
  </r>
  <r>
    <x v="963"/>
    <x v="333"/>
    <x v="11"/>
    <x v="11"/>
    <d v="1905-07-16T00:00:00"/>
    <s v="ecO CANVAS TOTe Bag"/>
    <s v="Eco Canvas Tote Bag"/>
    <x v="1"/>
    <s v="BAGS"/>
    <n v="7"/>
    <n v="25"/>
    <n v="25"/>
    <n v="9.41"/>
    <n v="175"/>
    <n v="65.87"/>
    <n v="109.13"/>
    <n v="0.62359999999999993"/>
    <s v="C0035"/>
    <x v="16"/>
    <x v="16"/>
    <x v="1"/>
    <x v="0"/>
  </r>
  <r>
    <x v="964"/>
    <x v="334"/>
    <x v="11"/>
    <x v="11"/>
    <d v="1905-07-16T00:00:00"/>
    <s v="SoLAR leD lAnTern"/>
    <s v="Solar Led Lantern"/>
    <x v="2"/>
    <s v="LIGHTING"/>
    <n v="3"/>
    <n v="40"/>
    <n v="40"/>
    <n v="12.72"/>
    <n v="120"/>
    <n v="38.160000000000004"/>
    <n v="81.84"/>
    <n v="0.68200000000000005"/>
    <s v="C0147"/>
    <x v="30"/>
    <x v="30"/>
    <x v="0"/>
    <x v="2"/>
  </r>
  <r>
    <x v="965"/>
    <x v="334"/>
    <x v="11"/>
    <x v="11"/>
    <d v="1905-07-16T00:00:00"/>
    <s v="ecO CANVAS TOTe Bag"/>
    <s v="Eco Canvas Tote Bag"/>
    <x v="1"/>
    <s v="BAGS"/>
    <n v="2"/>
    <n v="25"/>
    <n v="25"/>
    <n v="7.31"/>
    <n v="50"/>
    <n v="14.62"/>
    <n v="35.380000000000003"/>
    <n v="0.70760000000000001"/>
    <s v="C0187"/>
    <x v="48"/>
    <x v="48"/>
    <x v="0"/>
    <x v="8"/>
  </r>
  <r>
    <x v="966"/>
    <x v="334"/>
    <x v="11"/>
    <x v="11"/>
    <d v="1905-07-16T00:00:00"/>
    <s v="bIOdegradABlE cLEaNINg cLoTH"/>
    <s v="Biodegradable Cleaning Cloth"/>
    <x v="0"/>
    <s v="CLEANING"/>
    <n v="2"/>
    <n v="10"/>
    <n v="10"/>
    <n v="3.87"/>
    <n v="20"/>
    <n v="7.74"/>
    <n v="12.26"/>
    <n v="0.61299999999999999"/>
    <s v="C0127"/>
    <x v="22"/>
    <x v="22"/>
    <x v="1"/>
    <x v="0"/>
  </r>
  <r>
    <x v="967"/>
    <x v="334"/>
    <x v="11"/>
    <x v="11"/>
    <d v="1905-07-16T00:00:00"/>
    <s v="ecO CANVAS TOTe Bag"/>
    <s v="Eco Canvas Tote Bag"/>
    <x v="1"/>
    <s v="BAGS"/>
    <n v="3"/>
    <n v="25"/>
    <n v="25"/>
    <n v="8.4600000000000009"/>
    <n v="75"/>
    <n v="25.380000000000003"/>
    <n v="49.62"/>
    <n v="0.66159999999999997"/>
    <s v="C0105"/>
    <x v="45"/>
    <x v="45"/>
    <x v="1"/>
    <x v="3"/>
  </r>
  <r>
    <x v="968"/>
    <x v="335"/>
    <x v="11"/>
    <x v="11"/>
    <d v="1905-07-16T00:00:00"/>
    <s v="REUsABle bAMboO uTeNSIL sEt"/>
    <s v="Reusable Bamboo Utensil Set"/>
    <x v="3"/>
    <s v="KITCHENWARE"/>
    <n v="8"/>
    <n v="15"/>
    <n v="15"/>
    <n v="4.0199999999999996"/>
    <n v="120"/>
    <n v="32.159999999999997"/>
    <n v="87.84"/>
    <n v="0.73199999999999998"/>
    <s v="C0091"/>
    <x v="72"/>
    <x v="72"/>
    <x v="1"/>
    <x v="0"/>
  </r>
  <r>
    <x v="969"/>
    <x v="335"/>
    <x v="11"/>
    <x v="11"/>
    <d v="1905-07-16T00:00:00"/>
    <s v="SoLAR leD lAnTern"/>
    <s v="Solar Led Lantern"/>
    <x v="2"/>
    <s v="LIGHTING"/>
    <n v="6"/>
    <n v="40"/>
    <n v="40"/>
    <n v="8.58"/>
    <n v="240"/>
    <n v="51.480000000000004"/>
    <n v="188.51999999999998"/>
    <n v="0.78549999999999998"/>
    <s v="C0123"/>
    <x v="123"/>
    <x v="123"/>
    <x v="0"/>
    <x v="2"/>
  </r>
  <r>
    <x v="970"/>
    <x v="335"/>
    <x v="11"/>
    <x v="11"/>
    <d v="1905-07-16T00:00:00"/>
    <s v="COMpOsTaBLe PlAnT POts"/>
    <s v="Compostable Plant Pots"/>
    <x v="4"/>
    <s v="GARDENING"/>
    <n v="10"/>
    <n v="12"/>
    <n v="12"/>
    <n v="2.78"/>
    <n v="120"/>
    <n v="27.799999999999997"/>
    <n v="92.2"/>
    <n v="0.76833333333333331"/>
    <s v="C0185"/>
    <x v="55"/>
    <x v="55"/>
    <x v="1"/>
    <x v="7"/>
  </r>
  <r>
    <x v="971"/>
    <x v="336"/>
    <x v="11"/>
    <x v="11"/>
    <d v="1905-07-16T00:00:00"/>
    <s v="SoLAR leD lAnTern"/>
    <s v="Solar Led Lantern"/>
    <x v="2"/>
    <s v="LIGHTING"/>
    <n v="5"/>
    <m/>
    <n v="40"/>
    <n v="14.51"/>
    <n v="200"/>
    <n v="72.55"/>
    <n v="127.45"/>
    <n v="0.63724999999999998"/>
    <s v="C0143"/>
    <x v="89"/>
    <x v="89"/>
    <x v="1"/>
    <x v="0"/>
  </r>
  <r>
    <x v="972"/>
    <x v="336"/>
    <x v="11"/>
    <x v="11"/>
    <d v="1905-07-16T00:00:00"/>
    <s v="bIOdegradABlE cLEaNINg cLoTH"/>
    <s v="Biodegradable Cleaning Cloth"/>
    <x v="0"/>
    <s v="CLEANING"/>
    <n v="9"/>
    <n v="10"/>
    <n v="10"/>
    <n v="3.78"/>
    <n v="90"/>
    <n v="34.019999999999996"/>
    <n v="55.980000000000004"/>
    <n v="0.622"/>
    <s v="C0092"/>
    <x v="102"/>
    <x v="102"/>
    <x v="2"/>
    <x v="1"/>
  </r>
  <r>
    <x v="973"/>
    <x v="336"/>
    <x v="11"/>
    <x v="11"/>
    <d v="1905-07-16T00:00:00"/>
    <s v="ecO CANVAS TOTe Bag"/>
    <s v="Eco Canvas Tote Bag"/>
    <x v="1"/>
    <s v="BAGS"/>
    <n v="2"/>
    <n v="25"/>
    <n v="25"/>
    <n v="9.3000000000000007"/>
    <n v="50"/>
    <n v="18.600000000000001"/>
    <n v="31.4"/>
    <n v="0.628"/>
    <s v="C0144"/>
    <x v="80"/>
    <x v="80"/>
    <x v="3"/>
    <x v="1"/>
  </r>
  <r>
    <x v="974"/>
    <x v="337"/>
    <x v="11"/>
    <x v="11"/>
    <d v="1905-07-16T00:00:00"/>
    <s v="REUsABle bAMboO uTeNSIL sEt"/>
    <s v="Reusable Bamboo Utensil Set"/>
    <x v="3"/>
    <s v="KITCHENWARE"/>
    <n v="9"/>
    <n v="15"/>
    <n v="15"/>
    <n v="4.68"/>
    <n v="135"/>
    <n v="42.12"/>
    <n v="92.88"/>
    <n v="0.68799999999999994"/>
    <s v="C0183"/>
    <x v="1"/>
    <x v="1"/>
    <x v="3"/>
    <x v="3"/>
  </r>
  <r>
    <x v="975"/>
    <x v="337"/>
    <x v="11"/>
    <x v="11"/>
    <d v="1905-07-16T00:00:00"/>
    <s v="SoLAR leD lAnTern"/>
    <s v="Solar Led Lantern"/>
    <x v="2"/>
    <s v="LIGHTING"/>
    <n v="8"/>
    <n v="40"/>
    <n v="40"/>
    <n v="15.62"/>
    <n v="320"/>
    <n v="124.96"/>
    <n v="195.04000000000002"/>
    <n v="0.60950000000000004"/>
    <s v="C0085"/>
    <x v="29"/>
    <x v="29"/>
    <x v="1"/>
    <x v="4"/>
  </r>
  <r>
    <x v="976"/>
    <x v="337"/>
    <x v="11"/>
    <x v="11"/>
    <d v="1905-07-16T00:00:00"/>
    <s v="bIOdegradABlE cLEaNINg cLoTH"/>
    <s v="Biodegradable Cleaning Cloth"/>
    <x v="0"/>
    <s v="CLEANING"/>
    <n v="5"/>
    <n v="10"/>
    <n v="10"/>
    <n v="3.28"/>
    <n v="50"/>
    <n v="16.399999999999999"/>
    <n v="33.6"/>
    <n v="0.67200000000000004"/>
    <s v="C0150"/>
    <x v="76"/>
    <x v="76"/>
    <x v="1"/>
    <x v="3"/>
  </r>
  <r>
    <x v="977"/>
    <x v="337"/>
    <x v="11"/>
    <x v="11"/>
    <d v="1905-07-16T00:00:00"/>
    <s v="bIOdegradABlE cLEaNINg cLoTH"/>
    <s v="Biodegradable Cleaning Cloth"/>
    <x v="0"/>
    <s v="CLEANING"/>
    <n v="3"/>
    <n v="10"/>
    <n v="10"/>
    <n v="3.25"/>
    <n v="30"/>
    <n v="9.75"/>
    <n v="20.25"/>
    <n v="0.67500000000000004"/>
    <s v="C0043"/>
    <x v="31"/>
    <x v="31"/>
    <x v="1"/>
    <x v="5"/>
  </r>
  <r>
    <x v="978"/>
    <x v="338"/>
    <x v="11"/>
    <x v="11"/>
    <d v="1905-07-16T00:00:00"/>
    <s v="REUsABle bAMboO uTeNSIL sEt"/>
    <s v="Reusable Bamboo Utensil Set"/>
    <x v="3"/>
    <s v="KITCHENWARE"/>
    <n v="3"/>
    <n v="15"/>
    <n v="15"/>
    <n v="3.77"/>
    <n v="45"/>
    <n v="11.31"/>
    <n v="33.69"/>
    <n v="0.74866666666666659"/>
    <s v="C0187"/>
    <x v="48"/>
    <x v="48"/>
    <x v="1"/>
    <x v="2"/>
  </r>
  <r>
    <x v="979"/>
    <x v="338"/>
    <x v="11"/>
    <x v="11"/>
    <d v="1905-07-16T00:00:00"/>
    <s v="SoLAR leD lAnTern"/>
    <s v="Solar Led Lantern"/>
    <x v="2"/>
    <s v="LIGHTING"/>
    <n v="1"/>
    <n v="40"/>
    <n v="40"/>
    <n v="14.45"/>
    <n v="40"/>
    <n v="14.45"/>
    <n v="25.55"/>
    <n v="0.63875000000000004"/>
    <s v="C0028"/>
    <x v="125"/>
    <x v="125"/>
    <x v="0"/>
    <x v="5"/>
  </r>
  <r>
    <x v="980"/>
    <x v="338"/>
    <x v="11"/>
    <x v="11"/>
    <d v="1905-07-16T00:00:00"/>
    <s v="COMpOsTaBLe PlAnT POts"/>
    <s v="Compostable Plant Pots"/>
    <x v="4"/>
    <s v="GARDENING"/>
    <n v="8"/>
    <n v="12"/>
    <n v="12"/>
    <n v="2.61"/>
    <n v="96"/>
    <n v="20.88"/>
    <n v="75.12"/>
    <n v="0.78250000000000008"/>
    <s v="C0086"/>
    <x v="35"/>
    <x v="35"/>
    <x v="1"/>
    <x v="4"/>
  </r>
  <r>
    <x v="981"/>
    <x v="338"/>
    <x v="11"/>
    <x v="11"/>
    <d v="1905-07-16T00:00:00"/>
    <s v="REUsABle bAMboO uTeNSIL sEt"/>
    <s v="Reusable Bamboo Utensil Set"/>
    <x v="3"/>
    <s v="KITCHENWARE"/>
    <n v="4"/>
    <n v="15"/>
    <n v="15"/>
    <n v="4.01"/>
    <n v="60"/>
    <n v="16.04"/>
    <n v="43.96"/>
    <n v="0.73266666666666669"/>
    <s v="C0085"/>
    <x v="29"/>
    <x v="29"/>
    <x v="3"/>
    <x v="1"/>
  </r>
  <r>
    <x v="982"/>
    <x v="338"/>
    <x v="11"/>
    <x v="11"/>
    <d v="1905-07-16T00:00:00"/>
    <s v="bIOdegradABlE cLEaNINg cLoTH"/>
    <s v="Biodegradable Cleaning Cloth"/>
    <x v="0"/>
    <s v="CLEANING"/>
    <n v="10"/>
    <n v="10"/>
    <n v="10"/>
    <n v="2.96"/>
    <n v="100"/>
    <n v="29.6"/>
    <n v="70.400000000000006"/>
    <n v="0.70400000000000007"/>
    <s v="C0132"/>
    <x v="97"/>
    <x v="97"/>
    <x v="0"/>
    <x v="4"/>
  </r>
  <r>
    <x v="983"/>
    <x v="338"/>
    <x v="11"/>
    <x v="11"/>
    <d v="1905-07-16T00:00:00"/>
    <s v="ecO CANVAS TOTe Bag"/>
    <s v="Eco Canvas Tote Bag"/>
    <x v="1"/>
    <s v="BAGS"/>
    <n v="2"/>
    <n v="25"/>
    <n v="25"/>
    <n v="9.57"/>
    <n v="50"/>
    <n v="19.14"/>
    <n v="30.86"/>
    <n v="0.61719999999999997"/>
    <s v="C0199"/>
    <x v="20"/>
    <x v="20"/>
    <x v="0"/>
    <x v="7"/>
  </r>
  <r>
    <x v="984"/>
    <x v="339"/>
    <x v="11"/>
    <x v="11"/>
    <d v="1905-07-16T00:00:00"/>
    <s v="REUsABle bAMboO uTeNSIL sEt"/>
    <s v="Reusable Bamboo Utensil Set"/>
    <x v="3"/>
    <s v="KITCHENWARE"/>
    <n v="10"/>
    <m/>
    <n v="15"/>
    <n v="3.45"/>
    <n v="150"/>
    <n v="34.5"/>
    <n v="115.5"/>
    <n v="0.77"/>
    <s v="C0091"/>
    <x v="72"/>
    <x v="72"/>
    <x v="1"/>
    <x v="2"/>
  </r>
  <r>
    <x v="985"/>
    <x v="340"/>
    <x v="11"/>
    <x v="11"/>
    <d v="1905-07-16T00:00:00"/>
    <s v="REUsABle bAMboO uTeNSIL sEt"/>
    <s v="Reusable Bamboo Utensil Set"/>
    <x v="3"/>
    <s v="KITCHENWARE"/>
    <n v="1"/>
    <n v="15"/>
    <n v="15"/>
    <n v="3.86"/>
    <n v="15"/>
    <n v="3.86"/>
    <n v="11.14"/>
    <n v="0.7426666666666667"/>
    <s v="C0174"/>
    <x v="0"/>
    <x v="0"/>
    <x v="1"/>
    <x v="6"/>
  </r>
  <r>
    <x v="986"/>
    <x v="340"/>
    <x v="11"/>
    <x v="11"/>
    <d v="1905-07-16T00:00:00"/>
    <s v="ecO CANVAS TOTe Bag"/>
    <s v="Eco Canvas Tote Bag"/>
    <x v="1"/>
    <s v="BAGS"/>
    <n v="8"/>
    <n v="25"/>
    <n v="25"/>
    <n v="8.4499999999999993"/>
    <n v="200"/>
    <n v="67.599999999999994"/>
    <n v="132.4"/>
    <n v="0.66200000000000003"/>
    <s v="C0098"/>
    <x v="98"/>
    <x v="98"/>
    <x v="1"/>
    <x v="9"/>
  </r>
  <r>
    <x v="987"/>
    <x v="340"/>
    <x v="11"/>
    <x v="11"/>
    <d v="1905-07-16T00:00:00"/>
    <s v="REUsABle bAMboO uTeNSIL sEt"/>
    <s v="Reusable Bamboo Utensil Set"/>
    <x v="3"/>
    <s v="KITCHENWARE"/>
    <n v="1"/>
    <n v="15"/>
    <n v="15"/>
    <n v="5.61"/>
    <n v="15"/>
    <n v="5.61"/>
    <n v="9.39"/>
    <n v="0.626"/>
    <s v="C0122"/>
    <x v="1"/>
    <x v="1"/>
    <x v="1"/>
    <x v="7"/>
  </r>
  <r>
    <x v="988"/>
    <x v="340"/>
    <x v="11"/>
    <x v="11"/>
    <d v="1905-07-16T00:00:00"/>
    <s v="COMpOsTaBLe PlAnT POts"/>
    <s v="Compostable Plant Pots"/>
    <x v="4"/>
    <s v="GARDENING"/>
    <n v="7"/>
    <n v="12"/>
    <n v="12"/>
    <n v="3.23"/>
    <n v="84"/>
    <n v="22.61"/>
    <n v="61.39"/>
    <n v="0.73083333333333333"/>
    <s v="C0127"/>
    <x v="22"/>
    <x v="22"/>
    <x v="1"/>
    <x v="5"/>
  </r>
  <r>
    <x v="989"/>
    <x v="341"/>
    <x v="11"/>
    <x v="11"/>
    <d v="1905-07-16T00:00:00"/>
    <s v="SoLAR leD lAnTern"/>
    <s v="Solar Led Lantern"/>
    <x v="2"/>
    <s v="LIGHTING"/>
    <n v="8"/>
    <n v="40"/>
    <n v="40"/>
    <n v="12.11"/>
    <n v="320"/>
    <n v="96.88"/>
    <n v="223.12"/>
    <n v="0.69725000000000004"/>
    <s v="C0186"/>
    <x v="98"/>
    <x v="98"/>
    <x v="1"/>
    <x v="8"/>
  </r>
  <r>
    <x v="990"/>
    <x v="341"/>
    <x v="11"/>
    <x v="11"/>
    <d v="1905-07-16T00:00:00"/>
    <s v="ecO CANVAS TOTe Bag"/>
    <s v="Eco Canvas Tote Bag"/>
    <x v="1"/>
    <s v="BAGS"/>
    <n v="10"/>
    <n v="25"/>
    <n v="25"/>
    <n v="5.58"/>
    <n v="250"/>
    <n v="55.8"/>
    <n v="194.2"/>
    <n v="0.77679999999999993"/>
    <s v="C0115"/>
    <x v="114"/>
    <x v="114"/>
    <x v="1"/>
    <x v="1"/>
  </r>
  <r>
    <x v="991"/>
    <x v="341"/>
    <x v="11"/>
    <x v="11"/>
    <d v="1905-07-16T00:00:00"/>
    <s v="SoLAR leD lAnTern"/>
    <s v="Solar Led Lantern"/>
    <x v="2"/>
    <s v="LIGHTING"/>
    <n v="7"/>
    <n v="40"/>
    <n v="40"/>
    <n v="8.07"/>
    <n v="280"/>
    <n v="56.49"/>
    <n v="223.51"/>
    <n v="0.79825000000000002"/>
    <s v="C0114"/>
    <x v="5"/>
    <x v="5"/>
    <x v="1"/>
    <x v="5"/>
  </r>
  <r>
    <x v="992"/>
    <x v="342"/>
    <x v="11"/>
    <x v="11"/>
    <d v="1905-07-16T00:00:00"/>
    <s v="ecO CANVAS TOTe Bag"/>
    <s v="Eco Canvas Tote Bag"/>
    <x v="1"/>
    <s v="BAGS"/>
    <n v="1"/>
    <n v="25"/>
    <n v="25"/>
    <n v="7.33"/>
    <n v="25"/>
    <n v="7.33"/>
    <n v="17.670000000000002"/>
    <n v="0.70680000000000009"/>
    <s v="C0118"/>
    <x v="105"/>
    <x v="105"/>
    <x v="0"/>
    <x v="2"/>
  </r>
  <r>
    <x v="993"/>
    <x v="343"/>
    <x v="11"/>
    <x v="11"/>
    <d v="1905-07-16T00:00:00"/>
    <s v="COMpOsTaBLe PlAnT POts"/>
    <s v="Compostable Plant Pots"/>
    <x v="4"/>
    <s v="GARDENING"/>
    <n v="5"/>
    <n v="12"/>
    <n v="12"/>
    <n v="4.26"/>
    <n v="60"/>
    <n v="21.299999999999997"/>
    <n v="38.700000000000003"/>
    <n v="0.64500000000000002"/>
    <s v="C0111"/>
    <x v="49"/>
    <x v="49"/>
    <x v="1"/>
    <x v="0"/>
  </r>
  <r>
    <x v="994"/>
    <x v="343"/>
    <x v="11"/>
    <x v="11"/>
    <d v="1905-07-16T00:00:00"/>
    <s v="REUsABle bAMboO uTeNSIL sEt"/>
    <s v="Reusable Bamboo Utensil Set"/>
    <x v="3"/>
    <s v="KITCHENWARE"/>
    <n v="8"/>
    <n v="15"/>
    <n v="15"/>
    <n v="3.68"/>
    <n v="120"/>
    <n v="29.44"/>
    <n v="90.56"/>
    <n v="0.75466666666666671"/>
    <s v="C0115"/>
    <x v="114"/>
    <x v="114"/>
    <x v="1"/>
    <x v="0"/>
  </r>
  <r>
    <x v="995"/>
    <x v="344"/>
    <x v="11"/>
    <x v="11"/>
    <d v="1905-07-16T00:00:00"/>
    <s v="REUsABle bAMboO uTeNSIL sEt"/>
    <s v="Reusable Bamboo Utensil Set"/>
    <x v="3"/>
    <s v="KITCHENWARE"/>
    <n v="1"/>
    <n v="15"/>
    <n v="15"/>
    <n v="3.83"/>
    <n v="15"/>
    <n v="3.83"/>
    <n v="11.17"/>
    <n v="0.7446666666666667"/>
    <s v="C0125"/>
    <x v="83"/>
    <x v="83"/>
    <x v="2"/>
    <x v="3"/>
  </r>
  <r>
    <x v="996"/>
    <x v="344"/>
    <x v="11"/>
    <x v="11"/>
    <d v="1905-07-16T00:00:00"/>
    <s v="REUsABle bAMboO uTeNSIL sEt"/>
    <s v="Reusable Bamboo Utensil Set"/>
    <x v="3"/>
    <s v="KITCHENWARE"/>
    <n v="3"/>
    <n v="15"/>
    <n v="15"/>
    <n v="3.05"/>
    <n v="45"/>
    <n v="9.1499999999999986"/>
    <n v="35.85"/>
    <n v="0.79666666666666675"/>
    <s v="C0184"/>
    <x v="11"/>
    <x v="11"/>
    <x v="1"/>
    <x v="5"/>
  </r>
  <r>
    <x v="997"/>
    <x v="345"/>
    <x v="11"/>
    <x v="11"/>
    <d v="1905-07-16T00:00:00"/>
    <s v="bIOdegradABlE cLEaNINg cLoTH"/>
    <s v="Biodegradable Cleaning Cloth"/>
    <x v="0"/>
    <s v="CLEANING"/>
    <n v="1"/>
    <n v="10"/>
    <n v="10"/>
    <n v="3.56"/>
    <n v="10"/>
    <n v="3.56"/>
    <n v="6.4399999999999995"/>
    <n v="0.64399999999999991"/>
    <s v="C0155"/>
    <x v="89"/>
    <x v="89"/>
    <x v="0"/>
    <x v="3"/>
  </r>
  <r>
    <x v="998"/>
    <x v="346"/>
    <x v="11"/>
    <x v="11"/>
    <d v="1905-07-16T00:00:00"/>
    <s v="SoLAR leD lAnTern"/>
    <s v="Solar Led Lantern"/>
    <x v="2"/>
    <s v="LIGHTING"/>
    <n v="3"/>
    <n v="40"/>
    <n v="40"/>
    <n v="13.05"/>
    <n v="120"/>
    <n v="39.150000000000006"/>
    <n v="80.849999999999994"/>
    <n v="0.67374999999999996"/>
    <s v="C0171"/>
    <x v="59"/>
    <x v="59"/>
    <x v="1"/>
    <x v="7"/>
  </r>
  <r>
    <x v="999"/>
    <x v="346"/>
    <x v="11"/>
    <x v="11"/>
    <d v="1905-07-16T00:00:00"/>
    <s v="REUsABle bAMboO uTeNSIL sEt"/>
    <s v="Reusable Bamboo Utensil Set"/>
    <x v="3"/>
    <s v="KITCHENWARE"/>
    <n v="6"/>
    <n v="15"/>
    <n v="15"/>
    <n v="5.15"/>
    <n v="90"/>
    <n v="30.900000000000002"/>
    <n v="59.099999999999994"/>
    <n v="0.65666666666666662"/>
    <s v="C0117"/>
    <x v="122"/>
    <x v="122"/>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048858-7FAB-4849-9838-BD91219204F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B38:C49" firstHeaderRow="1" firstDataRow="1" firstDataCol="1"/>
  <pivotFields count="22">
    <pivotField showAll="0"/>
    <pivotField numFmtId="165"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items count="13">
        <item x="0"/>
        <item x="1"/>
        <item x="2"/>
        <item x="3"/>
        <item x="4"/>
        <item x="5"/>
        <item x="6"/>
        <item x="7"/>
        <item x="8"/>
        <item x="9"/>
        <item x="10"/>
        <item x="11"/>
        <item t="default"/>
      </items>
    </pivotField>
    <pivotField numFmtId="166" showAll="0"/>
    <pivotField numFmtId="166" showAll="0"/>
    <pivotField showAll="0"/>
    <pivotField showAll="0"/>
    <pivotField showAll="0">
      <items count="6">
        <item x="1"/>
        <item x="0"/>
        <item x="4"/>
        <item x="3"/>
        <item x="2"/>
        <item t="default"/>
      </items>
    </pivotField>
    <pivotField showAll="0"/>
    <pivotField showAll="0"/>
    <pivotField showAll="0"/>
    <pivotField showAll="0"/>
    <pivotField showAll="0"/>
    <pivotField dataField="1" showAll="0"/>
    <pivotField showAll="0"/>
    <pivotField showAll="0"/>
    <pivotField showAll="0"/>
    <pivotField showAll="0"/>
    <pivotField showAll="0">
      <items count="127">
        <item x="23"/>
        <item x="1"/>
        <item x="94"/>
        <item x="44"/>
        <item x="118"/>
        <item x="112"/>
        <item x="79"/>
        <item x="95"/>
        <item x="72"/>
        <item x="47"/>
        <item x="74"/>
        <item x="97"/>
        <item x="119"/>
        <item x="84"/>
        <item x="65"/>
        <item x="64"/>
        <item x="114"/>
        <item x="14"/>
        <item x="7"/>
        <item x="57"/>
        <item x="48"/>
        <item x="67"/>
        <item x="34"/>
        <item x="18"/>
        <item x="66"/>
        <item x="5"/>
        <item x="87"/>
        <item x="45"/>
        <item x="99"/>
        <item x="109"/>
        <item x="69"/>
        <item x="106"/>
        <item x="70"/>
        <item x="77"/>
        <item x="49"/>
        <item x="120"/>
        <item x="24"/>
        <item x="101"/>
        <item x="82"/>
        <item x="28"/>
        <item x="29"/>
        <item x="4"/>
        <item x="40"/>
        <item x="53"/>
        <item x="108"/>
        <item x="88"/>
        <item x="16"/>
        <item x="54"/>
        <item x="12"/>
        <item x="38"/>
        <item x="8"/>
        <item x="102"/>
        <item x="73"/>
        <item x="124"/>
        <item x="15"/>
        <item x="61"/>
        <item x="55"/>
        <item x="98"/>
        <item x="58"/>
        <item x="11"/>
        <item x="36"/>
        <item x="93"/>
        <item x="37"/>
        <item x="104"/>
        <item x="71"/>
        <item x="41"/>
        <item x="111"/>
        <item x="89"/>
        <item x="32"/>
        <item x="50"/>
        <item x="85"/>
        <item x="115"/>
        <item x="3"/>
        <item x="81"/>
        <item x="80"/>
        <item x="107"/>
        <item x="17"/>
        <item x="51"/>
        <item x="96"/>
        <item x="122"/>
        <item x="105"/>
        <item x="103"/>
        <item x="31"/>
        <item x="52"/>
        <item x="83"/>
        <item x="19"/>
        <item x="125"/>
        <item x="91"/>
        <item x="90"/>
        <item x="30"/>
        <item x="56"/>
        <item x="0"/>
        <item x="116"/>
        <item x="33"/>
        <item x="21"/>
        <item x="39"/>
        <item x="62"/>
        <item x="59"/>
        <item x="6"/>
        <item x="2"/>
        <item x="110"/>
        <item x="42"/>
        <item x="25"/>
        <item x="60"/>
        <item x="63"/>
        <item x="22"/>
        <item x="76"/>
        <item x="92"/>
        <item x="68"/>
        <item x="35"/>
        <item x="113"/>
        <item x="9"/>
        <item x="75"/>
        <item x="123"/>
        <item x="26"/>
        <item x="27"/>
        <item x="121"/>
        <item x="13"/>
        <item x="20"/>
        <item x="100"/>
        <item x="43"/>
        <item x="78"/>
        <item x="86"/>
        <item x="117"/>
        <item x="46"/>
        <item x="10"/>
        <item t="default"/>
      </items>
    </pivotField>
    <pivotField axis="axisRow" showAll="0" measureFilter="1" sortType="descending">
      <items count="127">
        <item x="10"/>
        <item x="46"/>
        <item x="117"/>
        <item x="86"/>
        <item x="78"/>
        <item x="43"/>
        <item x="100"/>
        <item x="20"/>
        <item x="13"/>
        <item x="121"/>
        <item x="27"/>
        <item x="26"/>
        <item x="123"/>
        <item x="75"/>
        <item x="9"/>
        <item x="113"/>
        <item x="35"/>
        <item x="68"/>
        <item x="92"/>
        <item x="76"/>
        <item x="22"/>
        <item x="63"/>
        <item x="60"/>
        <item x="25"/>
        <item x="42"/>
        <item x="110"/>
        <item x="2"/>
        <item x="6"/>
        <item x="59"/>
        <item x="62"/>
        <item x="39"/>
        <item x="21"/>
        <item x="33"/>
        <item x="116"/>
        <item x="0"/>
        <item x="56"/>
        <item x="30"/>
        <item x="90"/>
        <item x="91"/>
        <item x="125"/>
        <item x="19"/>
        <item x="83"/>
        <item x="52"/>
        <item x="31"/>
        <item x="103"/>
        <item x="105"/>
        <item x="122"/>
        <item x="96"/>
        <item x="51"/>
        <item x="17"/>
        <item x="107"/>
        <item x="80"/>
        <item x="81"/>
        <item x="3"/>
        <item x="115"/>
        <item x="85"/>
        <item x="50"/>
        <item x="32"/>
        <item x="89"/>
        <item x="111"/>
        <item x="41"/>
        <item x="71"/>
        <item x="104"/>
        <item x="37"/>
        <item x="93"/>
        <item x="36"/>
        <item x="11"/>
        <item x="58"/>
        <item x="98"/>
        <item x="55"/>
        <item x="61"/>
        <item x="15"/>
        <item x="124"/>
        <item x="73"/>
        <item x="102"/>
        <item x="8"/>
        <item x="38"/>
        <item x="12"/>
        <item x="54"/>
        <item x="16"/>
        <item x="88"/>
        <item x="108"/>
        <item x="53"/>
        <item x="40"/>
        <item x="4"/>
        <item x="29"/>
        <item x="28"/>
        <item x="82"/>
        <item x="101"/>
        <item x="24"/>
        <item x="120"/>
        <item x="49"/>
        <item x="77"/>
        <item x="70"/>
        <item x="106"/>
        <item x="69"/>
        <item x="109"/>
        <item x="99"/>
        <item x="45"/>
        <item x="87"/>
        <item x="5"/>
        <item x="66"/>
        <item x="18"/>
        <item x="34"/>
        <item x="67"/>
        <item x="48"/>
        <item x="57"/>
        <item x="7"/>
        <item x="14"/>
        <item x="114"/>
        <item x="64"/>
        <item x="65"/>
        <item x="84"/>
        <item x="119"/>
        <item x="97"/>
        <item x="74"/>
        <item x="47"/>
        <item x="72"/>
        <item x="95"/>
        <item x="79"/>
        <item x="112"/>
        <item x="118"/>
        <item x="44"/>
        <item x="94"/>
        <item x="1"/>
        <item x="23"/>
        <item t="default"/>
      </items>
    </pivotField>
    <pivotField showAll="0">
      <items count="5">
        <item x="1"/>
        <item x="3"/>
        <item x="2"/>
        <item x="0"/>
        <item t="default"/>
      </items>
    </pivotField>
    <pivotField showAll="0">
      <items count="11">
        <item x="9"/>
        <item x="3"/>
        <item x="8"/>
        <item x="6"/>
        <item x="0"/>
        <item x="2"/>
        <item x="1"/>
        <item x="4"/>
        <item x="7"/>
        <item x="5"/>
        <item t="default"/>
      </items>
    </pivotField>
  </pivotFields>
  <rowFields count="1">
    <field x="19"/>
  </rowFields>
  <rowItems count="11">
    <i>
      <x v="11"/>
    </i>
    <i>
      <x v="16"/>
    </i>
    <i>
      <x v="17"/>
    </i>
    <i>
      <x v="27"/>
    </i>
    <i>
      <x v="36"/>
    </i>
    <i>
      <x v="61"/>
    </i>
    <i>
      <x v="79"/>
    </i>
    <i>
      <x v="102"/>
    </i>
    <i>
      <x v="105"/>
    </i>
    <i>
      <x v="115"/>
    </i>
    <i t="grand">
      <x/>
    </i>
  </rowItems>
  <colItems count="1">
    <i/>
  </colItems>
  <dataFields count="1">
    <dataField name="Sum of Revenue" fld="13"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557FC6-34EF-4CB1-88B7-17C89BCF8B8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N5:O10" firstHeaderRow="1" firstDataRow="1" firstDataCol="1"/>
  <pivotFields count="2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numFmtId="166" showAll="0"/>
    <pivotField numFmtId="166" showAll="0"/>
    <pivotField showAll="0"/>
    <pivotField showAll="0"/>
    <pivotField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items count="11">
        <item x="9"/>
        <item x="3"/>
        <item x="8"/>
        <item x="6"/>
        <item x="0"/>
        <item x="2"/>
        <item x="1"/>
        <item x="4"/>
        <item x="7"/>
        <item x="5"/>
        <item t="default"/>
      </items>
    </pivotField>
  </pivotFields>
  <rowFields count="1">
    <field x="20"/>
  </rowFields>
  <rowItems count="5">
    <i>
      <x/>
    </i>
    <i>
      <x v="1"/>
    </i>
    <i>
      <x v="2"/>
    </i>
    <i>
      <x v="3"/>
    </i>
    <i t="grand">
      <x/>
    </i>
  </rowItems>
  <colItems count="1">
    <i/>
  </colItems>
  <dataFields count="1">
    <dataField name="Count of Order ID" fld="0" subtotal="count" baseField="0" baseItem="0"/>
  </dataFields>
  <chartFormats count="10">
    <chartFormat chart="3"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0" count="1" selected="0">
            <x v="0"/>
          </reference>
        </references>
      </pivotArea>
    </chartFormat>
    <chartFormat chart="10" format="8">
      <pivotArea type="data" outline="0" fieldPosition="0">
        <references count="2">
          <reference field="4294967294" count="1" selected="0">
            <x v="0"/>
          </reference>
          <reference field="20" count="1" selected="0">
            <x v="1"/>
          </reference>
        </references>
      </pivotArea>
    </chartFormat>
    <chartFormat chart="10" format="9">
      <pivotArea type="data" outline="0" fieldPosition="0">
        <references count="2">
          <reference field="4294967294" count="1" selected="0">
            <x v="0"/>
          </reference>
          <reference field="20" count="1" selected="0">
            <x v="2"/>
          </reference>
        </references>
      </pivotArea>
    </chartFormat>
    <chartFormat chart="10" format="10">
      <pivotArea type="data" outline="0" fieldPosition="0">
        <references count="2">
          <reference field="4294967294" count="1" selected="0">
            <x v="0"/>
          </reference>
          <reference field="20" count="1" selected="0">
            <x v="3"/>
          </reference>
        </references>
      </pivotArea>
    </chartFormat>
    <chartFormat chart="3" format="1">
      <pivotArea type="data" outline="0" fieldPosition="0">
        <references count="2">
          <reference field="4294967294" count="1" selected="0">
            <x v="0"/>
          </reference>
          <reference field="20" count="1" selected="0">
            <x v="0"/>
          </reference>
        </references>
      </pivotArea>
    </chartFormat>
    <chartFormat chart="3" format="2">
      <pivotArea type="data" outline="0" fieldPosition="0">
        <references count="2">
          <reference field="4294967294" count="1" selected="0">
            <x v="0"/>
          </reference>
          <reference field="20" count="1" selected="0">
            <x v="1"/>
          </reference>
        </references>
      </pivotArea>
    </chartFormat>
    <chartFormat chart="3" format="3">
      <pivotArea type="data" outline="0" fieldPosition="0">
        <references count="2">
          <reference field="4294967294" count="1" selected="0">
            <x v="0"/>
          </reference>
          <reference field="20" count="1" selected="0">
            <x v="2"/>
          </reference>
        </references>
      </pivotArea>
    </chartFormat>
    <chartFormat chart="3" format="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85046C-FE1F-4C04-B9CB-5B71A63010E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0:C26" firstHeaderRow="0" firstDataRow="1" firstDataCol="1"/>
  <pivotFields count="22">
    <pivotField showAll="0"/>
    <pivotField numFmtId="165"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numFmtId="166" showAll="0"/>
    <pivotField numFmtId="166" showAll="0"/>
    <pivotField showAll="0"/>
    <pivotField showAll="0"/>
    <pivotField axis="axisRow" showAll="0">
      <items count="6">
        <item x="1"/>
        <item x="0"/>
        <item x="4"/>
        <item x="3"/>
        <item x="2"/>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items count="5">
        <item x="1"/>
        <item x="3"/>
        <item x="2"/>
        <item x="0"/>
        <item t="default"/>
      </items>
    </pivotField>
    <pivotField showAll="0">
      <items count="11">
        <item x="9"/>
        <item x="3"/>
        <item x="8"/>
        <item x="6"/>
        <item x="0"/>
        <item x="2"/>
        <item x="1"/>
        <item x="4"/>
        <item x="7"/>
        <item x="5"/>
        <item t="default"/>
      </items>
    </pivotField>
  </pivotFields>
  <rowFields count="1">
    <field x="7"/>
  </rowFields>
  <rowItems count="6">
    <i>
      <x/>
    </i>
    <i>
      <x v="1"/>
    </i>
    <i>
      <x v="2"/>
    </i>
    <i>
      <x v="3"/>
    </i>
    <i>
      <x v="4"/>
    </i>
    <i t="grand">
      <x/>
    </i>
  </rowItems>
  <colFields count="1">
    <field x="-2"/>
  </colFields>
  <colItems count="2">
    <i>
      <x/>
    </i>
    <i i="1">
      <x v="1"/>
    </i>
  </colItems>
  <dataFields count="2">
    <dataField name="Sum of Revenue" fld="13" baseField="0" baseItem="0"/>
    <dataField name="Sum of Profit" fld="15"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D5E737-7369-4460-99D1-DEA605EC3C7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B14" firstHeaderRow="1" firstDataRow="1" firstDataCol="1"/>
  <pivotFields count="22">
    <pivotField showAll="0"/>
    <pivotField numFmtId="165"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axis="axisRow" showAll="0" sortType="ascending">
      <items count="13">
        <item x="0"/>
        <item x="1"/>
        <item x="2"/>
        <item x="3"/>
        <item x="4"/>
        <item x="5"/>
        <item x="6"/>
        <item x="7"/>
        <item x="8"/>
        <item x="9"/>
        <item x="10"/>
        <item x="11"/>
        <item t="default"/>
      </items>
    </pivotField>
    <pivotField numFmtId="166" showAll="0">
      <items count="13">
        <item x="0"/>
        <item x="1"/>
        <item x="2"/>
        <item x="3"/>
        <item x="4"/>
        <item x="5"/>
        <item x="6"/>
        <item x="7"/>
        <item x="8"/>
        <item x="9"/>
        <item x="10"/>
        <item x="11"/>
        <item t="default"/>
      </items>
    </pivotField>
    <pivotField numFmtId="166" showAll="0"/>
    <pivotField showAll="0"/>
    <pivotField showAll="0"/>
    <pivotField showAll="0">
      <items count="6">
        <item x="1"/>
        <item x="0"/>
        <item x="4"/>
        <item x="3"/>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5">
        <item x="1"/>
        <item x="3"/>
        <item x="2"/>
        <item x="0"/>
        <item t="default"/>
      </items>
    </pivotField>
    <pivotField showAll="0">
      <items count="11">
        <item x="9"/>
        <item x="3"/>
        <item x="8"/>
        <item x="6"/>
        <item x="0"/>
        <item x="2"/>
        <item x="1"/>
        <item x="4"/>
        <item x="7"/>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13" baseField="0" baseItem="0"/>
  </dataField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225EFB8-39D2-4669-84CF-3CE24A018DD3}" sourceName="Month">
  <pivotTables>
    <pivotTable tabId="4" name="PivotTable5"/>
  </pivotTables>
  <data>
    <tabular pivotCacheId="206259033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22C1FC4-8586-4229-8FF5-194827F73564}" sourceName="Product Category">
  <pivotTables>
    <pivotTable tabId="4" name="PivotTable5"/>
    <pivotTable tabId="4" name="PivotTable2"/>
    <pivotTable tabId="4" name="PivotTable3"/>
    <pivotTable tabId="4" name="PivotTable4"/>
  </pivotTables>
  <data>
    <tabular pivotCacheId="2062590331">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Status" xr10:uid="{85F47A19-B2A1-49C3-A417-6715515695BA}" sourceName="Shipment Status">
  <pivotTables>
    <pivotTable tabId="4" name="PivotTable5"/>
    <pivotTable tabId="4" name="PivotTable2"/>
    <pivotTable tabId="4" name="PivotTable3"/>
    <pivotTable tabId="4" name="PivotTable4"/>
  </pivotTables>
  <data>
    <tabular pivotCacheId="2062590331">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0CC3E82-F73C-4AB2-9D72-D330A19AACD9}" sourceName="State">
  <pivotTables>
    <pivotTable tabId="4" name="PivotTable5"/>
    <pivotTable tabId="4" name="PivotTable2"/>
    <pivotTable tabId="4" name="PivotTable3"/>
    <pivotTable tabId="4" name="PivotTable4"/>
  </pivotTables>
  <data>
    <tabular pivotCacheId="2062590331">
      <items count="10">
        <i x="9" s="1"/>
        <i x="3" s="1"/>
        <i x="8" s="1"/>
        <i x="6" s="1"/>
        <i x="0" s="1"/>
        <i x="2" s="1"/>
        <i x="1" s="1"/>
        <i x="4"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72AC1DF-F7F9-4B17-B477-BC8269BA2DEF}" cache="Slicer_Month" caption="Month" startItem="4" rowHeight="241300"/>
  <slicer name="Product Category" xr10:uid="{843E022C-C7F1-42B0-9E46-2F9674C11D81}" cache="Slicer_Product_Category" caption="Product Category" rowHeight="241300"/>
  <slicer name="Shipment Status" xr10:uid="{BE9DE4EF-0DB7-46B6-90D0-00C3E30196C8}" cache="Slicer_Shipment_Status" caption="Shipment Status" rowHeight="241300"/>
  <slicer name="State" xr10:uid="{7E4013F7-CF4C-4BE5-BDD9-65B2AE6F4210}" cache="Slicer_State" caption="State" startItem="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037CDBD3-F771-4BF0-8CEE-C880A13FECFD}" cache="Slicer_Product_Category" caption="Product Category" startItem="1" showCaption="0" rowHeight="241300"/>
  <slicer name="Shipment Status 1" xr10:uid="{E19E732A-E61F-4A2E-BCCE-88BD103FBA94}" cache="Slicer_Shipment_Status" caption="Shipment Status" showCaption="0" rowHeight="241300"/>
  <slicer name="State 1" xr10:uid="{B3B356C2-CF24-466F-9C46-41A6637D72A5}" cache="Slicer_State" caption="State" startItem="2"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8103F2-7114-41E1-B3CA-97EFB19D6963}" name="SalesData" displayName="SalesData" ref="A1:V1001" totalsRowShown="0" headerRowDxfId="12" headerRowBorderDxfId="11" tableBorderDxfId="10">
  <autoFilter ref="A1:V1001" xr:uid="{F48103F2-7114-41E1-B3CA-97EFB19D6963}"/>
  <tableColumns count="22">
    <tableColumn id="1" xr3:uid="{4F8C9EBB-0602-45C0-9B49-877A21E4653F}" name="Order ID"/>
    <tableColumn id="2" xr3:uid="{2EDFFDFD-6BF3-4AB5-BD62-627D6CDD5453}" name="Order Date" dataDxfId="9"/>
    <tableColumn id="20" xr3:uid="{7A108123-7A65-4E88-AEA5-09545D69AFFF}" name="Month" dataDxfId="8">
      <calculatedColumnFormula>TEXT(SalesData[[#This Row],[Order Date]],"mmm")</calculatedColumnFormula>
    </tableColumn>
    <tableColumn id="22" xr3:uid="{968FB010-9EB7-4BC1-A8DE-C40BB461BB0F}" name="Month Number" dataDxfId="7">
      <calculatedColumnFormula>MONTH(SalesData[[#This Row],[Order Date]])</calculatedColumnFormula>
    </tableColumn>
    <tableColumn id="23" xr3:uid="{CB2F29CC-914B-4A7A-87D5-4F485335D0D5}" name="Year" dataDxfId="6">
      <calculatedColumnFormula>YEAR(SalesData[[#This Row],[Order Date]])</calculatedColumnFormula>
    </tableColumn>
    <tableColumn id="3" xr3:uid="{612AB038-A9F1-43FD-8A74-F6B763E9F43B}" name="Product Name"/>
    <tableColumn id="12" xr3:uid="{4A81B48C-8BC9-4BB8-ABEF-38EE4274E281}" name="Cleaned Product Name" dataDxfId="5">
      <calculatedColumnFormula>PROPER(SalesData[[#This Row],[Product Name]])</calculatedColumnFormula>
    </tableColumn>
    <tableColumn id="4" xr3:uid="{E0128801-4DD2-4A46-8E83-25F969ED639D}" name="Product Category"/>
    <tableColumn id="14" xr3:uid="{C3E2D318-A6AC-4F8C-B760-2CCC7D670BB5}" name="Cleaned Product Category" dataDxfId="4">
      <calculatedColumnFormula>UPPER(SalesData[[#This Row],[Product Category]])</calculatedColumnFormula>
    </tableColumn>
    <tableColumn id="5" xr3:uid="{4E531D5E-5FD6-4B66-91E6-96F03530CF83}" name="Quantity Sold"/>
    <tableColumn id="6" xr3:uid="{4D2B42A3-7340-4CE8-B8A2-50F6C554D7BC}" name="Unit Price"/>
    <tableColumn id="15" xr3:uid="{F1D8BC66-345E-4631-8D32-0BB69BFA277E}" name="Cleaned Unit Price" dataCellStyle="Currency">
      <calculatedColumnFormula>IF(SalesData[[#This Row],[Unit Price]]="",
    AVERAGEIFS(SalesData[Unit Price],
               SalesData[Product Name],SalesData[[#This Row],[Product Name]]),
    SalesData[[#This Row],[Unit Price]])</calculatedColumnFormula>
    </tableColumn>
    <tableColumn id="7" xr3:uid="{DD99C890-93DA-46E2-B461-BA562441427C}" name="Unit Cost" dataCellStyle="Currency"/>
    <tableColumn id="16" xr3:uid="{CF1E4EEE-0E94-4642-8F1A-F44C59D1840A}" name="Revenue" dataCellStyle="Currency">
      <calculatedColumnFormula>SalesData[[#This Row],[Quantity Sold]] * SalesData[[#This Row],[Cleaned Unit Price]]</calculatedColumnFormula>
    </tableColumn>
    <tableColumn id="17" xr3:uid="{AB09689A-2BAE-46E3-B7C1-547F491CCEC9}" name="Cost" dataCellStyle="Currency">
      <calculatedColumnFormula>SalesData[[#This Row],[Quantity Sold]] * SalesData[[#This Row],[Unit Cost]]</calculatedColumnFormula>
    </tableColumn>
    <tableColumn id="18" xr3:uid="{D461BA62-886C-4C1B-8454-892E73D87431}" name="Profit" dataCellStyle="Currency">
      <calculatedColumnFormula>SalesData[[#This Row],[Revenue]] - SalesData[[#This Row],[Cost]]</calculatedColumnFormula>
    </tableColumn>
    <tableColumn id="19" xr3:uid="{9DF023F5-CB9B-4295-AC60-DAC16128451F}" name="Profit Margin" dataDxfId="3">
      <calculatedColumnFormula>IF(SalesData[[#This Row],[Revenue]]=0,0,SalesData[[#This Row],[Profit]]/SalesData[[#This Row],[Revenue]])</calculatedColumnFormula>
    </tableColumn>
    <tableColumn id="8" xr3:uid="{C98DA50F-C4DC-4D5D-846B-9D99600C67A3}" name="Customer ID"/>
    <tableColumn id="9" xr3:uid="{46384564-D917-4355-BCAF-C7C241610C23}" name="Customer Name"/>
    <tableColumn id="13" xr3:uid="{5963E912-A334-4763-9BFC-2513EB4C3D7F}" name="Cleaned Customer Name " dataDxfId="2">
      <calculatedColumnFormula>PROPER(SalesData[[#This Row],[Customer Name]])</calculatedColumnFormula>
    </tableColumn>
    <tableColumn id="10" xr3:uid="{807286A5-9468-4C54-A8B6-E45FBBA52F15}" name="Shipment Status"/>
    <tableColumn id="11" xr3:uid="{0F87ADD5-F111-44B8-9604-B431DA8E76BF}" name="Stat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0386A1-E098-4812-93BC-CF24A4921C16}" name="OrderAndCustomerKPIs" displayName="OrderAndCustomerKPIs" ref="A1:H2" totalsRowShown="0" headerRowDxfId="1">
  <autoFilter ref="A1:H2" xr:uid="{610386A1-E098-4812-93BC-CF24A4921C16}"/>
  <tableColumns count="8">
    <tableColumn id="1" xr3:uid="{414A000C-0497-4084-B6C4-4ABE2CC8513D}" name="Total Revenue" dataCellStyle="Currency">
      <calculatedColumnFormula>SUM(SalesData[Revenue])</calculatedColumnFormula>
    </tableColumn>
    <tableColumn id="2" xr3:uid="{884F2ED4-643A-47E9-BACA-4208A71BB95A}" name="Total Profit" dataCellStyle="Currency">
      <calculatedColumnFormula>SUM(SalesData[Profit])</calculatedColumnFormula>
    </tableColumn>
    <tableColumn id="3" xr3:uid="{5A737FB8-EA2C-445C-BEB4-F3AAFA340338}" name="Avg Order Value (AOV)">
      <calculatedColumnFormula>COUNTA(_xlfn.UNIQUE(SalesData[Order ID]))</calculatedColumnFormula>
    </tableColumn>
    <tableColumn id="4" xr3:uid="{3E7BF28D-354C-4F82-89AF-CCFCD7BDC7E0}" name="Delivery Rate">
      <calculatedColumnFormula>COUNTIFS(SalesData[Shipment Status],"Delivered")
 / COUNTA(SalesData[Order ID])</calculatedColumnFormula>
    </tableColumn>
    <tableColumn id="5" xr3:uid="{CE30296A-CDB4-4350-BA9E-A23E4ACD86A4}" name="Return Rate">
      <calculatedColumnFormula>COUNTIFS(SalesData[Shipment Status],"Returned")
 / COUNTA(SalesData[Order ID])</calculatedColumnFormula>
    </tableColumn>
    <tableColumn id="6" xr3:uid="{F639BBA7-3779-4D25-94B7-5EADE7F141A0}" name="Avg Profit Margin">
      <calculatedColumnFormula>AVERAGE(SalesData[Profit Margin])</calculatedColumnFormula>
    </tableColumn>
    <tableColumn id="7" xr3:uid="{08A93D73-3F23-4326-AE71-C913D57B10E8}" name="Total Customers">
      <calculatedColumnFormula>COUNTA(_xlfn.UNIQUE(SalesData[Customer ID]))</calculatedColumnFormula>
    </tableColumn>
    <tableColumn id="8" xr3:uid="{965BCDCF-3CA9-4ED9-A911-BD332CAB083E}" name="Total Orders (Distinct)">
      <calculatedColumnFormula>COUNTA(_xlfn.UNIQUE(SalesData[Order ID]))</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C184DA-985D-4169-BCBF-E0C7C3285507}" name="OperationalKPIs" displayName="OperationalKPIs" ref="A5:C6" totalsRowShown="0" headerRowDxfId="0">
  <autoFilter ref="A5:C6" xr:uid="{E5C184DA-985D-4169-BCBF-E0C7C3285507}"/>
  <tableColumns count="3">
    <tableColumn id="1" xr3:uid="{FEA86F66-0CF9-4510-A82E-B9171ED80C6D}" name="Delivered Orders">
      <calculatedColumnFormula>COUNTIFS(SalesData[Shipment Status],"Delivered")</calculatedColumnFormula>
    </tableColumn>
    <tableColumn id="2" xr3:uid="{DB60E123-1236-42FB-9BF0-71565A95B58E}" name="Returned Orders">
      <calculatedColumnFormula>COUNTIFS(SalesData[Shipment Status],"Returned")</calculatedColumnFormula>
    </tableColumn>
    <tableColumn id="3" xr3:uid="{C3C96C0D-7A30-4C7A-B765-558110644BF0}" name="Monthly Revenue (Dynamic)">
      <calculatedColumnFormula>SUMIFS(SalesData[Revenue],
        SalesData[Month],A13)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Droplet">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5A0C5D3-DD8A-47B8-9DF0-CDA417D723DE}" sourceName="Order Date">
  <pivotTables>
    <pivotTable tabId="4" name="PivotTable2"/>
    <pivotTable tabId="4" name="PivotTable3"/>
    <pivotTable tabId="4" name="PivotTable4"/>
    <pivotTable tabId="4" name="PivotTable5"/>
  </pivotTables>
  <state minimalRefreshVersion="6" lastRefreshVersion="6" pivotCacheId="2062590331"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7F5DD53-3391-4920-94E9-D9C3ACBB72AA}" cache="NativeTimeline_Order_Date" caption="Order Date" level="2" selectionLevel="2" scrollPosition="2024-05-18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workbookViewId="0">
      <selection activeCell="F1" sqref="F1"/>
    </sheetView>
  </sheetViews>
  <sheetFormatPr defaultRowHeight="13.8" x14ac:dyDescent="0.25"/>
  <cols>
    <col min="1" max="1" width="8.3984375" customWidth="1"/>
    <col min="2" max="2" width="10" customWidth="1"/>
    <col min="3" max="3" width="28.69921875" customWidth="1"/>
    <col min="4" max="4" width="15.3984375" customWidth="1"/>
    <col min="5" max="5" width="12" customWidth="1"/>
    <col min="6" max="6" width="13.3984375" customWidth="1"/>
    <col min="7" max="7" width="13" customWidth="1"/>
    <col min="8" max="8" width="11.19921875" customWidth="1"/>
    <col min="9" max="9" width="17.69921875" customWidth="1"/>
    <col min="10" max="10" width="14.5" customWidth="1"/>
    <col min="11" max="11" width="13"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1428</v>
      </c>
      <c r="B2" s="2">
        <v>45292</v>
      </c>
      <c r="C2" t="s">
        <v>642</v>
      </c>
      <c r="D2" t="s">
        <v>1015</v>
      </c>
      <c r="E2">
        <v>10</v>
      </c>
      <c r="F2">
        <v>10</v>
      </c>
      <c r="G2">
        <v>3.42</v>
      </c>
      <c r="H2" t="s">
        <v>1029</v>
      </c>
      <c r="I2" t="s">
        <v>1228</v>
      </c>
      <c r="J2" t="s">
        <v>1416</v>
      </c>
      <c r="K2" t="s">
        <v>1418</v>
      </c>
    </row>
    <row r="3" spans="1:11" x14ac:dyDescent="0.25">
      <c r="A3" t="s">
        <v>1429</v>
      </c>
      <c r="B3" s="2">
        <v>45292</v>
      </c>
      <c r="C3" t="s">
        <v>680</v>
      </c>
      <c r="D3" t="s">
        <v>1013</v>
      </c>
      <c r="E3">
        <v>6</v>
      </c>
      <c r="F3">
        <v>25</v>
      </c>
      <c r="G3">
        <v>5.08</v>
      </c>
      <c r="H3" t="s">
        <v>1025</v>
      </c>
      <c r="I3" t="s">
        <v>1224</v>
      </c>
      <c r="J3" t="s">
        <v>1414</v>
      </c>
      <c r="K3" t="s">
        <v>1420</v>
      </c>
    </row>
    <row r="4" spans="1:11" x14ac:dyDescent="0.25">
      <c r="A4" t="s">
        <v>1430</v>
      </c>
      <c r="B4" s="2">
        <v>45293</v>
      </c>
      <c r="C4" t="s">
        <v>273</v>
      </c>
      <c r="D4" t="s">
        <v>1012</v>
      </c>
      <c r="E4">
        <v>7</v>
      </c>
      <c r="F4">
        <v>40</v>
      </c>
      <c r="G4">
        <v>12.35</v>
      </c>
      <c r="H4" t="s">
        <v>1039</v>
      </c>
      <c r="I4" t="s">
        <v>1238</v>
      </c>
      <c r="J4" t="s">
        <v>1416</v>
      </c>
      <c r="K4" t="s">
        <v>1423</v>
      </c>
    </row>
    <row r="5" spans="1:11" x14ac:dyDescent="0.25">
      <c r="A5" t="s">
        <v>1431</v>
      </c>
      <c r="B5" s="2">
        <v>45293</v>
      </c>
      <c r="C5" t="s">
        <v>432</v>
      </c>
      <c r="D5" t="s">
        <v>1015</v>
      </c>
      <c r="E5">
        <v>5</v>
      </c>
      <c r="F5">
        <v>10</v>
      </c>
      <c r="G5">
        <v>3.55</v>
      </c>
      <c r="H5" t="s">
        <v>1034</v>
      </c>
      <c r="I5" t="s">
        <v>1233</v>
      </c>
      <c r="J5" t="s">
        <v>1414</v>
      </c>
      <c r="K5" t="s">
        <v>1419</v>
      </c>
    </row>
    <row r="6" spans="1:11" x14ac:dyDescent="0.25">
      <c r="A6" t="s">
        <v>1432</v>
      </c>
      <c r="B6" s="2">
        <v>45293</v>
      </c>
      <c r="C6" t="s">
        <v>548</v>
      </c>
      <c r="D6" t="s">
        <v>1015</v>
      </c>
      <c r="E6">
        <v>2</v>
      </c>
      <c r="F6">
        <v>10</v>
      </c>
      <c r="G6">
        <v>3.27</v>
      </c>
      <c r="H6" t="s">
        <v>1043</v>
      </c>
      <c r="I6" t="s">
        <v>1242</v>
      </c>
      <c r="J6" t="s">
        <v>1417</v>
      </c>
      <c r="K6" t="s">
        <v>1422</v>
      </c>
    </row>
    <row r="7" spans="1:11" x14ac:dyDescent="0.25">
      <c r="A7" t="s">
        <v>1433</v>
      </c>
      <c r="B7" s="2">
        <v>45293</v>
      </c>
      <c r="C7" t="s">
        <v>710</v>
      </c>
      <c r="D7" t="s">
        <v>1012</v>
      </c>
      <c r="E7">
        <v>8</v>
      </c>
      <c r="F7">
        <v>40</v>
      </c>
      <c r="G7">
        <v>14.7</v>
      </c>
      <c r="H7" t="s">
        <v>1067</v>
      </c>
      <c r="I7" t="s">
        <v>1266</v>
      </c>
      <c r="J7" t="s">
        <v>1415</v>
      </c>
      <c r="K7" t="s">
        <v>1423</v>
      </c>
    </row>
    <row r="8" spans="1:11" x14ac:dyDescent="0.25">
      <c r="A8" t="s">
        <v>1434</v>
      </c>
      <c r="B8" s="2">
        <v>45293</v>
      </c>
      <c r="C8" t="s">
        <v>730</v>
      </c>
      <c r="D8" t="s">
        <v>1014</v>
      </c>
      <c r="E8">
        <v>10</v>
      </c>
      <c r="F8">
        <v>15</v>
      </c>
      <c r="G8">
        <v>5.5</v>
      </c>
      <c r="H8" t="s">
        <v>1047</v>
      </c>
      <c r="I8" t="s">
        <v>1246</v>
      </c>
      <c r="J8" t="s">
        <v>1414</v>
      </c>
      <c r="K8" t="s">
        <v>1423</v>
      </c>
    </row>
    <row r="9" spans="1:11" x14ac:dyDescent="0.25">
      <c r="A9" t="s">
        <v>1435</v>
      </c>
      <c r="B9" s="2">
        <v>45293</v>
      </c>
      <c r="C9" t="s">
        <v>797</v>
      </c>
      <c r="D9" t="s">
        <v>1012</v>
      </c>
      <c r="E9">
        <v>6</v>
      </c>
      <c r="F9">
        <v>40</v>
      </c>
      <c r="G9">
        <v>8.8000000000000007</v>
      </c>
      <c r="H9" t="s">
        <v>1134</v>
      </c>
      <c r="I9" t="s">
        <v>1333</v>
      </c>
      <c r="J9" t="s">
        <v>1414</v>
      </c>
      <c r="K9" t="s">
        <v>1424</v>
      </c>
    </row>
    <row r="10" spans="1:11" x14ac:dyDescent="0.25">
      <c r="A10" t="s">
        <v>1436</v>
      </c>
      <c r="B10" s="2">
        <v>45293</v>
      </c>
      <c r="C10" t="s">
        <v>1008</v>
      </c>
      <c r="D10" t="s">
        <v>1013</v>
      </c>
      <c r="E10">
        <v>1</v>
      </c>
      <c r="F10">
        <v>25</v>
      </c>
      <c r="G10">
        <v>9.01</v>
      </c>
      <c r="H10" t="s">
        <v>1021</v>
      </c>
      <c r="I10" t="s">
        <v>1220</v>
      </c>
      <c r="J10" t="s">
        <v>1414</v>
      </c>
      <c r="K10" t="s">
        <v>1425</v>
      </c>
    </row>
    <row r="11" spans="1:11" x14ac:dyDescent="0.25">
      <c r="A11" t="s">
        <v>1437</v>
      </c>
      <c r="B11" s="2">
        <v>45294</v>
      </c>
      <c r="C11" t="s">
        <v>39</v>
      </c>
      <c r="D11" t="s">
        <v>1015</v>
      </c>
      <c r="E11">
        <v>2</v>
      </c>
      <c r="F11">
        <v>10</v>
      </c>
      <c r="G11">
        <v>2.89</v>
      </c>
      <c r="H11" t="s">
        <v>1016</v>
      </c>
      <c r="I11" t="s">
        <v>1215</v>
      </c>
      <c r="J11" t="s">
        <v>1414</v>
      </c>
      <c r="K11" t="s">
        <v>1420</v>
      </c>
    </row>
    <row r="12" spans="1:11" x14ac:dyDescent="0.25">
      <c r="A12" t="s">
        <v>1438</v>
      </c>
      <c r="B12" s="2">
        <v>45294</v>
      </c>
      <c r="C12" t="s">
        <v>247</v>
      </c>
      <c r="D12" t="s">
        <v>1012</v>
      </c>
      <c r="E12">
        <v>8</v>
      </c>
      <c r="F12">
        <v>40</v>
      </c>
      <c r="G12">
        <v>9.99</v>
      </c>
      <c r="H12" t="s">
        <v>1156</v>
      </c>
      <c r="I12" t="s">
        <v>1355</v>
      </c>
      <c r="J12" t="s">
        <v>1414</v>
      </c>
      <c r="K12" t="s">
        <v>1422</v>
      </c>
    </row>
    <row r="13" spans="1:11" x14ac:dyDescent="0.25">
      <c r="A13" t="s">
        <v>1439</v>
      </c>
      <c r="B13" s="2">
        <v>45294</v>
      </c>
      <c r="C13" t="s">
        <v>400</v>
      </c>
      <c r="D13" t="s">
        <v>1011</v>
      </c>
      <c r="E13">
        <v>3</v>
      </c>
      <c r="F13">
        <v>12</v>
      </c>
      <c r="G13">
        <v>2.88</v>
      </c>
      <c r="H13" t="s">
        <v>1139</v>
      </c>
      <c r="I13" t="s">
        <v>1338</v>
      </c>
      <c r="J13" t="s">
        <v>1414</v>
      </c>
      <c r="K13" t="s">
        <v>1421</v>
      </c>
    </row>
    <row r="14" spans="1:11" x14ac:dyDescent="0.25">
      <c r="A14" t="s">
        <v>1440</v>
      </c>
      <c r="B14" s="2">
        <v>45294</v>
      </c>
      <c r="C14" t="s">
        <v>813</v>
      </c>
      <c r="D14" t="s">
        <v>1015</v>
      </c>
      <c r="E14">
        <v>1</v>
      </c>
      <c r="F14">
        <v>10</v>
      </c>
      <c r="G14">
        <v>2.35</v>
      </c>
      <c r="H14" t="s">
        <v>1159</v>
      </c>
      <c r="I14" t="s">
        <v>1358</v>
      </c>
      <c r="J14" t="s">
        <v>1414</v>
      </c>
      <c r="K14" t="s">
        <v>1426</v>
      </c>
    </row>
    <row r="15" spans="1:11" x14ac:dyDescent="0.25">
      <c r="A15" t="s">
        <v>1441</v>
      </c>
      <c r="B15" s="2">
        <v>45295</v>
      </c>
      <c r="C15" t="s">
        <v>149</v>
      </c>
      <c r="D15" t="s">
        <v>1013</v>
      </c>
      <c r="E15">
        <v>1</v>
      </c>
      <c r="F15">
        <v>25</v>
      </c>
      <c r="G15">
        <v>8.85</v>
      </c>
      <c r="H15" t="s">
        <v>1120</v>
      </c>
      <c r="I15" t="s">
        <v>1319</v>
      </c>
      <c r="J15" t="s">
        <v>1414</v>
      </c>
      <c r="K15" t="s">
        <v>1423</v>
      </c>
    </row>
    <row r="16" spans="1:11" x14ac:dyDescent="0.25">
      <c r="A16" t="s">
        <v>1442</v>
      </c>
      <c r="B16" s="2">
        <v>45295</v>
      </c>
      <c r="C16" t="s">
        <v>492</v>
      </c>
      <c r="D16" t="s">
        <v>1012</v>
      </c>
      <c r="E16">
        <v>6</v>
      </c>
      <c r="F16">
        <v>40</v>
      </c>
      <c r="G16">
        <v>14.54</v>
      </c>
      <c r="H16" t="s">
        <v>1201</v>
      </c>
      <c r="I16" t="s">
        <v>1400</v>
      </c>
      <c r="J16" t="s">
        <v>1415</v>
      </c>
      <c r="K16" t="s">
        <v>1420</v>
      </c>
    </row>
    <row r="17" spans="1:11" x14ac:dyDescent="0.25">
      <c r="A17" t="s">
        <v>1443</v>
      </c>
      <c r="B17" s="2">
        <v>45295</v>
      </c>
      <c r="C17" t="s">
        <v>639</v>
      </c>
      <c r="D17" t="s">
        <v>1015</v>
      </c>
      <c r="E17">
        <v>10</v>
      </c>
      <c r="F17">
        <v>10</v>
      </c>
      <c r="G17">
        <v>2.36</v>
      </c>
      <c r="H17" t="s">
        <v>1035</v>
      </c>
      <c r="I17" t="s">
        <v>1234</v>
      </c>
      <c r="J17" t="s">
        <v>1416</v>
      </c>
      <c r="K17" t="s">
        <v>1421</v>
      </c>
    </row>
    <row r="18" spans="1:11" x14ac:dyDescent="0.25">
      <c r="A18" t="s">
        <v>1444</v>
      </c>
      <c r="B18" s="2">
        <v>45295</v>
      </c>
      <c r="C18" t="s">
        <v>952</v>
      </c>
      <c r="D18" t="s">
        <v>1015</v>
      </c>
      <c r="E18">
        <v>2</v>
      </c>
      <c r="F18">
        <v>10</v>
      </c>
      <c r="G18">
        <v>2.0699999999999998</v>
      </c>
      <c r="H18" t="s">
        <v>1039</v>
      </c>
      <c r="I18" t="s">
        <v>1238</v>
      </c>
      <c r="J18" t="s">
        <v>1414</v>
      </c>
      <c r="K18" t="s">
        <v>1423</v>
      </c>
    </row>
    <row r="19" spans="1:11" x14ac:dyDescent="0.25">
      <c r="A19" t="s">
        <v>1445</v>
      </c>
      <c r="B19" s="2">
        <v>45296</v>
      </c>
      <c r="C19" t="s">
        <v>224</v>
      </c>
      <c r="D19" t="s">
        <v>1013</v>
      </c>
      <c r="E19">
        <v>7</v>
      </c>
      <c r="F19">
        <v>25</v>
      </c>
      <c r="G19">
        <v>6.64</v>
      </c>
      <c r="H19" t="s">
        <v>1147</v>
      </c>
      <c r="I19" t="s">
        <v>1346</v>
      </c>
      <c r="J19" t="s">
        <v>1414</v>
      </c>
      <c r="K19" t="s">
        <v>1420</v>
      </c>
    </row>
    <row r="20" spans="1:11" x14ac:dyDescent="0.25">
      <c r="A20" t="s">
        <v>1446</v>
      </c>
      <c r="B20" s="2">
        <v>45296</v>
      </c>
      <c r="C20" t="s">
        <v>753</v>
      </c>
      <c r="D20" t="s">
        <v>1012</v>
      </c>
      <c r="E20">
        <v>5</v>
      </c>
      <c r="F20">
        <v>40</v>
      </c>
      <c r="G20">
        <v>15.48</v>
      </c>
      <c r="H20" t="s">
        <v>1168</v>
      </c>
      <c r="I20" t="s">
        <v>1367</v>
      </c>
      <c r="J20" t="s">
        <v>1414</v>
      </c>
      <c r="K20" t="s">
        <v>1424</v>
      </c>
    </row>
    <row r="21" spans="1:11" x14ac:dyDescent="0.25">
      <c r="A21" t="s">
        <v>1447</v>
      </c>
      <c r="B21" s="2">
        <v>45296</v>
      </c>
      <c r="C21" t="s">
        <v>888</v>
      </c>
      <c r="D21" t="s">
        <v>1015</v>
      </c>
      <c r="E21">
        <v>8</v>
      </c>
      <c r="F21">
        <v>10</v>
      </c>
      <c r="G21">
        <v>2.67</v>
      </c>
      <c r="H21" t="s">
        <v>1116</v>
      </c>
      <c r="I21" t="s">
        <v>1315</v>
      </c>
      <c r="J21" t="s">
        <v>1414</v>
      </c>
      <c r="K21" t="s">
        <v>1421</v>
      </c>
    </row>
    <row r="22" spans="1:11" x14ac:dyDescent="0.25">
      <c r="A22" t="s">
        <v>1448</v>
      </c>
      <c r="B22" s="2">
        <v>45296</v>
      </c>
      <c r="C22" t="s">
        <v>922</v>
      </c>
      <c r="D22" t="s">
        <v>1011</v>
      </c>
      <c r="E22">
        <v>3</v>
      </c>
      <c r="F22">
        <v>12</v>
      </c>
      <c r="G22">
        <v>3.23</v>
      </c>
      <c r="H22" t="s">
        <v>1025</v>
      </c>
      <c r="I22" t="s">
        <v>1224</v>
      </c>
      <c r="J22" t="s">
        <v>1414</v>
      </c>
      <c r="K22" t="s">
        <v>1425</v>
      </c>
    </row>
    <row r="23" spans="1:11" x14ac:dyDescent="0.25">
      <c r="A23" t="s">
        <v>1449</v>
      </c>
      <c r="B23" s="2">
        <v>45297</v>
      </c>
      <c r="C23" t="s">
        <v>72</v>
      </c>
      <c r="D23" t="s">
        <v>1012</v>
      </c>
      <c r="E23">
        <v>3</v>
      </c>
      <c r="F23">
        <v>40</v>
      </c>
      <c r="G23">
        <v>11.81</v>
      </c>
      <c r="H23" t="s">
        <v>1066</v>
      </c>
      <c r="I23" t="s">
        <v>1265</v>
      </c>
      <c r="J23" t="s">
        <v>1415</v>
      </c>
      <c r="K23" t="s">
        <v>1422</v>
      </c>
    </row>
    <row r="24" spans="1:11" x14ac:dyDescent="0.25">
      <c r="A24" t="s">
        <v>1450</v>
      </c>
      <c r="B24" s="2">
        <v>45297</v>
      </c>
      <c r="C24" t="s">
        <v>201</v>
      </c>
      <c r="D24" t="s">
        <v>1012</v>
      </c>
      <c r="E24">
        <v>6</v>
      </c>
      <c r="F24">
        <v>40</v>
      </c>
      <c r="G24">
        <v>12.11</v>
      </c>
      <c r="H24" t="s">
        <v>1050</v>
      </c>
      <c r="I24" t="s">
        <v>1249</v>
      </c>
      <c r="J24" t="s">
        <v>1414</v>
      </c>
      <c r="K24" t="s">
        <v>1422</v>
      </c>
    </row>
    <row r="25" spans="1:11" x14ac:dyDescent="0.25">
      <c r="A25" t="s">
        <v>1451</v>
      </c>
      <c r="B25" s="2">
        <v>45297</v>
      </c>
      <c r="C25" t="s">
        <v>808</v>
      </c>
      <c r="D25" t="s">
        <v>1013</v>
      </c>
      <c r="E25">
        <v>7</v>
      </c>
      <c r="F25">
        <v>25</v>
      </c>
      <c r="G25">
        <v>8.4499999999999993</v>
      </c>
      <c r="H25" t="s">
        <v>1107</v>
      </c>
      <c r="I25" t="s">
        <v>1306</v>
      </c>
      <c r="J25" t="s">
        <v>1414</v>
      </c>
      <c r="K25" t="s">
        <v>1424</v>
      </c>
    </row>
    <row r="26" spans="1:11" x14ac:dyDescent="0.25">
      <c r="A26" t="s">
        <v>1452</v>
      </c>
      <c r="B26" s="2">
        <v>45297</v>
      </c>
      <c r="C26" t="s">
        <v>819</v>
      </c>
      <c r="D26" t="s">
        <v>1015</v>
      </c>
      <c r="E26">
        <v>8</v>
      </c>
      <c r="G26">
        <v>3.8</v>
      </c>
      <c r="H26" t="s">
        <v>1185</v>
      </c>
      <c r="I26" t="s">
        <v>1384</v>
      </c>
      <c r="J26" t="s">
        <v>1417</v>
      </c>
      <c r="K26" t="s">
        <v>1421</v>
      </c>
    </row>
    <row r="27" spans="1:11" x14ac:dyDescent="0.25">
      <c r="A27" t="s">
        <v>1453</v>
      </c>
      <c r="B27" s="2">
        <v>45297</v>
      </c>
      <c r="C27" t="s">
        <v>828</v>
      </c>
      <c r="D27" t="s">
        <v>1014</v>
      </c>
      <c r="E27">
        <v>7</v>
      </c>
      <c r="F27">
        <v>15</v>
      </c>
      <c r="G27">
        <v>3.13</v>
      </c>
      <c r="H27" t="s">
        <v>1047</v>
      </c>
      <c r="I27" t="s">
        <v>1246</v>
      </c>
      <c r="J27" t="s">
        <v>1416</v>
      </c>
      <c r="K27" t="s">
        <v>1420</v>
      </c>
    </row>
    <row r="28" spans="1:11" x14ac:dyDescent="0.25">
      <c r="A28" t="s">
        <v>1454</v>
      </c>
      <c r="B28" s="2">
        <v>45297</v>
      </c>
      <c r="C28" t="s">
        <v>996</v>
      </c>
      <c r="D28" t="s">
        <v>1015</v>
      </c>
      <c r="E28">
        <v>6</v>
      </c>
      <c r="F28">
        <v>10</v>
      </c>
      <c r="G28">
        <v>3.18</v>
      </c>
      <c r="H28" t="s">
        <v>1154</v>
      </c>
      <c r="I28" t="s">
        <v>1353</v>
      </c>
      <c r="J28" t="s">
        <v>1414</v>
      </c>
      <c r="K28" t="s">
        <v>1418</v>
      </c>
    </row>
    <row r="29" spans="1:11" x14ac:dyDescent="0.25">
      <c r="A29" t="s">
        <v>1455</v>
      </c>
      <c r="B29" s="2">
        <v>45298</v>
      </c>
      <c r="C29" t="s">
        <v>33</v>
      </c>
      <c r="D29" t="s">
        <v>1011</v>
      </c>
      <c r="E29">
        <v>9</v>
      </c>
      <c r="F29">
        <v>12</v>
      </c>
      <c r="G29">
        <v>3.94</v>
      </c>
      <c r="H29" t="s">
        <v>1031</v>
      </c>
      <c r="I29" t="s">
        <v>1230</v>
      </c>
      <c r="J29" t="s">
        <v>1414</v>
      </c>
      <c r="K29" t="s">
        <v>1423</v>
      </c>
    </row>
    <row r="30" spans="1:11" x14ac:dyDescent="0.25">
      <c r="A30" t="s">
        <v>1456</v>
      </c>
      <c r="B30" s="2">
        <v>45298</v>
      </c>
      <c r="C30" t="s">
        <v>82</v>
      </c>
      <c r="D30" t="s">
        <v>1012</v>
      </c>
      <c r="E30">
        <v>3</v>
      </c>
      <c r="F30">
        <v>40</v>
      </c>
      <c r="G30">
        <v>10.79</v>
      </c>
      <c r="H30" t="s">
        <v>1056</v>
      </c>
      <c r="I30" t="s">
        <v>1255</v>
      </c>
      <c r="J30" t="s">
        <v>1414</v>
      </c>
      <c r="K30" t="s">
        <v>1420</v>
      </c>
    </row>
    <row r="31" spans="1:11" x14ac:dyDescent="0.25">
      <c r="A31" t="s">
        <v>1457</v>
      </c>
      <c r="B31" s="2">
        <v>45298</v>
      </c>
      <c r="C31" t="s">
        <v>499</v>
      </c>
      <c r="D31" t="s">
        <v>1013</v>
      </c>
      <c r="E31">
        <v>4</v>
      </c>
      <c r="F31">
        <v>25</v>
      </c>
      <c r="G31">
        <v>8.43</v>
      </c>
      <c r="H31" t="s">
        <v>1021</v>
      </c>
      <c r="I31" t="s">
        <v>1220</v>
      </c>
      <c r="J31" t="s">
        <v>1416</v>
      </c>
      <c r="K31" t="s">
        <v>1421</v>
      </c>
    </row>
    <row r="32" spans="1:11" x14ac:dyDescent="0.25">
      <c r="A32" t="s">
        <v>1458</v>
      </c>
      <c r="B32" s="2">
        <v>45299</v>
      </c>
      <c r="C32" t="s">
        <v>305</v>
      </c>
      <c r="D32" t="s">
        <v>1014</v>
      </c>
      <c r="E32">
        <v>5</v>
      </c>
      <c r="F32">
        <v>15</v>
      </c>
      <c r="G32">
        <v>3.55</v>
      </c>
      <c r="H32" t="s">
        <v>1170</v>
      </c>
      <c r="I32" t="s">
        <v>1369</v>
      </c>
      <c r="J32" t="s">
        <v>1414</v>
      </c>
      <c r="K32" t="s">
        <v>1419</v>
      </c>
    </row>
    <row r="33" spans="1:11" x14ac:dyDescent="0.25">
      <c r="A33" t="s">
        <v>1459</v>
      </c>
      <c r="B33" s="2">
        <v>45299</v>
      </c>
      <c r="C33" t="s">
        <v>479</v>
      </c>
      <c r="D33" t="s">
        <v>1014</v>
      </c>
      <c r="E33">
        <v>6</v>
      </c>
      <c r="F33">
        <v>15</v>
      </c>
      <c r="G33">
        <v>4.04</v>
      </c>
      <c r="H33" t="s">
        <v>1177</v>
      </c>
      <c r="I33" t="s">
        <v>1376</v>
      </c>
      <c r="J33" t="s">
        <v>1414</v>
      </c>
      <c r="K33" t="s">
        <v>1418</v>
      </c>
    </row>
    <row r="34" spans="1:11" x14ac:dyDescent="0.25">
      <c r="A34" t="s">
        <v>1460</v>
      </c>
      <c r="B34" s="2">
        <v>45300</v>
      </c>
      <c r="C34" t="s">
        <v>780</v>
      </c>
      <c r="D34" t="s">
        <v>1015</v>
      </c>
      <c r="E34">
        <v>8</v>
      </c>
      <c r="F34">
        <v>10</v>
      </c>
      <c r="G34">
        <v>2.6</v>
      </c>
      <c r="H34" t="s">
        <v>1112</v>
      </c>
      <c r="I34" t="s">
        <v>1311</v>
      </c>
      <c r="J34" t="s">
        <v>1415</v>
      </c>
      <c r="K34" t="s">
        <v>1421</v>
      </c>
    </row>
    <row r="35" spans="1:11" x14ac:dyDescent="0.25">
      <c r="A35" t="s">
        <v>1461</v>
      </c>
      <c r="B35" s="2">
        <v>45300</v>
      </c>
      <c r="C35" t="s">
        <v>829</v>
      </c>
      <c r="D35" t="s">
        <v>1011</v>
      </c>
      <c r="E35">
        <v>10</v>
      </c>
      <c r="F35">
        <v>12</v>
      </c>
      <c r="G35">
        <v>2.74</v>
      </c>
      <c r="H35" t="s">
        <v>1166</v>
      </c>
      <c r="I35" t="s">
        <v>1365</v>
      </c>
      <c r="J35" t="s">
        <v>1414</v>
      </c>
      <c r="K35" t="s">
        <v>1422</v>
      </c>
    </row>
    <row r="36" spans="1:11" x14ac:dyDescent="0.25">
      <c r="A36" t="s">
        <v>1462</v>
      </c>
      <c r="B36" s="2">
        <v>45301</v>
      </c>
      <c r="C36" t="s">
        <v>310</v>
      </c>
      <c r="D36" t="s">
        <v>1013</v>
      </c>
      <c r="E36">
        <v>10</v>
      </c>
      <c r="F36">
        <v>25</v>
      </c>
      <c r="G36">
        <v>9.86</v>
      </c>
      <c r="H36" t="s">
        <v>1035</v>
      </c>
      <c r="I36" t="s">
        <v>1234</v>
      </c>
      <c r="J36" t="s">
        <v>1414</v>
      </c>
      <c r="K36" t="s">
        <v>1422</v>
      </c>
    </row>
    <row r="37" spans="1:11" x14ac:dyDescent="0.25">
      <c r="A37" t="s">
        <v>1463</v>
      </c>
      <c r="B37" s="2">
        <v>45301</v>
      </c>
      <c r="C37" t="s">
        <v>363</v>
      </c>
      <c r="D37" t="s">
        <v>1011</v>
      </c>
      <c r="E37">
        <v>9</v>
      </c>
      <c r="F37">
        <v>12</v>
      </c>
      <c r="G37">
        <v>3.33</v>
      </c>
      <c r="H37" t="s">
        <v>1047</v>
      </c>
      <c r="I37" t="s">
        <v>1246</v>
      </c>
      <c r="J37" t="s">
        <v>1414</v>
      </c>
      <c r="K37" t="s">
        <v>1425</v>
      </c>
    </row>
    <row r="38" spans="1:11" x14ac:dyDescent="0.25">
      <c r="A38" t="s">
        <v>1464</v>
      </c>
      <c r="B38" s="2">
        <v>45301</v>
      </c>
      <c r="C38" t="s">
        <v>465</v>
      </c>
      <c r="D38" t="s">
        <v>1014</v>
      </c>
      <c r="E38">
        <v>6</v>
      </c>
      <c r="F38">
        <v>15</v>
      </c>
      <c r="G38">
        <v>3.13</v>
      </c>
      <c r="H38" t="s">
        <v>1071</v>
      </c>
      <c r="I38" t="s">
        <v>1270</v>
      </c>
      <c r="J38" t="s">
        <v>1414</v>
      </c>
      <c r="K38" t="s">
        <v>1427</v>
      </c>
    </row>
    <row r="39" spans="1:11" x14ac:dyDescent="0.25">
      <c r="A39" t="s">
        <v>1465</v>
      </c>
      <c r="B39" s="2">
        <v>45302</v>
      </c>
      <c r="C39" t="s">
        <v>973</v>
      </c>
      <c r="D39" t="s">
        <v>1011</v>
      </c>
      <c r="E39">
        <v>4</v>
      </c>
      <c r="F39">
        <v>12</v>
      </c>
      <c r="G39">
        <v>4.74</v>
      </c>
      <c r="H39" t="s">
        <v>1090</v>
      </c>
      <c r="I39" t="s">
        <v>1289</v>
      </c>
      <c r="J39" t="s">
        <v>1415</v>
      </c>
      <c r="K39" t="s">
        <v>1425</v>
      </c>
    </row>
    <row r="40" spans="1:11" x14ac:dyDescent="0.25">
      <c r="A40" t="s">
        <v>1466</v>
      </c>
      <c r="B40" s="2">
        <v>45303</v>
      </c>
      <c r="C40" t="s">
        <v>301</v>
      </c>
      <c r="D40" t="s">
        <v>1011</v>
      </c>
      <c r="E40">
        <v>9</v>
      </c>
      <c r="F40">
        <v>12</v>
      </c>
      <c r="G40">
        <v>4.33</v>
      </c>
      <c r="H40" t="s">
        <v>1126</v>
      </c>
      <c r="I40" t="s">
        <v>1325</v>
      </c>
      <c r="J40" t="s">
        <v>1414</v>
      </c>
      <c r="K40" t="s">
        <v>1424</v>
      </c>
    </row>
    <row r="41" spans="1:11" x14ac:dyDescent="0.25">
      <c r="A41" t="s">
        <v>1467</v>
      </c>
      <c r="B41" s="2">
        <v>45303</v>
      </c>
      <c r="C41" t="s">
        <v>456</v>
      </c>
      <c r="D41" t="s">
        <v>1013</v>
      </c>
      <c r="E41">
        <v>3</v>
      </c>
      <c r="F41">
        <v>25</v>
      </c>
      <c r="G41">
        <v>8.17</v>
      </c>
      <c r="H41" t="s">
        <v>1061</v>
      </c>
      <c r="I41" t="s">
        <v>1260</v>
      </c>
      <c r="J41" t="s">
        <v>1416</v>
      </c>
      <c r="K41" t="s">
        <v>1419</v>
      </c>
    </row>
    <row r="42" spans="1:11" x14ac:dyDescent="0.25">
      <c r="A42" t="s">
        <v>1468</v>
      </c>
      <c r="B42" s="2">
        <v>45303</v>
      </c>
      <c r="C42" t="s">
        <v>742</v>
      </c>
      <c r="D42" t="s">
        <v>1013</v>
      </c>
      <c r="E42">
        <v>6</v>
      </c>
      <c r="F42">
        <v>25</v>
      </c>
      <c r="G42">
        <v>6.37</v>
      </c>
      <c r="H42" t="s">
        <v>1183</v>
      </c>
      <c r="I42" t="s">
        <v>1382</v>
      </c>
      <c r="J42" t="s">
        <v>1414</v>
      </c>
      <c r="K42" t="s">
        <v>1424</v>
      </c>
    </row>
    <row r="43" spans="1:11" x14ac:dyDescent="0.25">
      <c r="A43" t="s">
        <v>1469</v>
      </c>
      <c r="B43" s="2">
        <v>45304</v>
      </c>
      <c r="C43" t="s">
        <v>643</v>
      </c>
      <c r="D43" t="s">
        <v>1013</v>
      </c>
      <c r="E43">
        <v>7</v>
      </c>
      <c r="F43">
        <v>25</v>
      </c>
      <c r="G43">
        <v>6.03</v>
      </c>
      <c r="H43" t="s">
        <v>1188</v>
      </c>
      <c r="I43" t="s">
        <v>1387</v>
      </c>
      <c r="J43" t="s">
        <v>1414</v>
      </c>
      <c r="K43" t="s">
        <v>1421</v>
      </c>
    </row>
    <row r="44" spans="1:11" x14ac:dyDescent="0.25">
      <c r="A44" t="s">
        <v>1470</v>
      </c>
      <c r="B44" s="2">
        <v>45304</v>
      </c>
      <c r="C44" t="s">
        <v>712</v>
      </c>
      <c r="D44" t="s">
        <v>1012</v>
      </c>
      <c r="E44">
        <v>7</v>
      </c>
      <c r="F44">
        <v>40</v>
      </c>
      <c r="G44">
        <v>11.98</v>
      </c>
      <c r="H44" t="s">
        <v>1172</v>
      </c>
      <c r="I44" t="s">
        <v>1371</v>
      </c>
      <c r="J44" t="s">
        <v>1416</v>
      </c>
      <c r="K44" t="s">
        <v>1424</v>
      </c>
    </row>
    <row r="45" spans="1:11" x14ac:dyDescent="0.25">
      <c r="A45" t="s">
        <v>1471</v>
      </c>
      <c r="B45" s="2">
        <v>45304</v>
      </c>
      <c r="C45" t="s">
        <v>843</v>
      </c>
      <c r="D45" t="s">
        <v>1015</v>
      </c>
      <c r="E45">
        <v>2</v>
      </c>
      <c r="F45">
        <v>10</v>
      </c>
      <c r="G45">
        <v>2.46</v>
      </c>
      <c r="H45" t="s">
        <v>1099</v>
      </c>
      <c r="I45" t="s">
        <v>1298</v>
      </c>
      <c r="J45" t="s">
        <v>1414</v>
      </c>
      <c r="K45" t="s">
        <v>1426</v>
      </c>
    </row>
    <row r="46" spans="1:11" x14ac:dyDescent="0.25">
      <c r="A46" t="s">
        <v>1472</v>
      </c>
      <c r="B46" s="2">
        <v>45304</v>
      </c>
      <c r="C46" t="s">
        <v>960</v>
      </c>
      <c r="D46" t="s">
        <v>1011</v>
      </c>
      <c r="E46">
        <v>5</v>
      </c>
      <c r="F46">
        <v>12</v>
      </c>
      <c r="G46">
        <v>4.2</v>
      </c>
      <c r="H46" t="s">
        <v>1186</v>
      </c>
      <c r="I46" t="s">
        <v>1385</v>
      </c>
      <c r="J46" t="s">
        <v>1417</v>
      </c>
      <c r="K46" t="s">
        <v>1426</v>
      </c>
    </row>
    <row r="47" spans="1:11" x14ac:dyDescent="0.25">
      <c r="A47" t="s">
        <v>1473</v>
      </c>
      <c r="B47" s="2">
        <v>45305</v>
      </c>
      <c r="C47" t="s">
        <v>18</v>
      </c>
      <c r="D47" t="s">
        <v>1013</v>
      </c>
      <c r="E47">
        <v>5</v>
      </c>
      <c r="F47">
        <v>25</v>
      </c>
      <c r="G47">
        <v>6.32</v>
      </c>
      <c r="H47" t="s">
        <v>1023</v>
      </c>
      <c r="I47" t="s">
        <v>1222</v>
      </c>
      <c r="J47" t="s">
        <v>1414</v>
      </c>
      <c r="K47" t="s">
        <v>1424</v>
      </c>
    </row>
    <row r="48" spans="1:11" x14ac:dyDescent="0.25">
      <c r="A48" t="s">
        <v>1474</v>
      </c>
      <c r="B48" s="2">
        <v>45305</v>
      </c>
      <c r="C48" t="s">
        <v>96</v>
      </c>
      <c r="D48" t="s">
        <v>1015</v>
      </c>
      <c r="E48">
        <v>7</v>
      </c>
      <c r="F48">
        <v>10</v>
      </c>
      <c r="G48">
        <v>2.88</v>
      </c>
      <c r="H48" t="s">
        <v>1060</v>
      </c>
      <c r="I48" t="s">
        <v>1259</v>
      </c>
      <c r="J48" t="s">
        <v>1416</v>
      </c>
      <c r="K48" t="s">
        <v>1420</v>
      </c>
    </row>
    <row r="49" spans="1:11" x14ac:dyDescent="0.25">
      <c r="A49" t="s">
        <v>1475</v>
      </c>
      <c r="B49" s="2">
        <v>45305</v>
      </c>
      <c r="C49" t="s">
        <v>140</v>
      </c>
      <c r="D49" t="s">
        <v>1015</v>
      </c>
      <c r="E49">
        <v>3</v>
      </c>
      <c r="F49">
        <v>10</v>
      </c>
      <c r="G49">
        <v>3.54</v>
      </c>
      <c r="H49" t="s">
        <v>1034</v>
      </c>
      <c r="I49" t="s">
        <v>1233</v>
      </c>
      <c r="J49" t="s">
        <v>1416</v>
      </c>
      <c r="K49" t="s">
        <v>1419</v>
      </c>
    </row>
    <row r="50" spans="1:11" x14ac:dyDescent="0.25">
      <c r="A50" t="s">
        <v>1476</v>
      </c>
      <c r="B50" s="2">
        <v>45305</v>
      </c>
      <c r="C50" t="s">
        <v>232</v>
      </c>
      <c r="D50" t="s">
        <v>1012</v>
      </c>
      <c r="E50">
        <v>1</v>
      </c>
      <c r="F50">
        <v>40</v>
      </c>
      <c r="G50">
        <v>15.48</v>
      </c>
      <c r="H50" t="s">
        <v>1111</v>
      </c>
      <c r="I50" t="s">
        <v>1310</v>
      </c>
      <c r="J50" t="s">
        <v>1415</v>
      </c>
      <c r="K50" t="s">
        <v>1420</v>
      </c>
    </row>
    <row r="51" spans="1:11" x14ac:dyDescent="0.25">
      <c r="A51" t="s">
        <v>1477</v>
      </c>
      <c r="B51" s="2">
        <v>45305</v>
      </c>
      <c r="C51" t="s">
        <v>249</v>
      </c>
      <c r="D51" t="s">
        <v>1012</v>
      </c>
      <c r="E51">
        <v>5</v>
      </c>
      <c r="F51">
        <v>40</v>
      </c>
      <c r="G51">
        <v>13.2</v>
      </c>
      <c r="H51" t="s">
        <v>1149</v>
      </c>
      <c r="I51" t="s">
        <v>1348</v>
      </c>
      <c r="J51" t="s">
        <v>1414</v>
      </c>
      <c r="K51" t="s">
        <v>1425</v>
      </c>
    </row>
    <row r="52" spans="1:11" x14ac:dyDescent="0.25">
      <c r="A52" t="s">
        <v>1478</v>
      </c>
      <c r="B52" s="2">
        <v>45305</v>
      </c>
      <c r="C52" t="s">
        <v>259</v>
      </c>
      <c r="D52" t="s">
        <v>1013</v>
      </c>
      <c r="E52">
        <v>4</v>
      </c>
      <c r="F52">
        <v>25</v>
      </c>
      <c r="G52">
        <v>7.94</v>
      </c>
      <c r="H52" t="s">
        <v>1123</v>
      </c>
      <c r="I52" t="s">
        <v>1322</v>
      </c>
      <c r="J52" t="s">
        <v>1414</v>
      </c>
      <c r="K52" t="s">
        <v>1418</v>
      </c>
    </row>
    <row r="53" spans="1:11" x14ac:dyDescent="0.25">
      <c r="A53" t="s">
        <v>1479</v>
      </c>
      <c r="B53" s="2">
        <v>45305</v>
      </c>
      <c r="C53" t="s">
        <v>319</v>
      </c>
      <c r="D53" t="s">
        <v>1015</v>
      </c>
      <c r="E53">
        <v>6</v>
      </c>
      <c r="F53">
        <v>10</v>
      </c>
      <c r="G53">
        <v>2.73</v>
      </c>
      <c r="H53" t="s">
        <v>1074</v>
      </c>
      <c r="I53" t="s">
        <v>1273</v>
      </c>
      <c r="J53" t="s">
        <v>1414</v>
      </c>
      <c r="K53" t="s">
        <v>1423</v>
      </c>
    </row>
    <row r="54" spans="1:11" x14ac:dyDescent="0.25">
      <c r="A54" t="s">
        <v>1480</v>
      </c>
      <c r="B54" s="2">
        <v>45305</v>
      </c>
      <c r="C54" t="s">
        <v>462</v>
      </c>
      <c r="D54" t="s">
        <v>1012</v>
      </c>
      <c r="E54">
        <v>2</v>
      </c>
      <c r="F54">
        <v>40</v>
      </c>
      <c r="G54">
        <v>13.63</v>
      </c>
      <c r="H54" t="s">
        <v>1157</v>
      </c>
      <c r="I54" t="s">
        <v>1356</v>
      </c>
      <c r="J54" t="s">
        <v>1416</v>
      </c>
      <c r="K54" t="s">
        <v>1418</v>
      </c>
    </row>
    <row r="55" spans="1:11" x14ac:dyDescent="0.25">
      <c r="A55" t="s">
        <v>1481</v>
      </c>
      <c r="B55" s="2">
        <v>45305</v>
      </c>
      <c r="C55" t="s">
        <v>691</v>
      </c>
      <c r="D55" t="s">
        <v>1012</v>
      </c>
      <c r="E55">
        <v>1</v>
      </c>
      <c r="F55">
        <v>40</v>
      </c>
      <c r="G55">
        <v>11.98</v>
      </c>
      <c r="H55" t="s">
        <v>1206</v>
      </c>
      <c r="I55" t="s">
        <v>1405</v>
      </c>
      <c r="J55" t="s">
        <v>1414</v>
      </c>
      <c r="K55" t="s">
        <v>1422</v>
      </c>
    </row>
    <row r="56" spans="1:11" x14ac:dyDescent="0.25">
      <c r="A56" t="s">
        <v>1482</v>
      </c>
      <c r="B56" s="2">
        <v>45306</v>
      </c>
      <c r="C56" t="s">
        <v>220</v>
      </c>
      <c r="D56" t="s">
        <v>1013</v>
      </c>
      <c r="E56">
        <v>5</v>
      </c>
      <c r="G56">
        <v>6.78</v>
      </c>
      <c r="H56" t="s">
        <v>1104</v>
      </c>
      <c r="I56" t="s">
        <v>1303</v>
      </c>
      <c r="J56" t="s">
        <v>1417</v>
      </c>
      <c r="K56" t="s">
        <v>1418</v>
      </c>
    </row>
    <row r="57" spans="1:11" x14ac:dyDescent="0.25">
      <c r="A57" t="s">
        <v>1483</v>
      </c>
      <c r="B57" s="2">
        <v>45307</v>
      </c>
      <c r="C57" t="s">
        <v>787</v>
      </c>
      <c r="D57" t="s">
        <v>1014</v>
      </c>
      <c r="E57">
        <v>5</v>
      </c>
      <c r="G57">
        <v>5.35</v>
      </c>
      <c r="H57" t="s">
        <v>1127</v>
      </c>
      <c r="I57" t="s">
        <v>1326</v>
      </c>
      <c r="J57" t="s">
        <v>1414</v>
      </c>
      <c r="K57" t="s">
        <v>1425</v>
      </c>
    </row>
    <row r="58" spans="1:11" x14ac:dyDescent="0.25">
      <c r="A58" t="s">
        <v>1484</v>
      </c>
      <c r="B58" s="2">
        <v>45308</v>
      </c>
      <c r="C58" t="s">
        <v>38</v>
      </c>
      <c r="D58" t="s">
        <v>1015</v>
      </c>
      <c r="E58">
        <v>1</v>
      </c>
      <c r="F58">
        <v>10</v>
      </c>
      <c r="G58">
        <v>3.11</v>
      </c>
      <c r="H58" t="s">
        <v>1040</v>
      </c>
      <c r="I58" t="s">
        <v>1239</v>
      </c>
      <c r="J58" t="s">
        <v>1416</v>
      </c>
      <c r="K58" t="s">
        <v>1425</v>
      </c>
    </row>
    <row r="59" spans="1:11" x14ac:dyDescent="0.25">
      <c r="A59" t="s">
        <v>1485</v>
      </c>
      <c r="B59" s="2">
        <v>45308</v>
      </c>
      <c r="C59" t="s">
        <v>482</v>
      </c>
      <c r="D59" t="s">
        <v>1012</v>
      </c>
      <c r="E59">
        <v>7</v>
      </c>
      <c r="F59">
        <v>40</v>
      </c>
      <c r="G59">
        <v>9.3800000000000008</v>
      </c>
      <c r="H59" t="s">
        <v>1190</v>
      </c>
      <c r="I59" t="s">
        <v>1389</v>
      </c>
      <c r="J59" t="s">
        <v>1416</v>
      </c>
      <c r="K59" t="s">
        <v>1421</v>
      </c>
    </row>
    <row r="60" spans="1:11" x14ac:dyDescent="0.25">
      <c r="A60" t="s">
        <v>1486</v>
      </c>
      <c r="B60" s="2">
        <v>45309</v>
      </c>
      <c r="C60" t="s">
        <v>289</v>
      </c>
      <c r="D60" t="s">
        <v>1015</v>
      </c>
      <c r="E60">
        <v>1</v>
      </c>
      <c r="F60">
        <v>10</v>
      </c>
      <c r="G60">
        <v>3.75</v>
      </c>
      <c r="H60" t="s">
        <v>1100</v>
      </c>
      <c r="I60" t="s">
        <v>1299</v>
      </c>
      <c r="J60" t="s">
        <v>1417</v>
      </c>
      <c r="K60" t="s">
        <v>1418</v>
      </c>
    </row>
    <row r="61" spans="1:11" x14ac:dyDescent="0.25">
      <c r="A61" t="s">
        <v>1487</v>
      </c>
      <c r="B61" s="2">
        <v>45309</v>
      </c>
      <c r="C61" t="s">
        <v>512</v>
      </c>
      <c r="D61" t="s">
        <v>1013</v>
      </c>
      <c r="E61">
        <v>6</v>
      </c>
      <c r="F61">
        <v>25</v>
      </c>
      <c r="G61">
        <v>7.18</v>
      </c>
      <c r="H61" t="s">
        <v>1044</v>
      </c>
      <c r="I61" t="s">
        <v>1243</v>
      </c>
      <c r="J61" t="s">
        <v>1414</v>
      </c>
      <c r="K61" t="s">
        <v>1425</v>
      </c>
    </row>
    <row r="62" spans="1:11" x14ac:dyDescent="0.25">
      <c r="A62" t="s">
        <v>1488</v>
      </c>
      <c r="B62" s="2">
        <v>45309</v>
      </c>
      <c r="C62" t="s">
        <v>883</v>
      </c>
      <c r="D62" t="s">
        <v>1011</v>
      </c>
      <c r="E62">
        <v>3</v>
      </c>
      <c r="F62">
        <v>12</v>
      </c>
      <c r="G62">
        <v>4.53</v>
      </c>
      <c r="H62" t="s">
        <v>1167</v>
      </c>
      <c r="I62" t="s">
        <v>1366</v>
      </c>
      <c r="J62" t="s">
        <v>1414</v>
      </c>
      <c r="K62" t="s">
        <v>1420</v>
      </c>
    </row>
    <row r="63" spans="1:11" x14ac:dyDescent="0.25">
      <c r="A63" t="s">
        <v>1489</v>
      </c>
      <c r="B63" s="2">
        <v>45310</v>
      </c>
      <c r="C63" t="s">
        <v>778</v>
      </c>
      <c r="D63" t="s">
        <v>1015</v>
      </c>
      <c r="E63">
        <v>2</v>
      </c>
      <c r="F63">
        <v>10</v>
      </c>
      <c r="G63">
        <v>3.53</v>
      </c>
      <c r="H63" t="s">
        <v>1161</v>
      </c>
      <c r="I63" t="s">
        <v>1360</v>
      </c>
      <c r="J63" t="s">
        <v>1414</v>
      </c>
      <c r="K63" t="s">
        <v>1427</v>
      </c>
    </row>
    <row r="64" spans="1:11" x14ac:dyDescent="0.25">
      <c r="A64" t="s">
        <v>1490</v>
      </c>
      <c r="B64" s="2">
        <v>45310</v>
      </c>
      <c r="C64" t="s">
        <v>810</v>
      </c>
      <c r="D64" t="s">
        <v>1015</v>
      </c>
      <c r="E64">
        <v>6</v>
      </c>
      <c r="F64">
        <v>10</v>
      </c>
      <c r="G64">
        <v>2.13</v>
      </c>
      <c r="H64" t="s">
        <v>1110</v>
      </c>
      <c r="I64" t="s">
        <v>1309</v>
      </c>
      <c r="J64" t="s">
        <v>1414</v>
      </c>
      <c r="K64" t="s">
        <v>1422</v>
      </c>
    </row>
    <row r="65" spans="1:11" x14ac:dyDescent="0.25">
      <c r="A65" t="s">
        <v>1491</v>
      </c>
      <c r="B65" s="2">
        <v>45310</v>
      </c>
      <c r="C65" t="s">
        <v>873</v>
      </c>
      <c r="D65" t="s">
        <v>1014</v>
      </c>
      <c r="E65">
        <v>3</v>
      </c>
      <c r="F65">
        <v>15</v>
      </c>
      <c r="G65">
        <v>3.45</v>
      </c>
      <c r="H65" t="s">
        <v>1070</v>
      </c>
      <c r="I65" t="s">
        <v>1269</v>
      </c>
      <c r="J65" t="s">
        <v>1414</v>
      </c>
      <c r="K65" t="s">
        <v>1427</v>
      </c>
    </row>
    <row r="66" spans="1:11" x14ac:dyDescent="0.25">
      <c r="A66" t="s">
        <v>1492</v>
      </c>
      <c r="B66" s="2">
        <v>45311</v>
      </c>
      <c r="C66" t="s">
        <v>728</v>
      </c>
      <c r="D66" t="s">
        <v>1014</v>
      </c>
      <c r="E66">
        <v>10</v>
      </c>
      <c r="F66">
        <v>15</v>
      </c>
      <c r="G66">
        <v>4.71</v>
      </c>
      <c r="H66" t="s">
        <v>1103</v>
      </c>
      <c r="I66" t="s">
        <v>1302</v>
      </c>
      <c r="J66" t="s">
        <v>1414</v>
      </c>
      <c r="K66" t="s">
        <v>1418</v>
      </c>
    </row>
    <row r="67" spans="1:11" x14ac:dyDescent="0.25">
      <c r="A67" t="s">
        <v>1493</v>
      </c>
      <c r="B67" s="2">
        <v>45311</v>
      </c>
      <c r="C67" t="s">
        <v>748</v>
      </c>
      <c r="D67" t="s">
        <v>1013</v>
      </c>
      <c r="E67">
        <v>3</v>
      </c>
      <c r="F67">
        <v>25</v>
      </c>
      <c r="G67">
        <v>5.42</v>
      </c>
      <c r="H67" t="s">
        <v>1050</v>
      </c>
      <c r="I67" t="s">
        <v>1249</v>
      </c>
      <c r="J67" t="s">
        <v>1414</v>
      </c>
      <c r="K67" t="s">
        <v>1426</v>
      </c>
    </row>
    <row r="68" spans="1:11" x14ac:dyDescent="0.25">
      <c r="A68" t="s">
        <v>1494</v>
      </c>
      <c r="B68" s="2">
        <v>45311</v>
      </c>
      <c r="C68" t="s">
        <v>794</v>
      </c>
      <c r="D68" t="s">
        <v>1014</v>
      </c>
      <c r="E68">
        <v>6</v>
      </c>
      <c r="F68">
        <v>15</v>
      </c>
      <c r="G68">
        <v>4.32</v>
      </c>
      <c r="H68" t="s">
        <v>1211</v>
      </c>
      <c r="I68" t="s">
        <v>1410</v>
      </c>
      <c r="J68" t="s">
        <v>1414</v>
      </c>
      <c r="K68" t="s">
        <v>1418</v>
      </c>
    </row>
    <row r="69" spans="1:11" x14ac:dyDescent="0.25">
      <c r="A69" t="s">
        <v>1495</v>
      </c>
      <c r="B69" s="2">
        <v>45312</v>
      </c>
      <c r="C69" t="s">
        <v>139</v>
      </c>
      <c r="D69" t="s">
        <v>1012</v>
      </c>
      <c r="E69">
        <v>7</v>
      </c>
      <c r="F69">
        <v>40</v>
      </c>
      <c r="G69">
        <v>9.9700000000000006</v>
      </c>
      <c r="H69" t="s">
        <v>1114</v>
      </c>
      <c r="I69" t="s">
        <v>1313</v>
      </c>
      <c r="J69" t="s">
        <v>1414</v>
      </c>
      <c r="K69" t="s">
        <v>1421</v>
      </c>
    </row>
    <row r="70" spans="1:11" x14ac:dyDescent="0.25">
      <c r="A70" t="s">
        <v>1496</v>
      </c>
      <c r="B70" s="2">
        <v>45312</v>
      </c>
      <c r="C70" t="s">
        <v>154</v>
      </c>
      <c r="D70" t="s">
        <v>1011</v>
      </c>
      <c r="E70">
        <v>1</v>
      </c>
      <c r="F70">
        <v>12</v>
      </c>
      <c r="G70">
        <v>3.78</v>
      </c>
      <c r="H70" t="s">
        <v>1044</v>
      </c>
      <c r="I70" t="s">
        <v>1243</v>
      </c>
      <c r="J70" t="s">
        <v>1414</v>
      </c>
      <c r="K70" t="s">
        <v>1421</v>
      </c>
    </row>
    <row r="71" spans="1:11" x14ac:dyDescent="0.25">
      <c r="A71" t="s">
        <v>1497</v>
      </c>
      <c r="B71" s="2">
        <v>45313</v>
      </c>
      <c r="C71" t="s">
        <v>463</v>
      </c>
      <c r="D71" t="s">
        <v>1012</v>
      </c>
      <c r="E71">
        <v>2</v>
      </c>
      <c r="F71">
        <v>40</v>
      </c>
      <c r="G71">
        <v>8.1999999999999993</v>
      </c>
      <c r="H71" t="s">
        <v>1044</v>
      </c>
      <c r="I71" t="s">
        <v>1243</v>
      </c>
      <c r="J71" t="s">
        <v>1414</v>
      </c>
      <c r="K71" t="s">
        <v>1421</v>
      </c>
    </row>
    <row r="72" spans="1:11" x14ac:dyDescent="0.25">
      <c r="A72" t="s">
        <v>1498</v>
      </c>
      <c r="B72" s="2">
        <v>45313</v>
      </c>
      <c r="C72" t="s">
        <v>544</v>
      </c>
      <c r="D72" t="s">
        <v>1012</v>
      </c>
      <c r="E72">
        <v>2</v>
      </c>
      <c r="F72">
        <v>40</v>
      </c>
      <c r="G72">
        <v>9.2100000000000009</v>
      </c>
      <c r="H72" t="s">
        <v>1087</v>
      </c>
      <c r="I72" t="s">
        <v>1286</v>
      </c>
      <c r="J72" t="s">
        <v>1414</v>
      </c>
      <c r="K72" t="s">
        <v>1421</v>
      </c>
    </row>
    <row r="73" spans="1:11" x14ac:dyDescent="0.25">
      <c r="A73" t="s">
        <v>1499</v>
      </c>
      <c r="B73" s="2">
        <v>45313</v>
      </c>
      <c r="C73" t="s">
        <v>714</v>
      </c>
      <c r="D73" t="s">
        <v>1014</v>
      </c>
      <c r="E73">
        <v>7</v>
      </c>
      <c r="F73">
        <v>15</v>
      </c>
      <c r="G73">
        <v>5.93</v>
      </c>
      <c r="H73" t="s">
        <v>1197</v>
      </c>
      <c r="I73" t="s">
        <v>1396</v>
      </c>
      <c r="J73" t="s">
        <v>1414</v>
      </c>
      <c r="K73" t="s">
        <v>1418</v>
      </c>
    </row>
    <row r="74" spans="1:11" x14ac:dyDescent="0.25">
      <c r="A74" t="s">
        <v>1500</v>
      </c>
      <c r="B74" s="2">
        <v>45313</v>
      </c>
      <c r="C74" t="s">
        <v>738</v>
      </c>
      <c r="D74" t="s">
        <v>1014</v>
      </c>
      <c r="E74">
        <v>7</v>
      </c>
      <c r="F74">
        <v>15</v>
      </c>
      <c r="G74">
        <v>4.4800000000000004</v>
      </c>
      <c r="H74" t="s">
        <v>1206</v>
      </c>
      <c r="I74" t="s">
        <v>1405</v>
      </c>
      <c r="J74" t="s">
        <v>1414</v>
      </c>
      <c r="K74" t="s">
        <v>1425</v>
      </c>
    </row>
    <row r="75" spans="1:11" x14ac:dyDescent="0.25">
      <c r="A75" t="s">
        <v>1501</v>
      </c>
      <c r="B75" s="2">
        <v>45313</v>
      </c>
      <c r="C75" t="s">
        <v>834</v>
      </c>
      <c r="D75" t="s">
        <v>1015</v>
      </c>
      <c r="E75">
        <v>1</v>
      </c>
      <c r="F75">
        <v>10</v>
      </c>
      <c r="G75">
        <v>3.95</v>
      </c>
      <c r="H75" t="s">
        <v>1189</v>
      </c>
      <c r="I75" t="s">
        <v>1388</v>
      </c>
      <c r="J75" t="s">
        <v>1414</v>
      </c>
      <c r="K75" t="s">
        <v>1422</v>
      </c>
    </row>
    <row r="76" spans="1:11" x14ac:dyDescent="0.25">
      <c r="A76" t="s">
        <v>1502</v>
      </c>
      <c r="B76" s="2">
        <v>45313</v>
      </c>
      <c r="C76" t="s">
        <v>941</v>
      </c>
      <c r="D76" t="s">
        <v>1011</v>
      </c>
      <c r="E76">
        <v>1</v>
      </c>
      <c r="F76">
        <v>12</v>
      </c>
      <c r="G76">
        <v>4.5999999999999996</v>
      </c>
      <c r="H76" t="s">
        <v>1136</v>
      </c>
      <c r="I76" t="s">
        <v>1335</v>
      </c>
      <c r="J76" t="s">
        <v>1414</v>
      </c>
      <c r="K76" t="s">
        <v>1421</v>
      </c>
    </row>
    <row r="77" spans="1:11" x14ac:dyDescent="0.25">
      <c r="A77" t="s">
        <v>1503</v>
      </c>
      <c r="B77" s="2">
        <v>45314</v>
      </c>
      <c r="C77" t="s">
        <v>74</v>
      </c>
      <c r="D77" t="s">
        <v>1013</v>
      </c>
      <c r="E77">
        <v>4</v>
      </c>
      <c r="F77">
        <v>25</v>
      </c>
      <c r="G77">
        <v>8.75</v>
      </c>
      <c r="H77" t="s">
        <v>1068</v>
      </c>
      <c r="I77" t="s">
        <v>1267</v>
      </c>
      <c r="J77" t="s">
        <v>1414</v>
      </c>
      <c r="K77" t="s">
        <v>1424</v>
      </c>
    </row>
    <row r="78" spans="1:11" x14ac:dyDescent="0.25">
      <c r="A78" t="s">
        <v>1504</v>
      </c>
      <c r="B78" s="2">
        <v>45315</v>
      </c>
      <c r="C78" t="s">
        <v>85</v>
      </c>
      <c r="D78" t="s">
        <v>1015</v>
      </c>
      <c r="E78">
        <v>8</v>
      </c>
      <c r="F78">
        <v>10</v>
      </c>
      <c r="G78">
        <v>2.83</v>
      </c>
      <c r="H78" t="s">
        <v>1066</v>
      </c>
      <c r="I78" t="s">
        <v>1265</v>
      </c>
      <c r="J78" t="s">
        <v>1415</v>
      </c>
      <c r="K78" t="s">
        <v>1418</v>
      </c>
    </row>
    <row r="79" spans="1:11" x14ac:dyDescent="0.25">
      <c r="A79" t="s">
        <v>1505</v>
      </c>
      <c r="B79" s="2">
        <v>45315</v>
      </c>
      <c r="C79" t="s">
        <v>415</v>
      </c>
      <c r="D79" t="s">
        <v>1013</v>
      </c>
      <c r="E79">
        <v>8</v>
      </c>
      <c r="F79">
        <v>25</v>
      </c>
      <c r="G79">
        <v>5.86</v>
      </c>
      <c r="H79" t="s">
        <v>1128</v>
      </c>
      <c r="I79" t="s">
        <v>1327</v>
      </c>
      <c r="J79" t="s">
        <v>1414</v>
      </c>
      <c r="K79" t="s">
        <v>1422</v>
      </c>
    </row>
    <row r="80" spans="1:11" x14ac:dyDescent="0.25">
      <c r="A80" t="s">
        <v>1506</v>
      </c>
      <c r="B80" s="2">
        <v>45315</v>
      </c>
      <c r="C80" t="s">
        <v>954</v>
      </c>
      <c r="D80" t="s">
        <v>1013</v>
      </c>
      <c r="E80">
        <v>4</v>
      </c>
      <c r="F80">
        <v>25</v>
      </c>
      <c r="G80">
        <v>9.89</v>
      </c>
      <c r="H80" t="s">
        <v>1095</v>
      </c>
      <c r="I80" t="s">
        <v>1294</v>
      </c>
      <c r="J80" t="s">
        <v>1414</v>
      </c>
      <c r="K80" t="s">
        <v>1426</v>
      </c>
    </row>
    <row r="81" spans="1:11" x14ac:dyDescent="0.25">
      <c r="A81" t="s">
        <v>1507</v>
      </c>
      <c r="B81" s="2">
        <v>45316</v>
      </c>
      <c r="C81" t="s">
        <v>480</v>
      </c>
      <c r="D81" t="s">
        <v>1012</v>
      </c>
      <c r="E81">
        <v>5</v>
      </c>
      <c r="F81">
        <v>40</v>
      </c>
      <c r="G81">
        <v>10.28</v>
      </c>
      <c r="H81" t="s">
        <v>1076</v>
      </c>
      <c r="I81" t="s">
        <v>1275</v>
      </c>
      <c r="J81" t="s">
        <v>1414</v>
      </c>
      <c r="K81" t="s">
        <v>1424</v>
      </c>
    </row>
    <row r="82" spans="1:11" x14ac:dyDescent="0.25">
      <c r="A82" t="s">
        <v>1508</v>
      </c>
      <c r="B82" s="2">
        <v>45317</v>
      </c>
      <c r="C82" t="s">
        <v>491</v>
      </c>
      <c r="D82" t="s">
        <v>1014</v>
      </c>
      <c r="E82">
        <v>7</v>
      </c>
      <c r="F82">
        <v>15</v>
      </c>
      <c r="G82">
        <v>5.82</v>
      </c>
      <c r="H82" t="s">
        <v>1070</v>
      </c>
      <c r="I82" t="s">
        <v>1269</v>
      </c>
      <c r="J82" t="s">
        <v>1417</v>
      </c>
      <c r="K82" t="s">
        <v>1421</v>
      </c>
    </row>
    <row r="83" spans="1:11" x14ac:dyDescent="0.25">
      <c r="A83" t="s">
        <v>1509</v>
      </c>
      <c r="B83" s="2">
        <v>45317</v>
      </c>
      <c r="C83" t="s">
        <v>623</v>
      </c>
      <c r="D83" t="s">
        <v>1015</v>
      </c>
      <c r="E83">
        <v>9</v>
      </c>
      <c r="F83">
        <v>10</v>
      </c>
      <c r="G83">
        <v>3.04</v>
      </c>
      <c r="H83" t="s">
        <v>1133</v>
      </c>
      <c r="I83" t="s">
        <v>1332</v>
      </c>
      <c r="J83" t="s">
        <v>1414</v>
      </c>
      <c r="K83" t="s">
        <v>1427</v>
      </c>
    </row>
    <row r="84" spans="1:11" x14ac:dyDescent="0.25">
      <c r="A84" t="s">
        <v>1510</v>
      </c>
      <c r="B84" s="2">
        <v>45317</v>
      </c>
      <c r="C84" t="s">
        <v>635</v>
      </c>
      <c r="D84" t="s">
        <v>1015</v>
      </c>
      <c r="E84">
        <v>7</v>
      </c>
      <c r="G84">
        <v>2.2400000000000002</v>
      </c>
      <c r="H84" t="s">
        <v>1190</v>
      </c>
      <c r="I84" t="s">
        <v>1389</v>
      </c>
      <c r="J84" t="s">
        <v>1414</v>
      </c>
      <c r="K84" t="s">
        <v>1427</v>
      </c>
    </row>
    <row r="85" spans="1:11" x14ac:dyDescent="0.25">
      <c r="A85" t="s">
        <v>1511</v>
      </c>
      <c r="B85" s="2">
        <v>45318</v>
      </c>
      <c r="C85" t="s">
        <v>65</v>
      </c>
      <c r="D85" t="s">
        <v>1013</v>
      </c>
      <c r="E85">
        <v>2</v>
      </c>
      <c r="F85">
        <v>25</v>
      </c>
      <c r="G85">
        <v>6.69</v>
      </c>
      <c r="H85" t="s">
        <v>1048</v>
      </c>
      <c r="I85" t="s">
        <v>1247</v>
      </c>
      <c r="J85" t="s">
        <v>1414</v>
      </c>
      <c r="K85" t="s">
        <v>1427</v>
      </c>
    </row>
    <row r="86" spans="1:11" x14ac:dyDescent="0.25">
      <c r="A86" t="s">
        <v>1512</v>
      </c>
      <c r="B86" s="2">
        <v>45318</v>
      </c>
      <c r="C86" t="s">
        <v>111</v>
      </c>
      <c r="D86" t="s">
        <v>1014</v>
      </c>
      <c r="E86">
        <v>9</v>
      </c>
      <c r="F86">
        <v>15</v>
      </c>
      <c r="G86">
        <v>3.37</v>
      </c>
      <c r="H86" t="s">
        <v>1093</v>
      </c>
      <c r="I86" t="s">
        <v>1292</v>
      </c>
      <c r="J86" t="s">
        <v>1414</v>
      </c>
      <c r="K86" t="s">
        <v>1418</v>
      </c>
    </row>
    <row r="87" spans="1:11" x14ac:dyDescent="0.25">
      <c r="A87" t="s">
        <v>1513</v>
      </c>
      <c r="B87" s="2">
        <v>45318</v>
      </c>
      <c r="C87" t="s">
        <v>182</v>
      </c>
      <c r="D87" t="s">
        <v>1013</v>
      </c>
      <c r="E87">
        <v>4</v>
      </c>
      <c r="F87">
        <v>25</v>
      </c>
      <c r="G87">
        <v>8.91</v>
      </c>
      <c r="H87" t="s">
        <v>1132</v>
      </c>
      <c r="I87" t="s">
        <v>1331</v>
      </c>
      <c r="J87" t="s">
        <v>1417</v>
      </c>
      <c r="K87" t="s">
        <v>1421</v>
      </c>
    </row>
    <row r="88" spans="1:11" x14ac:dyDescent="0.25">
      <c r="A88" t="s">
        <v>1514</v>
      </c>
      <c r="B88" s="2">
        <v>45318</v>
      </c>
      <c r="C88" t="s">
        <v>391</v>
      </c>
      <c r="D88" t="s">
        <v>1011</v>
      </c>
      <c r="E88">
        <v>1</v>
      </c>
      <c r="F88">
        <v>12</v>
      </c>
      <c r="G88">
        <v>2.87</v>
      </c>
      <c r="H88" t="s">
        <v>1089</v>
      </c>
      <c r="I88" t="s">
        <v>1288</v>
      </c>
      <c r="J88" t="s">
        <v>1416</v>
      </c>
      <c r="K88" t="s">
        <v>1424</v>
      </c>
    </row>
    <row r="89" spans="1:11" x14ac:dyDescent="0.25">
      <c r="A89" t="s">
        <v>1515</v>
      </c>
      <c r="B89" s="2">
        <v>45318</v>
      </c>
      <c r="C89" t="s">
        <v>428</v>
      </c>
      <c r="D89" t="s">
        <v>1012</v>
      </c>
      <c r="E89">
        <v>6</v>
      </c>
      <c r="F89">
        <v>40</v>
      </c>
      <c r="G89">
        <v>11.82</v>
      </c>
      <c r="H89" t="s">
        <v>1150</v>
      </c>
      <c r="I89" t="s">
        <v>1349</v>
      </c>
      <c r="J89" t="s">
        <v>1414</v>
      </c>
      <c r="K89" t="s">
        <v>1418</v>
      </c>
    </row>
    <row r="90" spans="1:11" x14ac:dyDescent="0.25">
      <c r="A90" t="s">
        <v>1516</v>
      </c>
      <c r="B90" s="2">
        <v>45318</v>
      </c>
      <c r="C90" t="s">
        <v>964</v>
      </c>
      <c r="D90" t="s">
        <v>1013</v>
      </c>
      <c r="E90">
        <v>6</v>
      </c>
      <c r="F90">
        <v>25</v>
      </c>
      <c r="G90">
        <v>9.0500000000000007</v>
      </c>
      <c r="H90" t="s">
        <v>1211</v>
      </c>
      <c r="I90" t="s">
        <v>1410</v>
      </c>
      <c r="J90" t="s">
        <v>1416</v>
      </c>
      <c r="K90" t="s">
        <v>1426</v>
      </c>
    </row>
    <row r="91" spans="1:11" x14ac:dyDescent="0.25">
      <c r="A91" t="s">
        <v>1517</v>
      </c>
      <c r="B91" s="2">
        <v>45319</v>
      </c>
      <c r="C91" t="s">
        <v>43</v>
      </c>
      <c r="D91" t="s">
        <v>1011</v>
      </c>
      <c r="E91">
        <v>10</v>
      </c>
      <c r="F91">
        <v>12</v>
      </c>
      <c r="G91">
        <v>4.34</v>
      </c>
      <c r="H91" t="s">
        <v>1030</v>
      </c>
      <c r="I91" t="s">
        <v>1229</v>
      </c>
      <c r="J91" t="s">
        <v>1416</v>
      </c>
      <c r="K91" t="s">
        <v>1421</v>
      </c>
    </row>
    <row r="92" spans="1:11" x14ac:dyDescent="0.25">
      <c r="A92" t="s">
        <v>1518</v>
      </c>
      <c r="B92" s="2">
        <v>45319</v>
      </c>
      <c r="C92" t="s">
        <v>417</v>
      </c>
      <c r="D92" t="s">
        <v>1013</v>
      </c>
      <c r="E92">
        <v>3</v>
      </c>
      <c r="G92">
        <v>7.45</v>
      </c>
      <c r="H92" t="s">
        <v>1188</v>
      </c>
      <c r="I92" t="s">
        <v>1387</v>
      </c>
      <c r="J92" t="s">
        <v>1416</v>
      </c>
      <c r="K92" t="s">
        <v>1419</v>
      </c>
    </row>
    <row r="93" spans="1:11" x14ac:dyDescent="0.25">
      <c r="A93" t="s">
        <v>1519</v>
      </c>
      <c r="B93" s="2">
        <v>45319</v>
      </c>
      <c r="C93" t="s">
        <v>478</v>
      </c>
      <c r="D93" t="s">
        <v>1014</v>
      </c>
      <c r="E93">
        <v>9</v>
      </c>
      <c r="F93">
        <v>15</v>
      </c>
      <c r="G93">
        <v>4.92</v>
      </c>
      <c r="H93" t="s">
        <v>1199</v>
      </c>
      <c r="I93" t="s">
        <v>1398</v>
      </c>
      <c r="J93" t="s">
        <v>1415</v>
      </c>
      <c r="K93" t="s">
        <v>1418</v>
      </c>
    </row>
    <row r="94" spans="1:11" x14ac:dyDescent="0.25">
      <c r="A94" t="s">
        <v>1520</v>
      </c>
      <c r="B94" s="2">
        <v>45319</v>
      </c>
      <c r="C94" t="s">
        <v>591</v>
      </c>
      <c r="D94" t="s">
        <v>1015</v>
      </c>
      <c r="E94">
        <v>7</v>
      </c>
      <c r="F94">
        <v>10</v>
      </c>
      <c r="G94">
        <v>2.4500000000000002</v>
      </c>
      <c r="H94" t="s">
        <v>1156</v>
      </c>
      <c r="I94" t="s">
        <v>1355</v>
      </c>
      <c r="J94" t="s">
        <v>1414</v>
      </c>
      <c r="K94" t="s">
        <v>1425</v>
      </c>
    </row>
    <row r="95" spans="1:11" x14ac:dyDescent="0.25">
      <c r="A95" t="s">
        <v>1521</v>
      </c>
      <c r="B95" s="2">
        <v>45319</v>
      </c>
      <c r="C95" t="s">
        <v>629</v>
      </c>
      <c r="D95" t="s">
        <v>1013</v>
      </c>
      <c r="E95">
        <v>1</v>
      </c>
      <c r="F95">
        <v>25</v>
      </c>
      <c r="G95">
        <v>7.24</v>
      </c>
      <c r="H95" t="s">
        <v>1035</v>
      </c>
      <c r="I95" t="s">
        <v>1234</v>
      </c>
      <c r="J95" t="s">
        <v>1416</v>
      </c>
      <c r="K95" t="s">
        <v>1427</v>
      </c>
    </row>
    <row r="96" spans="1:11" x14ac:dyDescent="0.25">
      <c r="A96" t="s">
        <v>1522</v>
      </c>
      <c r="B96" s="2">
        <v>45319</v>
      </c>
      <c r="C96" t="s">
        <v>847</v>
      </c>
      <c r="D96" t="s">
        <v>1012</v>
      </c>
      <c r="E96">
        <v>2</v>
      </c>
      <c r="F96">
        <v>40</v>
      </c>
      <c r="G96">
        <v>14.07</v>
      </c>
      <c r="H96" t="s">
        <v>1050</v>
      </c>
      <c r="I96" t="s">
        <v>1249</v>
      </c>
      <c r="J96" t="s">
        <v>1417</v>
      </c>
      <c r="K96" t="s">
        <v>1425</v>
      </c>
    </row>
    <row r="97" spans="1:11" x14ac:dyDescent="0.25">
      <c r="A97" t="s">
        <v>1523</v>
      </c>
      <c r="B97" s="2">
        <v>45319</v>
      </c>
      <c r="C97" t="s">
        <v>932</v>
      </c>
      <c r="D97" t="s">
        <v>1013</v>
      </c>
      <c r="E97">
        <v>10</v>
      </c>
      <c r="F97">
        <v>25</v>
      </c>
      <c r="G97">
        <v>9.9</v>
      </c>
      <c r="H97" t="s">
        <v>1030</v>
      </c>
      <c r="I97" t="s">
        <v>1229</v>
      </c>
      <c r="J97" t="s">
        <v>1414</v>
      </c>
      <c r="K97" t="s">
        <v>1427</v>
      </c>
    </row>
    <row r="98" spans="1:11" x14ac:dyDescent="0.25">
      <c r="A98" t="s">
        <v>1524</v>
      </c>
      <c r="B98" s="2">
        <v>45320</v>
      </c>
      <c r="C98" t="s">
        <v>431</v>
      </c>
      <c r="D98" t="s">
        <v>1012</v>
      </c>
      <c r="E98">
        <v>9</v>
      </c>
      <c r="F98">
        <v>40</v>
      </c>
      <c r="G98">
        <v>15.18</v>
      </c>
      <c r="H98" t="s">
        <v>1115</v>
      </c>
      <c r="I98" t="s">
        <v>1314</v>
      </c>
      <c r="J98" t="s">
        <v>1415</v>
      </c>
      <c r="K98" t="s">
        <v>1425</v>
      </c>
    </row>
    <row r="99" spans="1:11" x14ac:dyDescent="0.25">
      <c r="A99" t="s">
        <v>1525</v>
      </c>
      <c r="B99" s="2">
        <v>45320</v>
      </c>
      <c r="C99" t="s">
        <v>587</v>
      </c>
      <c r="D99" t="s">
        <v>1015</v>
      </c>
      <c r="E99">
        <v>4</v>
      </c>
      <c r="F99">
        <v>10</v>
      </c>
      <c r="G99">
        <v>3.54</v>
      </c>
      <c r="H99" t="s">
        <v>1061</v>
      </c>
      <c r="I99" t="s">
        <v>1260</v>
      </c>
      <c r="J99" t="s">
        <v>1414</v>
      </c>
      <c r="K99" t="s">
        <v>1425</v>
      </c>
    </row>
    <row r="100" spans="1:11" x14ac:dyDescent="0.25">
      <c r="A100" t="s">
        <v>1526</v>
      </c>
      <c r="B100" s="2">
        <v>45320</v>
      </c>
      <c r="C100" t="s">
        <v>670</v>
      </c>
      <c r="D100" t="s">
        <v>1011</v>
      </c>
      <c r="E100">
        <v>10</v>
      </c>
      <c r="F100">
        <v>12</v>
      </c>
      <c r="G100">
        <v>3.79</v>
      </c>
      <c r="H100" t="s">
        <v>1204</v>
      </c>
      <c r="I100" t="s">
        <v>1403</v>
      </c>
      <c r="J100" t="s">
        <v>1414</v>
      </c>
      <c r="K100" t="s">
        <v>1420</v>
      </c>
    </row>
    <row r="101" spans="1:11" x14ac:dyDescent="0.25">
      <c r="A101" t="s">
        <v>1527</v>
      </c>
      <c r="B101" s="2">
        <v>45320</v>
      </c>
      <c r="C101" t="s">
        <v>750</v>
      </c>
      <c r="D101" t="s">
        <v>1015</v>
      </c>
      <c r="E101">
        <v>8</v>
      </c>
      <c r="F101">
        <v>10</v>
      </c>
      <c r="G101">
        <v>2.6</v>
      </c>
      <c r="H101" t="s">
        <v>1125</v>
      </c>
      <c r="I101" t="s">
        <v>1324</v>
      </c>
      <c r="J101" t="s">
        <v>1414</v>
      </c>
      <c r="K101" t="s">
        <v>1424</v>
      </c>
    </row>
    <row r="102" spans="1:11" x14ac:dyDescent="0.25">
      <c r="A102" t="s">
        <v>1528</v>
      </c>
      <c r="B102" s="2">
        <v>45320</v>
      </c>
      <c r="C102" t="s">
        <v>783</v>
      </c>
      <c r="D102" t="s">
        <v>1013</v>
      </c>
      <c r="E102">
        <v>8</v>
      </c>
      <c r="F102">
        <v>25</v>
      </c>
      <c r="G102">
        <v>6.48</v>
      </c>
      <c r="H102" t="s">
        <v>1020</v>
      </c>
      <c r="I102" t="s">
        <v>1219</v>
      </c>
      <c r="J102" t="s">
        <v>1416</v>
      </c>
      <c r="K102" t="s">
        <v>1422</v>
      </c>
    </row>
    <row r="103" spans="1:11" x14ac:dyDescent="0.25">
      <c r="A103" t="s">
        <v>1529</v>
      </c>
      <c r="B103" s="2">
        <v>45320</v>
      </c>
      <c r="C103" t="s">
        <v>822</v>
      </c>
      <c r="D103" t="s">
        <v>1015</v>
      </c>
      <c r="E103">
        <v>9</v>
      </c>
      <c r="F103">
        <v>10</v>
      </c>
      <c r="G103">
        <v>3.07</v>
      </c>
      <c r="H103" t="s">
        <v>1016</v>
      </c>
      <c r="I103" t="s">
        <v>1215</v>
      </c>
      <c r="J103" t="s">
        <v>1415</v>
      </c>
      <c r="K103" t="s">
        <v>1427</v>
      </c>
    </row>
    <row r="104" spans="1:11" x14ac:dyDescent="0.25">
      <c r="A104" t="s">
        <v>1530</v>
      </c>
      <c r="B104" s="2">
        <v>45321</v>
      </c>
      <c r="C104" t="s">
        <v>344</v>
      </c>
      <c r="D104" t="s">
        <v>1012</v>
      </c>
      <c r="E104">
        <v>8</v>
      </c>
      <c r="F104">
        <v>40</v>
      </c>
      <c r="G104">
        <v>10.88</v>
      </c>
      <c r="H104" t="s">
        <v>1144</v>
      </c>
      <c r="I104" t="s">
        <v>1343</v>
      </c>
      <c r="J104" t="s">
        <v>1416</v>
      </c>
      <c r="K104" t="s">
        <v>1424</v>
      </c>
    </row>
    <row r="105" spans="1:11" x14ac:dyDescent="0.25">
      <c r="A105" t="s">
        <v>1531</v>
      </c>
      <c r="B105" s="2">
        <v>45321</v>
      </c>
      <c r="C105" t="s">
        <v>731</v>
      </c>
      <c r="D105" t="s">
        <v>1014</v>
      </c>
      <c r="E105">
        <v>7</v>
      </c>
      <c r="F105">
        <v>15</v>
      </c>
      <c r="G105">
        <v>5.75</v>
      </c>
      <c r="H105" t="s">
        <v>1129</v>
      </c>
      <c r="I105" t="s">
        <v>1328</v>
      </c>
      <c r="J105" t="s">
        <v>1414</v>
      </c>
      <c r="K105" t="s">
        <v>1423</v>
      </c>
    </row>
    <row r="106" spans="1:11" x14ac:dyDescent="0.25">
      <c r="A106" t="s">
        <v>1532</v>
      </c>
      <c r="B106" s="2">
        <v>45322</v>
      </c>
      <c r="C106" t="s">
        <v>193</v>
      </c>
      <c r="D106" t="s">
        <v>1015</v>
      </c>
      <c r="E106">
        <v>3</v>
      </c>
      <c r="F106">
        <v>10</v>
      </c>
      <c r="G106">
        <v>2.88</v>
      </c>
      <c r="H106" t="s">
        <v>1137</v>
      </c>
      <c r="I106" t="s">
        <v>1336</v>
      </c>
      <c r="J106" t="s">
        <v>1416</v>
      </c>
      <c r="K106" t="s">
        <v>1424</v>
      </c>
    </row>
    <row r="107" spans="1:11" x14ac:dyDescent="0.25">
      <c r="A107" t="s">
        <v>1533</v>
      </c>
      <c r="B107" s="2">
        <v>45322</v>
      </c>
      <c r="C107" t="s">
        <v>262</v>
      </c>
      <c r="D107" t="s">
        <v>1015</v>
      </c>
      <c r="E107">
        <v>9</v>
      </c>
      <c r="F107">
        <v>10</v>
      </c>
      <c r="G107">
        <v>3.15</v>
      </c>
      <c r="H107" t="s">
        <v>1089</v>
      </c>
      <c r="I107" t="s">
        <v>1288</v>
      </c>
      <c r="J107" t="s">
        <v>1414</v>
      </c>
      <c r="K107" t="s">
        <v>1425</v>
      </c>
    </row>
    <row r="108" spans="1:11" x14ac:dyDescent="0.25">
      <c r="A108" t="s">
        <v>1534</v>
      </c>
      <c r="B108" s="2">
        <v>45322</v>
      </c>
      <c r="C108" t="s">
        <v>460</v>
      </c>
      <c r="D108" t="s">
        <v>1013</v>
      </c>
      <c r="E108">
        <v>1</v>
      </c>
      <c r="F108">
        <v>25</v>
      </c>
      <c r="G108">
        <v>5.62</v>
      </c>
      <c r="H108" t="s">
        <v>1074</v>
      </c>
      <c r="I108" t="s">
        <v>1273</v>
      </c>
      <c r="J108" t="s">
        <v>1414</v>
      </c>
      <c r="K108" t="s">
        <v>1422</v>
      </c>
    </row>
    <row r="109" spans="1:11" x14ac:dyDescent="0.25">
      <c r="A109" t="s">
        <v>1535</v>
      </c>
      <c r="B109" s="2">
        <v>45322</v>
      </c>
      <c r="C109" t="s">
        <v>648</v>
      </c>
      <c r="D109" t="s">
        <v>1013</v>
      </c>
      <c r="E109">
        <v>10</v>
      </c>
      <c r="F109">
        <v>25</v>
      </c>
      <c r="G109">
        <v>7.15</v>
      </c>
      <c r="H109" t="s">
        <v>1208</v>
      </c>
      <c r="I109" t="s">
        <v>1407</v>
      </c>
      <c r="J109" t="s">
        <v>1414</v>
      </c>
      <c r="K109" t="s">
        <v>1426</v>
      </c>
    </row>
    <row r="110" spans="1:11" x14ac:dyDescent="0.25">
      <c r="A110" t="s">
        <v>1536</v>
      </c>
      <c r="B110" s="2">
        <v>45322</v>
      </c>
      <c r="C110" t="s">
        <v>692</v>
      </c>
      <c r="D110" t="s">
        <v>1012</v>
      </c>
      <c r="E110">
        <v>10</v>
      </c>
      <c r="F110">
        <v>40</v>
      </c>
      <c r="G110">
        <v>14.26</v>
      </c>
      <c r="H110" t="s">
        <v>1067</v>
      </c>
      <c r="I110" t="s">
        <v>1266</v>
      </c>
      <c r="J110" t="s">
        <v>1414</v>
      </c>
      <c r="K110" t="s">
        <v>1421</v>
      </c>
    </row>
    <row r="111" spans="1:11" x14ac:dyDescent="0.25">
      <c r="A111" t="s">
        <v>1537</v>
      </c>
      <c r="B111" s="2">
        <v>45322</v>
      </c>
      <c r="C111" t="s">
        <v>777</v>
      </c>
      <c r="D111" t="s">
        <v>1011</v>
      </c>
      <c r="E111">
        <v>3</v>
      </c>
      <c r="F111">
        <v>12</v>
      </c>
      <c r="G111">
        <v>3.43</v>
      </c>
      <c r="H111" t="s">
        <v>1128</v>
      </c>
      <c r="I111" t="s">
        <v>1327</v>
      </c>
      <c r="J111" t="s">
        <v>1414</v>
      </c>
      <c r="K111" t="s">
        <v>1427</v>
      </c>
    </row>
    <row r="112" spans="1:11" x14ac:dyDescent="0.25">
      <c r="A112" t="s">
        <v>1538</v>
      </c>
      <c r="B112" s="2">
        <v>45323</v>
      </c>
      <c r="C112" t="s">
        <v>531</v>
      </c>
      <c r="D112" t="s">
        <v>1013</v>
      </c>
      <c r="E112">
        <v>5</v>
      </c>
      <c r="F112">
        <v>25</v>
      </c>
      <c r="G112">
        <v>7.16</v>
      </c>
      <c r="H112" t="s">
        <v>1075</v>
      </c>
      <c r="I112" t="s">
        <v>1274</v>
      </c>
      <c r="J112" t="s">
        <v>1414</v>
      </c>
      <c r="K112" t="s">
        <v>1423</v>
      </c>
    </row>
    <row r="113" spans="1:11" x14ac:dyDescent="0.25">
      <c r="A113" t="s">
        <v>1539</v>
      </c>
      <c r="B113" s="2">
        <v>45323</v>
      </c>
      <c r="C113" t="s">
        <v>902</v>
      </c>
      <c r="D113" t="s">
        <v>1012</v>
      </c>
      <c r="E113">
        <v>1</v>
      </c>
      <c r="F113">
        <v>40</v>
      </c>
      <c r="G113">
        <v>13.32</v>
      </c>
      <c r="H113" t="s">
        <v>1025</v>
      </c>
      <c r="I113" t="s">
        <v>1224</v>
      </c>
      <c r="J113" t="s">
        <v>1414</v>
      </c>
      <c r="K113" t="s">
        <v>1420</v>
      </c>
    </row>
    <row r="114" spans="1:11" x14ac:dyDescent="0.25">
      <c r="A114" t="s">
        <v>1540</v>
      </c>
      <c r="B114" s="2">
        <v>45324</v>
      </c>
      <c r="C114" t="s">
        <v>163</v>
      </c>
      <c r="D114" t="s">
        <v>1014</v>
      </c>
      <c r="E114">
        <v>8</v>
      </c>
      <c r="F114">
        <v>15</v>
      </c>
      <c r="G114">
        <v>4.83</v>
      </c>
      <c r="H114" t="s">
        <v>1124</v>
      </c>
      <c r="I114" t="s">
        <v>1323</v>
      </c>
      <c r="J114" t="s">
        <v>1415</v>
      </c>
      <c r="K114" t="s">
        <v>1427</v>
      </c>
    </row>
    <row r="115" spans="1:11" x14ac:dyDescent="0.25">
      <c r="A115" t="s">
        <v>1541</v>
      </c>
      <c r="B115" s="2">
        <v>45325</v>
      </c>
      <c r="C115" t="s">
        <v>286</v>
      </c>
      <c r="D115" t="s">
        <v>1013</v>
      </c>
      <c r="E115">
        <v>2</v>
      </c>
      <c r="F115">
        <v>25</v>
      </c>
      <c r="G115">
        <v>5.45</v>
      </c>
      <c r="H115" t="s">
        <v>1024</v>
      </c>
      <c r="I115" t="s">
        <v>1223</v>
      </c>
      <c r="J115" t="s">
        <v>1416</v>
      </c>
      <c r="K115" t="s">
        <v>1421</v>
      </c>
    </row>
    <row r="116" spans="1:11" x14ac:dyDescent="0.25">
      <c r="A116" t="s">
        <v>1542</v>
      </c>
      <c r="B116" s="2">
        <v>45326</v>
      </c>
      <c r="C116" t="s">
        <v>257</v>
      </c>
      <c r="D116" t="s">
        <v>1013</v>
      </c>
      <c r="E116">
        <v>9</v>
      </c>
      <c r="F116">
        <v>25</v>
      </c>
      <c r="G116">
        <v>6.65</v>
      </c>
      <c r="H116" t="s">
        <v>1115</v>
      </c>
      <c r="I116" t="s">
        <v>1314</v>
      </c>
      <c r="J116" t="s">
        <v>1414</v>
      </c>
      <c r="K116" t="s">
        <v>1427</v>
      </c>
    </row>
    <row r="117" spans="1:11" x14ac:dyDescent="0.25">
      <c r="A117" t="s">
        <v>1543</v>
      </c>
      <c r="B117" s="2">
        <v>45327</v>
      </c>
      <c r="C117" t="s">
        <v>705</v>
      </c>
      <c r="D117" t="s">
        <v>1015</v>
      </c>
      <c r="E117">
        <v>1</v>
      </c>
      <c r="F117">
        <v>10</v>
      </c>
      <c r="G117">
        <v>2.91</v>
      </c>
      <c r="H117" t="s">
        <v>1112</v>
      </c>
      <c r="I117" t="s">
        <v>1311</v>
      </c>
      <c r="J117" t="s">
        <v>1414</v>
      </c>
      <c r="K117" t="s">
        <v>1421</v>
      </c>
    </row>
    <row r="118" spans="1:11" x14ac:dyDescent="0.25">
      <c r="A118" t="s">
        <v>1544</v>
      </c>
      <c r="B118" s="2">
        <v>45328</v>
      </c>
      <c r="C118" t="s">
        <v>292</v>
      </c>
      <c r="D118" t="s">
        <v>1015</v>
      </c>
      <c r="E118">
        <v>8</v>
      </c>
      <c r="G118">
        <v>3.92</v>
      </c>
      <c r="H118" t="s">
        <v>1168</v>
      </c>
      <c r="I118" t="s">
        <v>1367</v>
      </c>
      <c r="J118" t="s">
        <v>1416</v>
      </c>
      <c r="K118" t="s">
        <v>1422</v>
      </c>
    </row>
    <row r="119" spans="1:11" x14ac:dyDescent="0.25">
      <c r="A119" t="s">
        <v>1545</v>
      </c>
      <c r="B119" s="2">
        <v>45328</v>
      </c>
      <c r="C119" t="s">
        <v>426</v>
      </c>
      <c r="D119" t="s">
        <v>1014</v>
      </c>
      <c r="E119">
        <v>5</v>
      </c>
      <c r="F119">
        <v>15</v>
      </c>
      <c r="G119">
        <v>4.6100000000000003</v>
      </c>
      <c r="H119" t="s">
        <v>1181</v>
      </c>
      <c r="I119" t="s">
        <v>1380</v>
      </c>
      <c r="J119" t="s">
        <v>1415</v>
      </c>
      <c r="K119" t="s">
        <v>1421</v>
      </c>
    </row>
    <row r="120" spans="1:11" x14ac:dyDescent="0.25">
      <c r="A120" t="s">
        <v>1546</v>
      </c>
      <c r="B120" s="2">
        <v>45328</v>
      </c>
      <c r="C120" t="s">
        <v>681</v>
      </c>
      <c r="D120" t="s">
        <v>1015</v>
      </c>
      <c r="E120">
        <v>4</v>
      </c>
      <c r="F120">
        <v>10</v>
      </c>
      <c r="G120">
        <v>3.17</v>
      </c>
      <c r="H120" t="s">
        <v>1143</v>
      </c>
      <c r="I120" t="s">
        <v>1342</v>
      </c>
      <c r="J120" t="s">
        <v>1414</v>
      </c>
      <c r="K120" t="s">
        <v>1422</v>
      </c>
    </row>
    <row r="121" spans="1:11" x14ac:dyDescent="0.25">
      <c r="A121" t="s">
        <v>1547</v>
      </c>
      <c r="B121" s="2">
        <v>45328</v>
      </c>
      <c r="C121" t="s">
        <v>756</v>
      </c>
      <c r="D121" t="s">
        <v>1012</v>
      </c>
      <c r="E121">
        <v>5</v>
      </c>
      <c r="F121">
        <v>40</v>
      </c>
      <c r="G121">
        <v>11.02</v>
      </c>
      <c r="H121" t="s">
        <v>1044</v>
      </c>
      <c r="I121" t="s">
        <v>1243</v>
      </c>
      <c r="J121" t="s">
        <v>1414</v>
      </c>
      <c r="K121" t="s">
        <v>1418</v>
      </c>
    </row>
    <row r="122" spans="1:11" x14ac:dyDescent="0.25">
      <c r="A122" t="s">
        <v>1548</v>
      </c>
      <c r="B122" s="2">
        <v>45328</v>
      </c>
      <c r="C122" t="s">
        <v>870</v>
      </c>
      <c r="D122" t="s">
        <v>1012</v>
      </c>
      <c r="E122">
        <v>1</v>
      </c>
      <c r="F122">
        <v>40</v>
      </c>
      <c r="G122">
        <v>12.28</v>
      </c>
      <c r="H122" t="s">
        <v>1136</v>
      </c>
      <c r="I122" t="s">
        <v>1335</v>
      </c>
      <c r="J122" t="s">
        <v>1414</v>
      </c>
      <c r="K122" t="s">
        <v>1424</v>
      </c>
    </row>
    <row r="123" spans="1:11" x14ac:dyDescent="0.25">
      <c r="A123" t="s">
        <v>1549</v>
      </c>
      <c r="B123" s="2">
        <v>45329</v>
      </c>
      <c r="C123" t="s">
        <v>440</v>
      </c>
      <c r="D123" t="s">
        <v>1011</v>
      </c>
      <c r="E123">
        <v>10</v>
      </c>
      <c r="F123">
        <v>12</v>
      </c>
      <c r="G123">
        <v>3.91</v>
      </c>
      <c r="H123" t="s">
        <v>1138</v>
      </c>
      <c r="I123" t="s">
        <v>1337</v>
      </c>
      <c r="J123" t="s">
        <v>1416</v>
      </c>
      <c r="K123" t="s">
        <v>1421</v>
      </c>
    </row>
    <row r="124" spans="1:11" x14ac:dyDescent="0.25">
      <c r="A124" t="s">
        <v>1550</v>
      </c>
      <c r="B124" s="2">
        <v>45329</v>
      </c>
      <c r="C124" t="s">
        <v>942</v>
      </c>
      <c r="D124" t="s">
        <v>1012</v>
      </c>
      <c r="E124">
        <v>6</v>
      </c>
      <c r="F124">
        <v>40</v>
      </c>
      <c r="G124">
        <v>15</v>
      </c>
      <c r="H124" t="s">
        <v>1078</v>
      </c>
      <c r="I124" t="s">
        <v>1277</v>
      </c>
      <c r="J124" t="s">
        <v>1414</v>
      </c>
      <c r="K124" t="s">
        <v>1420</v>
      </c>
    </row>
    <row r="125" spans="1:11" x14ac:dyDescent="0.25">
      <c r="A125" t="s">
        <v>1551</v>
      </c>
      <c r="B125" s="2">
        <v>45330</v>
      </c>
      <c r="C125" t="s">
        <v>445</v>
      </c>
      <c r="D125" t="s">
        <v>1014</v>
      </c>
      <c r="E125">
        <v>7</v>
      </c>
      <c r="F125">
        <v>15</v>
      </c>
      <c r="G125">
        <v>5.54</v>
      </c>
      <c r="H125" t="s">
        <v>1193</v>
      </c>
      <c r="I125" t="s">
        <v>1392</v>
      </c>
      <c r="J125" t="s">
        <v>1416</v>
      </c>
      <c r="K125" t="s">
        <v>1422</v>
      </c>
    </row>
    <row r="126" spans="1:11" x14ac:dyDescent="0.25">
      <c r="A126" t="s">
        <v>1552</v>
      </c>
      <c r="B126" s="2">
        <v>45330</v>
      </c>
      <c r="C126" t="s">
        <v>618</v>
      </c>
      <c r="D126" t="s">
        <v>1014</v>
      </c>
      <c r="E126">
        <v>7</v>
      </c>
      <c r="F126">
        <v>15</v>
      </c>
      <c r="G126">
        <v>3.16</v>
      </c>
      <c r="H126" t="s">
        <v>1113</v>
      </c>
      <c r="I126" t="s">
        <v>1312</v>
      </c>
      <c r="J126" t="s">
        <v>1414</v>
      </c>
      <c r="K126" t="s">
        <v>1422</v>
      </c>
    </row>
    <row r="127" spans="1:11" x14ac:dyDescent="0.25">
      <c r="A127" t="s">
        <v>1553</v>
      </c>
      <c r="B127" s="2">
        <v>45330</v>
      </c>
      <c r="C127" t="s">
        <v>687</v>
      </c>
      <c r="D127" t="s">
        <v>1014</v>
      </c>
      <c r="E127">
        <v>5</v>
      </c>
      <c r="F127">
        <v>15</v>
      </c>
      <c r="G127">
        <v>4.28</v>
      </c>
      <c r="H127" t="s">
        <v>1176</v>
      </c>
      <c r="I127" t="s">
        <v>1375</v>
      </c>
      <c r="J127" t="s">
        <v>1416</v>
      </c>
      <c r="K127" t="s">
        <v>1420</v>
      </c>
    </row>
    <row r="128" spans="1:11" x14ac:dyDescent="0.25">
      <c r="A128" t="s">
        <v>1554</v>
      </c>
      <c r="B128" s="2">
        <v>45331</v>
      </c>
      <c r="C128" t="s">
        <v>390</v>
      </c>
      <c r="D128" t="s">
        <v>1011</v>
      </c>
      <c r="E128">
        <v>6</v>
      </c>
      <c r="F128">
        <v>12</v>
      </c>
      <c r="G128">
        <v>3.5</v>
      </c>
      <c r="H128" t="s">
        <v>1185</v>
      </c>
      <c r="I128" t="s">
        <v>1384</v>
      </c>
      <c r="J128" t="s">
        <v>1414</v>
      </c>
      <c r="K128" t="s">
        <v>1421</v>
      </c>
    </row>
    <row r="129" spans="1:11" x14ac:dyDescent="0.25">
      <c r="A129" t="s">
        <v>1555</v>
      </c>
      <c r="B129" s="2">
        <v>45332</v>
      </c>
      <c r="C129" t="s">
        <v>95</v>
      </c>
      <c r="D129" t="s">
        <v>1011</v>
      </c>
      <c r="E129">
        <v>10</v>
      </c>
      <c r="F129">
        <v>12</v>
      </c>
      <c r="G129">
        <v>2.52</v>
      </c>
      <c r="H129" t="s">
        <v>1081</v>
      </c>
      <c r="I129" t="s">
        <v>1280</v>
      </c>
      <c r="J129" t="s">
        <v>1414</v>
      </c>
      <c r="K129" t="s">
        <v>1420</v>
      </c>
    </row>
    <row r="130" spans="1:11" x14ac:dyDescent="0.25">
      <c r="A130" t="s">
        <v>1556</v>
      </c>
      <c r="B130" s="2">
        <v>45334</v>
      </c>
      <c r="C130" t="s">
        <v>226</v>
      </c>
      <c r="D130" t="s">
        <v>1013</v>
      </c>
      <c r="E130">
        <v>8</v>
      </c>
      <c r="F130">
        <v>25</v>
      </c>
      <c r="G130">
        <v>8.44</v>
      </c>
      <c r="H130" t="s">
        <v>1118</v>
      </c>
      <c r="I130" t="s">
        <v>1317</v>
      </c>
      <c r="J130" t="s">
        <v>1417</v>
      </c>
      <c r="K130" t="s">
        <v>1422</v>
      </c>
    </row>
    <row r="131" spans="1:11" x14ac:dyDescent="0.25">
      <c r="A131" t="s">
        <v>1557</v>
      </c>
      <c r="B131" s="2">
        <v>45335</v>
      </c>
      <c r="C131" t="s">
        <v>150</v>
      </c>
      <c r="D131" t="s">
        <v>1015</v>
      </c>
      <c r="E131">
        <v>9</v>
      </c>
      <c r="F131">
        <v>10</v>
      </c>
      <c r="G131">
        <v>3.45</v>
      </c>
      <c r="H131" t="s">
        <v>1121</v>
      </c>
      <c r="I131" t="s">
        <v>1320</v>
      </c>
      <c r="J131" t="s">
        <v>1414</v>
      </c>
      <c r="K131" t="s">
        <v>1418</v>
      </c>
    </row>
    <row r="132" spans="1:11" x14ac:dyDescent="0.25">
      <c r="A132" t="s">
        <v>1558</v>
      </c>
      <c r="B132" s="2">
        <v>45335</v>
      </c>
      <c r="C132" t="s">
        <v>197</v>
      </c>
      <c r="D132" t="s">
        <v>1014</v>
      </c>
      <c r="E132">
        <v>3</v>
      </c>
      <c r="F132">
        <v>15</v>
      </c>
      <c r="G132">
        <v>4.2699999999999996</v>
      </c>
      <c r="H132" t="s">
        <v>1068</v>
      </c>
      <c r="I132" t="s">
        <v>1267</v>
      </c>
      <c r="J132" t="s">
        <v>1416</v>
      </c>
      <c r="K132" t="s">
        <v>1422</v>
      </c>
    </row>
    <row r="133" spans="1:11" x14ac:dyDescent="0.25">
      <c r="A133" t="s">
        <v>1559</v>
      </c>
      <c r="B133" s="2">
        <v>45335</v>
      </c>
      <c r="C133" t="s">
        <v>857</v>
      </c>
      <c r="D133" t="s">
        <v>1015</v>
      </c>
      <c r="E133">
        <v>9</v>
      </c>
      <c r="F133">
        <v>10</v>
      </c>
      <c r="G133">
        <v>3.07</v>
      </c>
      <c r="H133" t="s">
        <v>1176</v>
      </c>
      <c r="I133" t="s">
        <v>1375</v>
      </c>
      <c r="J133" t="s">
        <v>1416</v>
      </c>
      <c r="K133" t="s">
        <v>1421</v>
      </c>
    </row>
    <row r="134" spans="1:11" x14ac:dyDescent="0.25">
      <c r="A134" t="s">
        <v>1560</v>
      </c>
      <c r="B134" s="2">
        <v>45336</v>
      </c>
      <c r="C134" t="s">
        <v>20</v>
      </c>
      <c r="D134" t="s">
        <v>1012</v>
      </c>
      <c r="E134">
        <v>7</v>
      </c>
      <c r="F134">
        <v>40</v>
      </c>
      <c r="G134">
        <v>12.58</v>
      </c>
      <c r="H134" t="s">
        <v>1025</v>
      </c>
      <c r="I134" t="s">
        <v>1224</v>
      </c>
      <c r="J134" t="s">
        <v>1415</v>
      </c>
      <c r="K134" t="s">
        <v>1425</v>
      </c>
    </row>
    <row r="135" spans="1:11" x14ac:dyDescent="0.25">
      <c r="A135" t="s">
        <v>1561</v>
      </c>
      <c r="B135" s="2">
        <v>45336</v>
      </c>
      <c r="C135" t="s">
        <v>84</v>
      </c>
      <c r="D135" t="s">
        <v>1012</v>
      </c>
      <c r="E135">
        <v>2</v>
      </c>
      <c r="F135">
        <v>40</v>
      </c>
      <c r="G135">
        <v>9.66</v>
      </c>
      <c r="H135" t="s">
        <v>1074</v>
      </c>
      <c r="I135" t="s">
        <v>1273</v>
      </c>
      <c r="J135" t="s">
        <v>1417</v>
      </c>
      <c r="K135" t="s">
        <v>1422</v>
      </c>
    </row>
    <row r="136" spans="1:11" x14ac:dyDescent="0.25">
      <c r="A136" t="s">
        <v>1562</v>
      </c>
      <c r="B136" s="2">
        <v>45336</v>
      </c>
      <c r="C136" t="s">
        <v>880</v>
      </c>
      <c r="D136" t="s">
        <v>1013</v>
      </c>
      <c r="E136">
        <v>2</v>
      </c>
      <c r="F136">
        <v>25</v>
      </c>
      <c r="G136">
        <v>9.7100000000000009</v>
      </c>
      <c r="H136" t="s">
        <v>1128</v>
      </c>
      <c r="I136" t="s">
        <v>1327</v>
      </c>
      <c r="J136" t="s">
        <v>1414</v>
      </c>
      <c r="K136" t="s">
        <v>1422</v>
      </c>
    </row>
    <row r="137" spans="1:11" x14ac:dyDescent="0.25">
      <c r="A137" t="s">
        <v>1563</v>
      </c>
      <c r="B137" s="2">
        <v>45337</v>
      </c>
      <c r="C137" t="s">
        <v>508</v>
      </c>
      <c r="D137" t="s">
        <v>1012</v>
      </c>
      <c r="E137">
        <v>10</v>
      </c>
      <c r="F137">
        <v>40</v>
      </c>
      <c r="G137">
        <v>14.95</v>
      </c>
      <c r="H137" t="s">
        <v>1122</v>
      </c>
      <c r="I137" t="s">
        <v>1321</v>
      </c>
      <c r="J137" t="s">
        <v>1414</v>
      </c>
      <c r="K137" t="s">
        <v>1427</v>
      </c>
    </row>
    <row r="138" spans="1:11" x14ac:dyDescent="0.25">
      <c r="A138" t="s">
        <v>1564</v>
      </c>
      <c r="B138" s="2">
        <v>45337</v>
      </c>
      <c r="C138" t="s">
        <v>672</v>
      </c>
      <c r="D138" t="s">
        <v>1011</v>
      </c>
      <c r="E138">
        <v>5</v>
      </c>
      <c r="F138">
        <v>12</v>
      </c>
      <c r="G138">
        <v>3.63</v>
      </c>
      <c r="H138" t="s">
        <v>1113</v>
      </c>
      <c r="I138" t="s">
        <v>1312</v>
      </c>
      <c r="J138" t="s">
        <v>1414</v>
      </c>
      <c r="K138" t="s">
        <v>1420</v>
      </c>
    </row>
    <row r="139" spans="1:11" x14ac:dyDescent="0.25">
      <c r="A139" t="s">
        <v>1565</v>
      </c>
      <c r="B139" s="2">
        <v>45337</v>
      </c>
      <c r="C139" t="s">
        <v>784</v>
      </c>
      <c r="D139" t="s">
        <v>1013</v>
      </c>
      <c r="E139">
        <v>2</v>
      </c>
      <c r="F139">
        <v>25</v>
      </c>
      <c r="G139">
        <v>8.08</v>
      </c>
      <c r="H139" t="s">
        <v>1121</v>
      </c>
      <c r="I139" t="s">
        <v>1320</v>
      </c>
      <c r="J139" t="s">
        <v>1414</v>
      </c>
      <c r="K139" t="s">
        <v>1420</v>
      </c>
    </row>
    <row r="140" spans="1:11" x14ac:dyDescent="0.25">
      <c r="A140" t="s">
        <v>1566</v>
      </c>
      <c r="B140" s="2">
        <v>45337</v>
      </c>
      <c r="C140" t="s">
        <v>823</v>
      </c>
      <c r="D140" t="s">
        <v>1015</v>
      </c>
      <c r="E140">
        <v>9</v>
      </c>
      <c r="F140">
        <v>10</v>
      </c>
      <c r="G140">
        <v>3.45</v>
      </c>
      <c r="H140" t="s">
        <v>1119</v>
      </c>
      <c r="I140" t="s">
        <v>1318</v>
      </c>
      <c r="J140" t="s">
        <v>1416</v>
      </c>
      <c r="K140" t="s">
        <v>1419</v>
      </c>
    </row>
    <row r="141" spans="1:11" x14ac:dyDescent="0.25">
      <c r="A141" t="s">
        <v>1567</v>
      </c>
      <c r="B141" s="2">
        <v>45337</v>
      </c>
      <c r="C141" t="s">
        <v>913</v>
      </c>
      <c r="D141" t="s">
        <v>1011</v>
      </c>
      <c r="E141">
        <v>5</v>
      </c>
      <c r="F141">
        <v>12</v>
      </c>
      <c r="G141">
        <v>4.0199999999999996</v>
      </c>
      <c r="H141" t="s">
        <v>1043</v>
      </c>
      <c r="I141" t="s">
        <v>1242</v>
      </c>
      <c r="J141" t="s">
        <v>1414</v>
      </c>
      <c r="K141" t="s">
        <v>1425</v>
      </c>
    </row>
    <row r="142" spans="1:11" x14ac:dyDescent="0.25">
      <c r="A142" t="s">
        <v>1568</v>
      </c>
      <c r="B142" s="2">
        <v>45338</v>
      </c>
      <c r="C142" t="s">
        <v>52</v>
      </c>
      <c r="D142" t="s">
        <v>1013</v>
      </c>
      <c r="E142">
        <v>4</v>
      </c>
      <c r="G142">
        <v>8</v>
      </c>
      <c r="H142" t="s">
        <v>1051</v>
      </c>
      <c r="I142" t="s">
        <v>1250</v>
      </c>
      <c r="J142" t="s">
        <v>1414</v>
      </c>
      <c r="K142" t="s">
        <v>1420</v>
      </c>
    </row>
    <row r="143" spans="1:11" x14ac:dyDescent="0.25">
      <c r="A143" t="s">
        <v>1569</v>
      </c>
      <c r="B143" s="2">
        <v>45338</v>
      </c>
      <c r="C143" t="s">
        <v>583</v>
      </c>
      <c r="D143" t="s">
        <v>1014</v>
      </c>
      <c r="E143">
        <v>1</v>
      </c>
      <c r="F143">
        <v>15</v>
      </c>
      <c r="G143">
        <v>5.45</v>
      </c>
      <c r="H143" t="s">
        <v>1177</v>
      </c>
      <c r="I143" t="s">
        <v>1376</v>
      </c>
      <c r="J143" t="s">
        <v>1414</v>
      </c>
      <c r="K143" t="s">
        <v>1419</v>
      </c>
    </row>
    <row r="144" spans="1:11" x14ac:dyDescent="0.25">
      <c r="A144" t="s">
        <v>1570</v>
      </c>
      <c r="B144" s="2">
        <v>45338</v>
      </c>
      <c r="C144" t="s">
        <v>695</v>
      </c>
      <c r="D144" t="s">
        <v>1014</v>
      </c>
      <c r="E144">
        <v>1</v>
      </c>
      <c r="F144">
        <v>15</v>
      </c>
      <c r="G144">
        <v>3.59</v>
      </c>
      <c r="H144" t="s">
        <v>1152</v>
      </c>
      <c r="I144" t="s">
        <v>1351</v>
      </c>
      <c r="J144" t="s">
        <v>1415</v>
      </c>
      <c r="K144" t="s">
        <v>1426</v>
      </c>
    </row>
    <row r="145" spans="1:11" x14ac:dyDescent="0.25">
      <c r="A145" t="s">
        <v>1571</v>
      </c>
      <c r="B145" s="2">
        <v>45339</v>
      </c>
      <c r="C145" t="s">
        <v>507</v>
      </c>
      <c r="D145" t="s">
        <v>1012</v>
      </c>
      <c r="E145">
        <v>3</v>
      </c>
      <c r="F145">
        <v>40</v>
      </c>
      <c r="G145">
        <v>13.47</v>
      </c>
      <c r="H145" t="s">
        <v>1170</v>
      </c>
      <c r="I145" t="s">
        <v>1369</v>
      </c>
      <c r="J145" t="s">
        <v>1416</v>
      </c>
      <c r="K145" t="s">
        <v>1420</v>
      </c>
    </row>
    <row r="146" spans="1:11" x14ac:dyDescent="0.25">
      <c r="A146" t="s">
        <v>1572</v>
      </c>
      <c r="B146" s="2">
        <v>45339</v>
      </c>
      <c r="C146" t="s">
        <v>516</v>
      </c>
      <c r="D146" t="s">
        <v>1011</v>
      </c>
      <c r="E146">
        <v>8</v>
      </c>
      <c r="F146">
        <v>12</v>
      </c>
      <c r="G146">
        <v>2.72</v>
      </c>
      <c r="H146" t="s">
        <v>1124</v>
      </c>
      <c r="I146" t="s">
        <v>1323</v>
      </c>
      <c r="J146" t="s">
        <v>1414</v>
      </c>
      <c r="K146" t="s">
        <v>1421</v>
      </c>
    </row>
    <row r="147" spans="1:11" x14ac:dyDescent="0.25">
      <c r="A147" t="s">
        <v>1573</v>
      </c>
      <c r="B147" s="2">
        <v>45339</v>
      </c>
      <c r="C147" t="s">
        <v>577</v>
      </c>
      <c r="D147" t="s">
        <v>1014</v>
      </c>
      <c r="E147">
        <v>1</v>
      </c>
      <c r="F147">
        <v>15</v>
      </c>
      <c r="G147">
        <v>3.43</v>
      </c>
      <c r="H147" t="s">
        <v>1036</v>
      </c>
      <c r="I147" t="s">
        <v>1235</v>
      </c>
      <c r="J147" t="s">
        <v>1414</v>
      </c>
      <c r="K147" t="s">
        <v>1425</v>
      </c>
    </row>
    <row r="148" spans="1:11" x14ac:dyDescent="0.25">
      <c r="A148" t="s">
        <v>1574</v>
      </c>
      <c r="B148" s="2">
        <v>45340</v>
      </c>
      <c r="C148" t="s">
        <v>614</v>
      </c>
      <c r="D148" t="s">
        <v>1015</v>
      </c>
      <c r="E148">
        <v>1</v>
      </c>
      <c r="F148">
        <v>10</v>
      </c>
      <c r="G148">
        <v>3.27</v>
      </c>
      <c r="H148" t="s">
        <v>1171</v>
      </c>
      <c r="I148" t="s">
        <v>1370</v>
      </c>
      <c r="J148" t="s">
        <v>1416</v>
      </c>
      <c r="K148" t="s">
        <v>1419</v>
      </c>
    </row>
    <row r="149" spans="1:11" x14ac:dyDescent="0.25">
      <c r="A149" t="s">
        <v>1575</v>
      </c>
      <c r="B149" s="2">
        <v>45340</v>
      </c>
      <c r="C149" t="s">
        <v>703</v>
      </c>
      <c r="D149" t="s">
        <v>1015</v>
      </c>
      <c r="E149">
        <v>6</v>
      </c>
      <c r="F149">
        <v>10</v>
      </c>
      <c r="G149">
        <v>3.92</v>
      </c>
      <c r="H149" t="s">
        <v>1098</v>
      </c>
      <c r="I149" t="s">
        <v>1297</v>
      </c>
      <c r="J149" t="s">
        <v>1414</v>
      </c>
      <c r="K149" t="s">
        <v>1420</v>
      </c>
    </row>
    <row r="150" spans="1:11" x14ac:dyDescent="0.25">
      <c r="A150" t="s">
        <v>1576</v>
      </c>
      <c r="B150" s="2">
        <v>45340</v>
      </c>
      <c r="C150" t="s">
        <v>809</v>
      </c>
      <c r="D150" t="s">
        <v>1012</v>
      </c>
      <c r="E150">
        <v>10</v>
      </c>
      <c r="F150">
        <v>40</v>
      </c>
      <c r="G150">
        <v>10.39</v>
      </c>
      <c r="H150" t="s">
        <v>1177</v>
      </c>
      <c r="I150" t="s">
        <v>1376</v>
      </c>
      <c r="J150" t="s">
        <v>1414</v>
      </c>
      <c r="K150" t="s">
        <v>1422</v>
      </c>
    </row>
    <row r="151" spans="1:11" x14ac:dyDescent="0.25">
      <c r="A151" t="s">
        <v>1577</v>
      </c>
      <c r="B151" s="2">
        <v>45341</v>
      </c>
      <c r="C151" t="s">
        <v>933</v>
      </c>
      <c r="D151" t="s">
        <v>1011</v>
      </c>
      <c r="E151">
        <v>1</v>
      </c>
      <c r="F151">
        <v>12</v>
      </c>
      <c r="G151">
        <v>3.88</v>
      </c>
      <c r="H151" t="s">
        <v>1140</v>
      </c>
      <c r="I151" t="s">
        <v>1339</v>
      </c>
      <c r="J151" t="s">
        <v>1414</v>
      </c>
      <c r="K151" t="s">
        <v>1426</v>
      </c>
    </row>
    <row r="152" spans="1:11" x14ac:dyDescent="0.25">
      <c r="A152" t="s">
        <v>1578</v>
      </c>
      <c r="B152" s="2">
        <v>45341</v>
      </c>
      <c r="C152" t="s">
        <v>934</v>
      </c>
      <c r="D152" t="s">
        <v>1012</v>
      </c>
      <c r="E152">
        <v>9</v>
      </c>
      <c r="F152">
        <v>40</v>
      </c>
      <c r="G152">
        <v>13.95</v>
      </c>
      <c r="H152" t="s">
        <v>1069</v>
      </c>
      <c r="I152" t="s">
        <v>1268</v>
      </c>
      <c r="J152" t="s">
        <v>1414</v>
      </c>
      <c r="K152" t="s">
        <v>1418</v>
      </c>
    </row>
    <row r="153" spans="1:11" x14ac:dyDescent="0.25">
      <c r="A153" t="s">
        <v>1579</v>
      </c>
      <c r="B153" s="2">
        <v>45342</v>
      </c>
      <c r="C153" t="s">
        <v>50</v>
      </c>
      <c r="D153" t="s">
        <v>1012</v>
      </c>
      <c r="E153">
        <v>6</v>
      </c>
      <c r="F153">
        <v>40</v>
      </c>
      <c r="G153">
        <v>11.41</v>
      </c>
      <c r="H153" t="s">
        <v>1049</v>
      </c>
      <c r="I153" t="s">
        <v>1248</v>
      </c>
      <c r="J153" t="s">
        <v>1416</v>
      </c>
      <c r="K153" t="s">
        <v>1418</v>
      </c>
    </row>
    <row r="154" spans="1:11" x14ac:dyDescent="0.25">
      <c r="A154" t="s">
        <v>1580</v>
      </c>
      <c r="B154" s="2">
        <v>45343</v>
      </c>
      <c r="C154" t="s">
        <v>207</v>
      </c>
      <c r="D154" t="s">
        <v>1012</v>
      </c>
      <c r="E154">
        <v>10</v>
      </c>
      <c r="F154">
        <v>40</v>
      </c>
      <c r="G154">
        <v>15.1</v>
      </c>
      <c r="H154" t="s">
        <v>1040</v>
      </c>
      <c r="I154" t="s">
        <v>1239</v>
      </c>
      <c r="J154" t="s">
        <v>1414</v>
      </c>
      <c r="K154" t="s">
        <v>1420</v>
      </c>
    </row>
    <row r="155" spans="1:11" x14ac:dyDescent="0.25">
      <c r="A155" t="s">
        <v>1581</v>
      </c>
      <c r="B155" s="2">
        <v>45343</v>
      </c>
      <c r="C155" t="s">
        <v>574</v>
      </c>
      <c r="D155" t="s">
        <v>1011</v>
      </c>
      <c r="E155">
        <v>3</v>
      </c>
      <c r="F155">
        <v>12</v>
      </c>
      <c r="G155">
        <v>4.78</v>
      </c>
      <c r="H155" t="s">
        <v>1127</v>
      </c>
      <c r="I155" t="s">
        <v>1326</v>
      </c>
      <c r="J155" t="s">
        <v>1414</v>
      </c>
      <c r="K155" t="s">
        <v>1424</v>
      </c>
    </row>
    <row r="156" spans="1:11" x14ac:dyDescent="0.25">
      <c r="A156" t="s">
        <v>1582</v>
      </c>
      <c r="B156" s="2">
        <v>45343</v>
      </c>
      <c r="C156" t="s">
        <v>645</v>
      </c>
      <c r="D156" t="s">
        <v>1014</v>
      </c>
      <c r="E156">
        <v>5</v>
      </c>
      <c r="F156">
        <v>15</v>
      </c>
      <c r="G156">
        <v>5.09</v>
      </c>
      <c r="H156" t="s">
        <v>1092</v>
      </c>
      <c r="I156" t="s">
        <v>1291</v>
      </c>
      <c r="J156" t="s">
        <v>1414</v>
      </c>
      <c r="K156" t="s">
        <v>1424</v>
      </c>
    </row>
    <row r="157" spans="1:11" x14ac:dyDescent="0.25">
      <c r="A157" t="s">
        <v>1583</v>
      </c>
      <c r="B157" s="2">
        <v>45344</v>
      </c>
      <c r="C157" t="s">
        <v>233</v>
      </c>
      <c r="D157" t="s">
        <v>1014</v>
      </c>
      <c r="E157">
        <v>5</v>
      </c>
      <c r="G157">
        <v>3.54</v>
      </c>
      <c r="H157" t="s">
        <v>1089</v>
      </c>
      <c r="I157" t="s">
        <v>1288</v>
      </c>
      <c r="J157" t="s">
        <v>1414</v>
      </c>
      <c r="K157" t="s">
        <v>1427</v>
      </c>
    </row>
    <row r="158" spans="1:11" x14ac:dyDescent="0.25">
      <c r="A158" t="s">
        <v>1584</v>
      </c>
      <c r="B158" s="2">
        <v>45345</v>
      </c>
      <c r="C158" t="s">
        <v>251</v>
      </c>
      <c r="D158" t="s">
        <v>1012</v>
      </c>
      <c r="E158">
        <v>3</v>
      </c>
      <c r="F158">
        <v>40</v>
      </c>
      <c r="G158">
        <v>13.26</v>
      </c>
      <c r="H158" t="s">
        <v>1094</v>
      </c>
      <c r="I158" t="s">
        <v>1293</v>
      </c>
      <c r="J158" t="s">
        <v>1414</v>
      </c>
      <c r="K158" t="s">
        <v>1418</v>
      </c>
    </row>
    <row r="159" spans="1:11" x14ac:dyDescent="0.25">
      <c r="A159" t="s">
        <v>1585</v>
      </c>
      <c r="B159" s="2">
        <v>45345</v>
      </c>
      <c r="C159" t="s">
        <v>280</v>
      </c>
      <c r="D159" t="s">
        <v>1012</v>
      </c>
      <c r="E159">
        <v>7</v>
      </c>
      <c r="G159">
        <v>8.94</v>
      </c>
      <c r="H159" t="s">
        <v>1039</v>
      </c>
      <c r="I159" t="s">
        <v>1238</v>
      </c>
      <c r="J159" t="s">
        <v>1414</v>
      </c>
      <c r="K159" t="s">
        <v>1425</v>
      </c>
    </row>
    <row r="160" spans="1:11" x14ac:dyDescent="0.25">
      <c r="A160" t="s">
        <v>1586</v>
      </c>
      <c r="B160" s="2">
        <v>45345</v>
      </c>
      <c r="C160" t="s">
        <v>659</v>
      </c>
      <c r="D160" t="s">
        <v>1011</v>
      </c>
      <c r="E160">
        <v>2</v>
      </c>
      <c r="F160">
        <v>12</v>
      </c>
      <c r="G160">
        <v>2.78</v>
      </c>
      <c r="H160" t="s">
        <v>1068</v>
      </c>
      <c r="I160" t="s">
        <v>1267</v>
      </c>
      <c r="J160" t="s">
        <v>1414</v>
      </c>
      <c r="K160" t="s">
        <v>1418</v>
      </c>
    </row>
    <row r="161" spans="1:11" x14ac:dyDescent="0.25">
      <c r="A161" t="s">
        <v>1587</v>
      </c>
      <c r="B161" s="2">
        <v>45345</v>
      </c>
      <c r="C161" t="s">
        <v>876</v>
      </c>
      <c r="D161" t="s">
        <v>1012</v>
      </c>
      <c r="E161">
        <v>10</v>
      </c>
      <c r="F161">
        <v>40</v>
      </c>
      <c r="G161">
        <v>9.31</v>
      </c>
      <c r="H161" t="s">
        <v>1052</v>
      </c>
      <c r="I161" t="s">
        <v>1251</v>
      </c>
      <c r="J161" t="s">
        <v>1414</v>
      </c>
      <c r="K161" t="s">
        <v>1423</v>
      </c>
    </row>
    <row r="162" spans="1:11" x14ac:dyDescent="0.25">
      <c r="A162" t="s">
        <v>1588</v>
      </c>
      <c r="B162" s="2">
        <v>45346</v>
      </c>
      <c r="C162" t="s">
        <v>596</v>
      </c>
      <c r="D162" t="s">
        <v>1014</v>
      </c>
      <c r="E162">
        <v>1</v>
      </c>
      <c r="F162">
        <v>15</v>
      </c>
      <c r="G162">
        <v>4.33</v>
      </c>
      <c r="H162" t="s">
        <v>1108</v>
      </c>
      <c r="I162" t="s">
        <v>1307</v>
      </c>
      <c r="J162" t="s">
        <v>1414</v>
      </c>
      <c r="K162" t="s">
        <v>1422</v>
      </c>
    </row>
    <row r="163" spans="1:11" x14ac:dyDescent="0.25">
      <c r="A163" t="s">
        <v>1589</v>
      </c>
      <c r="B163" s="2">
        <v>45346</v>
      </c>
      <c r="C163" t="s">
        <v>598</v>
      </c>
      <c r="D163" t="s">
        <v>1012</v>
      </c>
      <c r="E163">
        <v>10</v>
      </c>
      <c r="F163">
        <v>40</v>
      </c>
      <c r="G163">
        <v>9.86</v>
      </c>
      <c r="H163" t="s">
        <v>1068</v>
      </c>
      <c r="I163" t="s">
        <v>1267</v>
      </c>
      <c r="J163" t="s">
        <v>1416</v>
      </c>
      <c r="K163" t="s">
        <v>1427</v>
      </c>
    </row>
    <row r="164" spans="1:11" x14ac:dyDescent="0.25">
      <c r="A164" t="s">
        <v>1590</v>
      </c>
      <c r="B164" s="2">
        <v>45346</v>
      </c>
      <c r="C164" t="s">
        <v>709</v>
      </c>
      <c r="D164" t="s">
        <v>1011</v>
      </c>
      <c r="E164">
        <v>8</v>
      </c>
      <c r="F164">
        <v>12</v>
      </c>
      <c r="G164">
        <v>4.18</v>
      </c>
      <c r="H164" t="s">
        <v>1119</v>
      </c>
      <c r="I164" t="s">
        <v>1318</v>
      </c>
      <c r="J164" t="s">
        <v>1417</v>
      </c>
      <c r="K164" t="s">
        <v>1425</v>
      </c>
    </row>
    <row r="165" spans="1:11" x14ac:dyDescent="0.25">
      <c r="A165" t="s">
        <v>1591</v>
      </c>
      <c r="B165" s="2">
        <v>45347</v>
      </c>
      <c r="C165" t="s">
        <v>290</v>
      </c>
      <c r="D165" t="s">
        <v>1012</v>
      </c>
      <c r="E165">
        <v>7</v>
      </c>
      <c r="F165">
        <v>40</v>
      </c>
      <c r="G165">
        <v>8.01</v>
      </c>
      <c r="H165" t="s">
        <v>1056</v>
      </c>
      <c r="I165" t="s">
        <v>1255</v>
      </c>
      <c r="J165" t="s">
        <v>1416</v>
      </c>
      <c r="K165" t="s">
        <v>1424</v>
      </c>
    </row>
    <row r="166" spans="1:11" x14ac:dyDescent="0.25">
      <c r="A166" t="s">
        <v>1592</v>
      </c>
      <c r="B166" s="2">
        <v>45347</v>
      </c>
      <c r="C166" t="s">
        <v>396</v>
      </c>
      <c r="D166" t="s">
        <v>1015</v>
      </c>
      <c r="E166">
        <v>8</v>
      </c>
      <c r="F166">
        <v>10</v>
      </c>
      <c r="G166">
        <v>2.31</v>
      </c>
      <c r="H166" t="s">
        <v>1132</v>
      </c>
      <c r="I166" t="s">
        <v>1331</v>
      </c>
      <c r="J166" t="s">
        <v>1415</v>
      </c>
      <c r="K166" t="s">
        <v>1423</v>
      </c>
    </row>
    <row r="167" spans="1:11" x14ac:dyDescent="0.25">
      <c r="A167" t="s">
        <v>1593</v>
      </c>
      <c r="B167" s="2">
        <v>45347</v>
      </c>
      <c r="C167" t="s">
        <v>416</v>
      </c>
      <c r="D167" t="s">
        <v>1014</v>
      </c>
      <c r="E167">
        <v>9</v>
      </c>
      <c r="F167">
        <v>15</v>
      </c>
      <c r="G167">
        <v>3.27</v>
      </c>
      <c r="H167" t="s">
        <v>1159</v>
      </c>
      <c r="I167" t="s">
        <v>1358</v>
      </c>
      <c r="J167" t="s">
        <v>1416</v>
      </c>
      <c r="K167" t="s">
        <v>1424</v>
      </c>
    </row>
    <row r="168" spans="1:11" x14ac:dyDescent="0.25">
      <c r="A168" t="s">
        <v>1594</v>
      </c>
      <c r="B168" s="2">
        <v>45347</v>
      </c>
      <c r="C168" t="s">
        <v>436</v>
      </c>
      <c r="D168" t="s">
        <v>1012</v>
      </c>
      <c r="E168">
        <v>8</v>
      </c>
      <c r="F168">
        <v>40</v>
      </c>
      <c r="G168">
        <v>15.81</v>
      </c>
      <c r="H168" t="s">
        <v>1162</v>
      </c>
      <c r="I168" t="s">
        <v>1361</v>
      </c>
      <c r="J168" t="s">
        <v>1416</v>
      </c>
      <c r="K168" t="s">
        <v>1419</v>
      </c>
    </row>
    <row r="169" spans="1:11" x14ac:dyDescent="0.25">
      <c r="A169" t="s">
        <v>1595</v>
      </c>
      <c r="B169" s="2">
        <v>45348</v>
      </c>
      <c r="C169" t="s">
        <v>108</v>
      </c>
      <c r="D169" t="s">
        <v>1012</v>
      </c>
      <c r="E169">
        <v>7</v>
      </c>
      <c r="F169">
        <v>40</v>
      </c>
      <c r="G169">
        <v>9.9700000000000006</v>
      </c>
      <c r="H169" t="s">
        <v>1090</v>
      </c>
      <c r="I169" t="s">
        <v>1289</v>
      </c>
      <c r="J169" t="s">
        <v>1414</v>
      </c>
      <c r="K169" t="s">
        <v>1419</v>
      </c>
    </row>
    <row r="170" spans="1:11" x14ac:dyDescent="0.25">
      <c r="A170" t="s">
        <v>1596</v>
      </c>
      <c r="B170" s="2">
        <v>45348</v>
      </c>
      <c r="C170" t="s">
        <v>204</v>
      </c>
      <c r="D170" t="s">
        <v>1013</v>
      </c>
      <c r="E170">
        <v>3</v>
      </c>
      <c r="F170">
        <v>25</v>
      </c>
      <c r="G170">
        <v>5.54</v>
      </c>
      <c r="H170" t="s">
        <v>1140</v>
      </c>
      <c r="I170" t="s">
        <v>1339</v>
      </c>
      <c r="J170" t="s">
        <v>1416</v>
      </c>
      <c r="K170" t="s">
        <v>1421</v>
      </c>
    </row>
    <row r="171" spans="1:11" x14ac:dyDescent="0.25">
      <c r="A171" t="s">
        <v>1597</v>
      </c>
      <c r="B171" s="2">
        <v>45348</v>
      </c>
      <c r="C171" t="s">
        <v>701</v>
      </c>
      <c r="D171" t="s">
        <v>1014</v>
      </c>
      <c r="E171">
        <v>6</v>
      </c>
      <c r="F171">
        <v>15</v>
      </c>
      <c r="G171">
        <v>3.31</v>
      </c>
      <c r="H171" t="s">
        <v>1052</v>
      </c>
      <c r="I171" t="s">
        <v>1251</v>
      </c>
      <c r="J171" t="s">
        <v>1417</v>
      </c>
      <c r="K171" t="s">
        <v>1421</v>
      </c>
    </row>
    <row r="172" spans="1:11" x14ac:dyDescent="0.25">
      <c r="A172" t="s">
        <v>1598</v>
      </c>
      <c r="B172" s="2">
        <v>45348</v>
      </c>
      <c r="C172" t="s">
        <v>759</v>
      </c>
      <c r="D172" t="s">
        <v>1015</v>
      </c>
      <c r="E172">
        <v>10</v>
      </c>
      <c r="F172">
        <v>10</v>
      </c>
      <c r="G172">
        <v>2.98</v>
      </c>
      <c r="H172" t="s">
        <v>1019</v>
      </c>
      <c r="I172" t="s">
        <v>1218</v>
      </c>
      <c r="J172" t="s">
        <v>1414</v>
      </c>
      <c r="K172" t="s">
        <v>1423</v>
      </c>
    </row>
    <row r="173" spans="1:11" x14ac:dyDescent="0.25">
      <c r="A173" t="s">
        <v>1599</v>
      </c>
      <c r="B173" s="2">
        <v>45349</v>
      </c>
      <c r="C173" t="s">
        <v>294</v>
      </c>
      <c r="D173" t="s">
        <v>1013</v>
      </c>
      <c r="E173">
        <v>10</v>
      </c>
      <c r="F173">
        <v>25</v>
      </c>
      <c r="G173">
        <v>6.26</v>
      </c>
      <c r="H173" t="s">
        <v>1160</v>
      </c>
      <c r="I173" t="s">
        <v>1359</v>
      </c>
      <c r="J173" t="s">
        <v>1414</v>
      </c>
      <c r="K173" t="s">
        <v>1427</v>
      </c>
    </row>
    <row r="174" spans="1:11" x14ac:dyDescent="0.25">
      <c r="A174" t="s">
        <v>1600</v>
      </c>
      <c r="B174" s="2">
        <v>45349</v>
      </c>
      <c r="C174" t="s">
        <v>317</v>
      </c>
      <c r="D174" t="s">
        <v>1012</v>
      </c>
      <c r="E174">
        <v>5</v>
      </c>
      <c r="F174">
        <v>40</v>
      </c>
      <c r="G174">
        <v>15.18</v>
      </c>
      <c r="H174" t="s">
        <v>1035</v>
      </c>
      <c r="I174" t="s">
        <v>1234</v>
      </c>
      <c r="J174" t="s">
        <v>1416</v>
      </c>
      <c r="K174" t="s">
        <v>1419</v>
      </c>
    </row>
    <row r="175" spans="1:11" x14ac:dyDescent="0.25">
      <c r="A175" t="s">
        <v>1601</v>
      </c>
      <c r="B175" s="2">
        <v>45349</v>
      </c>
      <c r="C175" t="s">
        <v>553</v>
      </c>
      <c r="D175" t="s">
        <v>1012</v>
      </c>
      <c r="E175">
        <v>1</v>
      </c>
      <c r="F175">
        <v>40</v>
      </c>
      <c r="G175">
        <v>9.3699999999999992</v>
      </c>
      <c r="H175" t="s">
        <v>1128</v>
      </c>
      <c r="I175" t="s">
        <v>1327</v>
      </c>
      <c r="J175" t="s">
        <v>1416</v>
      </c>
      <c r="K175" t="s">
        <v>1424</v>
      </c>
    </row>
    <row r="176" spans="1:11" x14ac:dyDescent="0.25">
      <c r="A176" t="s">
        <v>1602</v>
      </c>
      <c r="B176" s="2">
        <v>45349</v>
      </c>
      <c r="C176" t="s">
        <v>556</v>
      </c>
      <c r="D176" t="s">
        <v>1013</v>
      </c>
      <c r="E176">
        <v>5</v>
      </c>
      <c r="F176">
        <v>25</v>
      </c>
      <c r="G176">
        <v>6.89</v>
      </c>
      <c r="H176" t="s">
        <v>1080</v>
      </c>
      <c r="I176" t="s">
        <v>1279</v>
      </c>
      <c r="J176" t="s">
        <v>1416</v>
      </c>
      <c r="K176" t="s">
        <v>1421</v>
      </c>
    </row>
    <row r="177" spans="1:11" x14ac:dyDescent="0.25">
      <c r="A177" t="s">
        <v>1603</v>
      </c>
      <c r="B177" s="2">
        <v>45349</v>
      </c>
      <c r="C177" t="s">
        <v>607</v>
      </c>
      <c r="D177" t="s">
        <v>1012</v>
      </c>
      <c r="E177">
        <v>10</v>
      </c>
      <c r="F177">
        <v>40</v>
      </c>
      <c r="G177">
        <v>11.7</v>
      </c>
      <c r="H177" t="s">
        <v>1165</v>
      </c>
      <c r="I177" t="s">
        <v>1364</v>
      </c>
      <c r="J177" t="s">
        <v>1417</v>
      </c>
      <c r="K177" t="s">
        <v>1426</v>
      </c>
    </row>
    <row r="178" spans="1:11" x14ac:dyDescent="0.25">
      <c r="A178" t="s">
        <v>1604</v>
      </c>
      <c r="B178" s="2">
        <v>45351</v>
      </c>
      <c r="C178" t="s">
        <v>594</v>
      </c>
      <c r="D178" t="s">
        <v>1013</v>
      </c>
      <c r="E178">
        <v>2</v>
      </c>
      <c r="F178">
        <v>25</v>
      </c>
      <c r="G178">
        <v>7.19</v>
      </c>
      <c r="H178" t="s">
        <v>1036</v>
      </c>
      <c r="I178" t="s">
        <v>1235</v>
      </c>
      <c r="J178" t="s">
        <v>1414</v>
      </c>
      <c r="K178" t="s">
        <v>1424</v>
      </c>
    </row>
    <row r="179" spans="1:11" x14ac:dyDescent="0.25">
      <c r="A179" t="s">
        <v>1605</v>
      </c>
      <c r="B179" s="2">
        <v>45352</v>
      </c>
      <c r="C179" t="s">
        <v>234</v>
      </c>
      <c r="D179" t="s">
        <v>1015</v>
      </c>
      <c r="E179">
        <v>8</v>
      </c>
      <c r="F179">
        <v>10</v>
      </c>
      <c r="G179">
        <v>3.89</v>
      </c>
      <c r="H179" t="s">
        <v>1042</v>
      </c>
      <c r="I179" t="s">
        <v>1241</v>
      </c>
      <c r="J179" t="s">
        <v>1416</v>
      </c>
      <c r="K179" t="s">
        <v>1419</v>
      </c>
    </row>
    <row r="180" spans="1:11" x14ac:dyDescent="0.25">
      <c r="A180" t="s">
        <v>1606</v>
      </c>
      <c r="B180" s="2">
        <v>45352</v>
      </c>
      <c r="C180" t="s">
        <v>459</v>
      </c>
      <c r="D180" t="s">
        <v>1013</v>
      </c>
      <c r="E180">
        <v>2</v>
      </c>
      <c r="F180">
        <v>25</v>
      </c>
      <c r="G180">
        <v>5.81</v>
      </c>
      <c r="H180" t="s">
        <v>1187</v>
      </c>
      <c r="I180" t="s">
        <v>1386</v>
      </c>
      <c r="J180" t="s">
        <v>1414</v>
      </c>
      <c r="K180" t="s">
        <v>1425</v>
      </c>
    </row>
    <row r="181" spans="1:11" x14ac:dyDescent="0.25">
      <c r="A181" t="s">
        <v>1607</v>
      </c>
      <c r="B181" s="2">
        <v>45353</v>
      </c>
      <c r="C181" t="s">
        <v>208</v>
      </c>
      <c r="D181" t="s">
        <v>1014</v>
      </c>
      <c r="E181">
        <v>5</v>
      </c>
      <c r="G181">
        <v>4.7</v>
      </c>
      <c r="H181" t="s">
        <v>1142</v>
      </c>
      <c r="I181" t="s">
        <v>1341</v>
      </c>
      <c r="J181" t="s">
        <v>1416</v>
      </c>
      <c r="K181" t="s">
        <v>1422</v>
      </c>
    </row>
    <row r="182" spans="1:11" x14ac:dyDescent="0.25">
      <c r="A182" t="s">
        <v>1608</v>
      </c>
      <c r="B182" s="2">
        <v>45353</v>
      </c>
      <c r="C182" t="s">
        <v>518</v>
      </c>
      <c r="D182" t="s">
        <v>1012</v>
      </c>
      <c r="E182">
        <v>9</v>
      </c>
      <c r="F182">
        <v>40</v>
      </c>
      <c r="G182">
        <v>9.41</v>
      </c>
      <c r="H182" t="s">
        <v>1079</v>
      </c>
      <c r="I182" t="s">
        <v>1278</v>
      </c>
      <c r="J182" t="s">
        <v>1415</v>
      </c>
      <c r="K182" t="s">
        <v>1424</v>
      </c>
    </row>
    <row r="183" spans="1:11" x14ac:dyDescent="0.25">
      <c r="A183" t="s">
        <v>1609</v>
      </c>
      <c r="B183" s="2">
        <v>45353</v>
      </c>
      <c r="C183" t="s">
        <v>572</v>
      </c>
      <c r="D183" t="s">
        <v>1014</v>
      </c>
      <c r="E183">
        <v>4</v>
      </c>
      <c r="F183">
        <v>15</v>
      </c>
      <c r="G183">
        <v>4.91</v>
      </c>
      <c r="H183" t="s">
        <v>1168</v>
      </c>
      <c r="I183" t="s">
        <v>1367</v>
      </c>
      <c r="J183" t="s">
        <v>1417</v>
      </c>
      <c r="K183" t="s">
        <v>1424</v>
      </c>
    </row>
    <row r="184" spans="1:11" x14ac:dyDescent="0.25">
      <c r="A184" t="s">
        <v>1610</v>
      </c>
      <c r="B184" s="2">
        <v>45353</v>
      </c>
      <c r="C184" t="s">
        <v>662</v>
      </c>
      <c r="D184" t="s">
        <v>1014</v>
      </c>
      <c r="E184">
        <v>8</v>
      </c>
      <c r="F184">
        <v>15</v>
      </c>
      <c r="G184">
        <v>3.02</v>
      </c>
      <c r="H184" t="s">
        <v>1050</v>
      </c>
      <c r="I184" t="s">
        <v>1249</v>
      </c>
      <c r="J184" t="s">
        <v>1414</v>
      </c>
      <c r="K184" t="s">
        <v>1426</v>
      </c>
    </row>
    <row r="185" spans="1:11" x14ac:dyDescent="0.25">
      <c r="A185" t="s">
        <v>1611</v>
      </c>
      <c r="B185" s="2">
        <v>45353</v>
      </c>
      <c r="C185" t="s">
        <v>966</v>
      </c>
      <c r="D185" t="s">
        <v>1013</v>
      </c>
      <c r="E185">
        <v>1</v>
      </c>
      <c r="F185">
        <v>25</v>
      </c>
      <c r="G185">
        <v>5.23</v>
      </c>
      <c r="H185" t="s">
        <v>1017</v>
      </c>
      <c r="I185" t="s">
        <v>1216</v>
      </c>
      <c r="J185" t="s">
        <v>1414</v>
      </c>
      <c r="K185" t="s">
        <v>1422</v>
      </c>
    </row>
    <row r="186" spans="1:11" x14ac:dyDescent="0.25">
      <c r="A186" t="s">
        <v>1612</v>
      </c>
      <c r="B186" s="2">
        <v>45354</v>
      </c>
      <c r="C186" t="s">
        <v>611</v>
      </c>
      <c r="D186" t="s">
        <v>1013</v>
      </c>
      <c r="E186">
        <v>8</v>
      </c>
      <c r="F186">
        <v>25</v>
      </c>
      <c r="G186">
        <v>6.86</v>
      </c>
      <c r="H186" t="s">
        <v>1165</v>
      </c>
      <c r="I186" t="s">
        <v>1364</v>
      </c>
      <c r="J186" t="s">
        <v>1415</v>
      </c>
      <c r="K186" t="s">
        <v>1427</v>
      </c>
    </row>
    <row r="187" spans="1:11" x14ac:dyDescent="0.25">
      <c r="A187" t="s">
        <v>1613</v>
      </c>
      <c r="B187" s="2">
        <v>45354</v>
      </c>
      <c r="C187" t="s">
        <v>812</v>
      </c>
      <c r="D187" t="s">
        <v>1014</v>
      </c>
      <c r="E187">
        <v>1</v>
      </c>
      <c r="F187">
        <v>15</v>
      </c>
      <c r="G187">
        <v>3.91</v>
      </c>
      <c r="H187" t="s">
        <v>1040</v>
      </c>
      <c r="I187" t="s">
        <v>1239</v>
      </c>
      <c r="J187" t="s">
        <v>1416</v>
      </c>
      <c r="K187" t="s">
        <v>1422</v>
      </c>
    </row>
    <row r="188" spans="1:11" x14ac:dyDescent="0.25">
      <c r="A188" t="s">
        <v>1614</v>
      </c>
      <c r="B188" s="2">
        <v>45354</v>
      </c>
      <c r="C188" t="s">
        <v>851</v>
      </c>
      <c r="D188" t="s">
        <v>1012</v>
      </c>
      <c r="E188">
        <v>8</v>
      </c>
      <c r="G188">
        <v>14.99</v>
      </c>
      <c r="H188" t="s">
        <v>1022</v>
      </c>
      <c r="I188" t="s">
        <v>1221</v>
      </c>
      <c r="J188" t="s">
        <v>1414</v>
      </c>
      <c r="K188" t="s">
        <v>1425</v>
      </c>
    </row>
    <row r="189" spans="1:11" x14ac:dyDescent="0.25">
      <c r="A189" t="s">
        <v>1615</v>
      </c>
      <c r="B189" s="2">
        <v>45355</v>
      </c>
      <c r="C189" t="s">
        <v>303</v>
      </c>
      <c r="D189" t="s">
        <v>1014</v>
      </c>
      <c r="E189">
        <v>3</v>
      </c>
      <c r="F189">
        <v>15</v>
      </c>
      <c r="G189">
        <v>3.87</v>
      </c>
      <c r="H189" t="s">
        <v>1095</v>
      </c>
      <c r="I189" t="s">
        <v>1294</v>
      </c>
      <c r="J189" t="s">
        <v>1414</v>
      </c>
      <c r="K189" t="s">
        <v>1420</v>
      </c>
    </row>
    <row r="190" spans="1:11" x14ac:dyDescent="0.25">
      <c r="A190" t="s">
        <v>1616</v>
      </c>
      <c r="B190" s="2">
        <v>45355</v>
      </c>
      <c r="C190" t="s">
        <v>421</v>
      </c>
      <c r="D190" t="s">
        <v>1011</v>
      </c>
      <c r="E190">
        <v>5</v>
      </c>
      <c r="F190">
        <v>12</v>
      </c>
      <c r="G190">
        <v>2.98</v>
      </c>
      <c r="H190" t="s">
        <v>1168</v>
      </c>
      <c r="I190" t="s">
        <v>1367</v>
      </c>
      <c r="J190" t="s">
        <v>1414</v>
      </c>
      <c r="K190" t="s">
        <v>1424</v>
      </c>
    </row>
    <row r="191" spans="1:11" x14ac:dyDescent="0.25">
      <c r="A191" t="s">
        <v>1617</v>
      </c>
      <c r="B191" s="2">
        <v>45355</v>
      </c>
      <c r="C191" t="s">
        <v>653</v>
      </c>
      <c r="D191" t="s">
        <v>1011</v>
      </c>
      <c r="E191">
        <v>1</v>
      </c>
      <c r="F191">
        <v>12</v>
      </c>
      <c r="G191">
        <v>3.44</v>
      </c>
      <c r="H191" t="s">
        <v>1211</v>
      </c>
      <c r="I191" t="s">
        <v>1410</v>
      </c>
      <c r="J191" t="s">
        <v>1416</v>
      </c>
      <c r="K191" t="s">
        <v>1424</v>
      </c>
    </row>
    <row r="192" spans="1:11" x14ac:dyDescent="0.25">
      <c r="A192" t="s">
        <v>1618</v>
      </c>
      <c r="B192" s="2">
        <v>45356</v>
      </c>
      <c r="C192" t="s">
        <v>489</v>
      </c>
      <c r="D192" t="s">
        <v>1014</v>
      </c>
      <c r="E192">
        <v>7</v>
      </c>
      <c r="F192">
        <v>15</v>
      </c>
      <c r="G192">
        <v>5.35</v>
      </c>
      <c r="H192" t="s">
        <v>1057</v>
      </c>
      <c r="I192" t="s">
        <v>1256</v>
      </c>
      <c r="J192" t="s">
        <v>1414</v>
      </c>
      <c r="K192" t="s">
        <v>1418</v>
      </c>
    </row>
    <row r="193" spans="1:11" x14ac:dyDescent="0.25">
      <c r="A193" t="s">
        <v>1619</v>
      </c>
      <c r="B193" s="2">
        <v>45357</v>
      </c>
      <c r="C193" t="s">
        <v>56</v>
      </c>
      <c r="D193" t="s">
        <v>1014</v>
      </c>
      <c r="E193">
        <v>7</v>
      </c>
      <c r="F193">
        <v>15</v>
      </c>
      <c r="G193">
        <v>5.0999999999999996</v>
      </c>
      <c r="H193" t="s">
        <v>1054</v>
      </c>
      <c r="I193" t="s">
        <v>1253</v>
      </c>
      <c r="J193" t="s">
        <v>1414</v>
      </c>
      <c r="K193" t="s">
        <v>1422</v>
      </c>
    </row>
    <row r="194" spans="1:11" x14ac:dyDescent="0.25">
      <c r="A194" t="s">
        <v>1620</v>
      </c>
      <c r="B194" s="2">
        <v>45357</v>
      </c>
      <c r="C194" t="s">
        <v>91</v>
      </c>
      <c r="D194" t="s">
        <v>1011</v>
      </c>
      <c r="E194">
        <v>2</v>
      </c>
      <c r="F194">
        <v>12</v>
      </c>
      <c r="G194">
        <v>4.1100000000000003</v>
      </c>
      <c r="H194" t="s">
        <v>1055</v>
      </c>
      <c r="I194" t="s">
        <v>1254</v>
      </c>
      <c r="J194" t="s">
        <v>1416</v>
      </c>
      <c r="K194" t="s">
        <v>1420</v>
      </c>
    </row>
    <row r="195" spans="1:11" x14ac:dyDescent="0.25">
      <c r="A195" t="s">
        <v>1621</v>
      </c>
      <c r="B195" s="2">
        <v>45357</v>
      </c>
      <c r="C195" t="s">
        <v>173</v>
      </c>
      <c r="D195" t="s">
        <v>1015</v>
      </c>
      <c r="E195">
        <v>3</v>
      </c>
      <c r="F195">
        <v>10</v>
      </c>
      <c r="G195">
        <v>3.11</v>
      </c>
      <c r="H195" t="s">
        <v>1128</v>
      </c>
      <c r="I195" t="s">
        <v>1327</v>
      </c>
      <c r="J195" t="s">
        <v>1414</v>
      </c>
      <c r="K195" t="s">
        <v>1420</v>
      </c>
    </row>
    <row r="196" spans="1:11" x14ac:dyDescent="0.25">
      <c r="A196" t="s">
        <v>1622</v>
      </c>
      <c r="B196" s="2">
        <v>45357</v>
      </c>
      <c r="C196" t="s">
        <v>685</v>
      </c>
      <c r="D196" t="s">
        <v>1015</v>
      </c>
      <c r="E196">
        <v>5</v>
      </c>
      <c r="F196">
        <v>10</v>
      </c>
      <c r="G196">
        <v>2.19</v>
      </c>
      <c r="H196" t="s">
        <v>1180</v>
      </c>
      <c r="I196" t="s">
        <v>1379</v>
      </c>
      <c r="J196" t="s">
        <v>1415</v>
      </c>
      <c r="K196" t="s">
        <v>1422</v>
      </c>
    </row>
    <row r="197" spans="1:11" x14ac:dyDescent="0.25">
      <c r="A197" t="s">
        <v>1623</v>
      </c>
      <c r="B197" s="2">
        <v>45357</v>
      </c>
      <c r="C197" t="s">
        <v>690</v>
      </c>
      <c r="D197" t="s">
        <v>1011</v>
      </c>
      <c r="E197">
        <v>7</v>
      </c>
      <c r="F197">
        <v>12</v>
      </c>
      <c r="G197">
        <v>3.6</v>
      </c>
      <c r="H197" t="s">
        <v>1030</v>
      </c>
      <c r="I197" t="s">
        <v>1229</v>
      </c>
      <c r="J197" t="s">
        <v>1416</v>
      </c>
      <c r="K197" t="s">
        <v>1420</v>
      </c>
    </row>
    <row r="198" spans="1:11" x14ac:dyDescent="0.25">
      <c r="A198" t="s">
        <v>1624</v>
      </c>
      <c r="B198" s="2">
        <v>45357</v>
      </c>
      <c r="C198" t="s">
        <v>827</v>
      </c>
      <c r="D198" t="s">
        <v>1015</v>
      </c>
      <c r="E198">
        <v>2</v>
      </c>
      <c r="F198">
        <v>10</v>
      </c>
      <c r="G198">
        <v>3.92</v>
      </c>
      <c r="H198" t="s">
        <v>1126</v>
      </c>
      <c r="I198" t="s">
        <v>1325</v>
      </c>
      <c r="J198" t="s">
        <v>1414</v>
      </c>
      <c r="K198" t="s">
        <v>1427</v>
      </c>
    </row>
    <row r="199" spans="1:11" x14ac:dyDescent="0.25">
      <c r="A199" t="s">
        <v>1625</v>
      </c>
      <c r="B199" s="2">
        <v>45357</v>
      </c>
      <c r="C199" t="s">
        <v>974</v>
      </c>
      <c r="D199" t="s">
        <v>1013</v>
      </c>
      <c r="E199">
        <v>10</v>
      </c>
      <c r="F199">
        <v>25</v>
      </c>
      <c r="G199">
        <v>6.02</v>
      </c>
      <c r="H199" t="s">
        <v>1193</v>
      </c>
      <c r="I199" t="s">
        <v>1392</v>
      </c>
      <c r="J199" t="s">
        <v>1417</v>
      </c>
      <c r="K199" t="s">
        <v>1424</v>
      </c>
    </row>
    <row r="200" spans="1:11" x14ac:dyDescent="0.25">
      <c r="A200" t="s">
        <v>1626</v>
      </c>
      <c r="B200" s="2">
        <v>45358</v>
      </c>
      <c r="C200" t="s">
        <v>520</v>
      </c>
      <c r="D200" t="s">
        <v>1013</v>
      </c>
      <c r="E200">
        <v>2</v>
      </c>
      <c r="G200">
        <v>5.62</v>
      </c>
      <c r="H200" t="s">
        <v>1028</v>
      </c>
      <c r="I200" t="s">
        <v>1227</v>
      </c>
      <c r="J200" t="s">
        <v>1416</v>
      </c>
      <c r="K200" t="s">
        <v>1418</v>
      </c>
    </row>
    <row r="201" spans="1:11" x14ac:dyDescent="0.25">
      <c r="A201" t="s">
        <v>1627</v>
      </c>
      <c r="B201" s="2">
        <v>45358</v>
      </c>
      <c r="C201" t="s">
        <v>817</v>
      </c>
      <c r="D201" t="s">
        <v>1011</v>
      </c>
      <c r="E201">
        <v>7</v>
      </c>
      <c r="F201">
        <v>12</v>
      </c>
      <c r="G201">
        <v>4.74</v>
      </c>
      <c r="H201" t="s">
        <v>1093</v>
      </c>
      <c r="I201" t="s">
        <v>1292</v>
      </c>
      <c r="J201" t="s">
        <v>1416</v>
      </c>
      <c r="K201" t="s">
        <v>1427</v>
      </c>
    </row>
    <row r="202" spans="1:11" x14ac:dyDescent="0.25">
      <c r="A202" t="s">
        <v>1628</v>
      </c>
      <c r="B202" s="2">
        <v>45359</v>
      </c>
      <c r="C202" t="s">
        <v>29</v>
      </c>
      <c r="D202" t="s">
        <v>1013</v>
      </c>
      <c r="E202">
        <v>3</v>
      </c>
      <c r="F202">
        <v>25</v>
      </c>
      <c r="G202">
        <v>8.43</v>
      </c>
      <c r="H202" t="s">
        <v>1032</v>
      </c>
      <c r="I202" t="s">
        <v>1231</v>
      </c>
      <c r="J202" t="s">
        <v>1416</v>
      </c>
      <c r="K202" t="s">
        <v>1423</v>
      </c>
    </row>
    <row r="203" spans="1:11" x14ac:dyDescent="0.25">
      <c r="A203" t="s">
        <v>1629</v>
      </c>
      <c r="B203" s="2">
        <v>45359</v>
      </c>
      <c r="C203" t="s">
        <v>113</v>
      </c>
      <c r="D203" t="s">
        <v>1012</v>
      </c>
      <c r="E203">
        <v>10</v>
      </c>
      <c r="F203">
        <v>40</v>
      </c>
      <c r="G203">
        <v>14.31</v>
      </c>
      <c r="H203" t="s">
        <v>1094</v>
      </c>
      <c r="I203" t="s">
        <v>1293</v>
      </c>
      <c r="J203" t="s">
        <v>1414</v>
      </c>
      <c r="K203" t="s">
        <v>1419</v>
      </c>
    </row>
    <row r="204" spans="1:11" x14ac:dyDescent="0.25">
      <c r="A204" t="s">
        <v>1630</v>
      </c>
      <c r="B204" s="2">
        <v>45359</v>
      </c>
      <c r="C204" t="s">
        <v>321</v>
      </c>
      <c r="D204" t="s">
        <v>1015</v>
      </c>
      <c r="E204">
        <v>9</v>
      </c>
      <c r="F204">
        <v>10</v>
      </c>
      <c r="G204">
        <v>2.67</v>
      </c>
      <c r="H204" t="s">
        <v>1097</v>
      </c>
      <c r="I204" t="s">
        <v>1296</v>
      </c>
      <c r="J204" t="s">
        <v>1416</v>
      </c>
      <c r="K204" t="s">
        <v>1426</v>
      </c>
    </row>
    <row r="205" spans="1:11" x14ac:dyDescent="0.25">
      <c r="A205" t="s">
        <v>1631</v>
      </c>
      <c r="B205" s="2">
        <v>45359</v>
      </c>
      <c r="C205" t="s">
        <v>506</v>
      </c>
      <c r="D205" t="s">
        <v>1011</v>
      </c>
      <c r="E205">
        <v>4</v>
      </c>
      <c r="F205">
        <v>12</v>
      </c>
      <c r="G205">
        <v>2.87</v>
      </c>
      <c r="H205" t="s">
        <v>1154</v>
      </c>
      <c r="I205" t="s">
        <v>1353</v>
      </c>
      <c r="J205" t="s">
        <v>1414</v>
      </c>
      <c r="K205" t="s">
        <v>1418</v>
      </c>
    </row>
    <row r="206" spans="1:11" x14ac:dyDescent="0.25">
      <c r="A206" t="s">
        <v>1632</v>
      </c>
      <c r="B206" s="2">
        <v>45359</v>
      </c>
      <c r="C206" t="s">
        <v>578</v>
      </c>
      <c r="D206" t="s">
        <v>1013</v>
      </c>
      <c r="E206">
        <v>10</v>
      </c>
      <c r="G206">
        <v>8.3699999999999992</v>
      </c>
      <c r="H206" t="s">
        <v>1168</v>
      </c>
      <c r="I206" t="s">
        <v>1367</v>
      </c>
      <c r="J206" t="s">
        <v>1414</v>
      </c>
      <c r="K206" t="s">
        <v>1421</v>
      </c>
    </row>
    <row r="207" spans="1:11" x14ac:dyDescent="0.25">
      <c r="A207" t="s">
        <v>1633</v>
      </c>
      <c r="B207" s="2">
        <v>45359</v>
      </c>
      <c r="C207" t="s">
        <v>747</v>
      </c>
      <c r="D207" t="s">
        <v>1012</v>
      </c>
      <c r="E207">
        <v>4</v>
      </c>
      <c r="F207">
        <v>40</v>
      </c>
      <c r="G207">
        <v>12.92</v>
      </c>
      <c r="H207" t="s">
        <v>1036</v>
      </c>
      <c r="I207" t="s">
        <v>1235</v>
      </c>
      <c r="J207" t="s">
        <v>1414</v>
      </c>
      <c r="K207" t="s">
        <v>1423</v>
      </c>
    </row>
    <row r="208" spans="1:11" x14ac:dyDescent="0.25">
      <c r="A208" t="s">
        <v>1634</v>
      </c>
      <c r="B208" s="2">
        <v>45360</v>
      </c>
      <c r="C208" t="s">
        <v>210</v>
      </c>
      <c r="D208" t="s">
        <v>1015</v>
      </c>
      <c r="E208">
        <v>6</v>
      </c>
      <c r="F208">
        <v>10</v>
      </c>
      <c r="G208">
        <v>3.16</v>
      </c>
      <c r="H208" t="s">
        <v>1143</v>
      </c>
      <c r="I208" t="s">
        <v>1342</v>
      </c>
      <c r="J208" t="s">
        <v>1414</v>
      </c>
      <c r="K208" t="s">
        <v>1426</v>
      </c>
    </row>
    <row r="209" spans="1:11" x14ac:dyDescent="0.25">
      <c r="A209" t="s">
        <v>1635</v>
      </c>
      <c r="B209" s="2">
        <v>45360</v>
      </c>
      <c r="C209" t="s">
        <v>398</v>
      </c>
      <c r="D209" t="s">
        <v>1015</v>
      </c>
      <c r="E209">
        <v>9</v>
      </c>
      <c r="F209">
        <v>10</v>
      </c>
      <c r="G209">
        <v>2.2999999999999998</v>
      </c>
      <c r="H209" t="s">
        <v>1108</v>
      </c>
      <c r="I209" t="s">
        <v>1307</v>
      </c>
      <c r="J209" t="s">
        <v>1414</v>
      </c>
      <c r="K209" t="s">
        <v>1418</v>
      </c>
    </row>
    <row r="210" spans="1:11" x14ac:dyDescent="0.25">
      <c r="A210" t="s">
        <v>1636</v>
      </c>
      <c r="B210" s="2">
        <v>45360</v>
      </c>
      <c r="C210" t="s">
        <v>450</v>
      </c>
      <c r="D210" t="s">
        <v>1013</v>
      </c>
      <c r="E210">
        <v>1</v>
      </c>
      <c r="F210">
        <v>25</v>
      </c>
      <c r="G210">
        <v>8.83</v>
      </c>
      <c r="H210" t="s">
        <v>1031</v>
      </c>
      <c r="I210" t="s">
        <v>1230</v>
      </c>
      <c r="J210" t="s">
        <v>1414</v>
      </c>
      <c r="K210" t="s">
        <v>1423</v>
      </c>
    </row>
    <row r="211" spans="1:11" x14ac:dyDescent="0.25">
      <c r="A211" t="s">
        <v>1637</v>
      </c>
      <c r="B211" s="2">
        <v>45361</v>
      </c>
      <c r="C211" t="s">
        <v>94</v>
      </c>
      <c r="D211" t="s">
        <v>1014</v>
      </c>
      <c r="E211">
        <v>9</v>
      </c>
      <c r="F211">
        <v>15</v>
      </c>
      <c r="G211">
        <v>5.95</v>
      </c>
      <c r="H211" t="s">
        <v>1080</v>
      </c>
      <c r="I211" t="s">
        <v>1279</v>
      </c>
      <c r="J211" t="s">
        <v>1416</v>
      </c>
      <c r="K211" t="s">
        <v>1418</v>
      </c>
    </row>
    <row r="212" spans="1:11" x14ac:dyDescent="0.25">
      <c r="A212" t="s">
        <v>1638</v>
      </c>
      <c r="B212" s="2">
        <v>45361</v>
      </c>
      <c r="C212" t="s">
        <v>184</v>
      </c>
      <c r="D212" t="s">
        <v>1012</v>
      </c>
      <c r="E212">
        <v>2</v>
      </c>
      <c r="F212">
        <v>40</v>
      </c>
      <c r="G212">
        <v>12.52</v>
      </c>
      <c r="H212" t="s">
        <v>1042</v>
      </c>
      <c r="I212" t="s">
        <v>1241</v>
      </c>
      <c r="J212" t="s">
        <v>1414</v>
      </c>
      <c r="K212" t="s">
        <v>1425</v>
      </c>
    </row>
    <row r="213" spans="1:11" x14ac:dyDescent="0.25">
      <c r="A213" t="s">
        <v>1639</v>
      </c>
      <c r="B213" s="2">
        <v>45361</v>
      </c>
      <c r="C213" t="s">
        <v>429</v>
      </c>
      <c r="D213" t="s">
        <v>1012</v>
      </c>
      <c r="E213">
        <v>8</v>
      </c>
      <c r="F213">
        <v>40</v>
      </c>
      <c r="G213">
        <v>12.66</v>
      </c>
      <c r="H213" t="s">
        <v>1183</v>
      </c>
      <c r="I213" t="s">
        <v>1382</v>
      </c>
      <c r="J213" t="s">
        <v>1414</v>
      </c>
      <c r="K213" t="s">
        <v>1420</v>
      </c>
    </row>
    <row r="214" spans="1:11" x14ac:dyDescent="0.25">
      <c r="A214" t="s">
        <v>1640</v>
      </c>
      <c r="B214" s="2">
        <v>45361</v>
      </c>
      <c r="C214" t="s">
        <v>493</v>
      </c>
      <c r="D214" t="s">
        <v>1013</v>
      </c>
      <c r="E214">
        <v>7</v>
      </c>
      <c r="F214">
        <v>25</v>
      </c>
      <c r="G214">
        <v>7.98</v>
      </c>
      <c r="H214" t="s">
        <v>1053</v>
      </c>
      <c r="I214" t="s">
        <v>1252</v>
      </c>
      <c r="J214" t="s">
        <v>1417</v>
      </c>
      <c r="K214" t="s">
        <v>1423</v>
      </c>
    </row>
    <row r="215" spans="1:11" x14ac:dyDescent="0.25">
      <c r="A215" t="s">
        <v>1641</v>
      </c>
      <c r="B215" s="2">
        <v>45361</v>
      </c>
      <c r="C215" t="s">
        <v>744</v>
      </c>
      <c r="D215" t="s">
        <v>1012</v>
      </c>
      <c r="E215">
        <v>7</v>
      </c>
      <c r="F215">
        <v>40</v>
      </c>
      <c r="G215">
        <v>8.81</v>
      </c>
      <c r="H215" t="s">
        <v>1143</v>
      </c>
      <c r="I215" t="s">
        <v>1342</v>
      </c>
      <c r="J215" t="s">
        <v>1414</v>
      </c>
      <c r="K215" t="s">
        <v>1418</v>
      </c>
    </row>
    <row r="216" spans="1:11" x14ac:dyDescent="0.25">
      <c r="A216" t="s">
        <v>1642</v>
      </c>
      <c r="B216" s="2">
        <v>45361</v>
      </c>
      <c r="C216" t="s">
        <v>943</v>
      </c>
      <c r="D216" t="s">
        <v>1014</v>
      </c>
      <c r="E216">
        <v>5</v>
      </c>
      <c r="F216">
        <v>15</v>
      </c>
      <c r="G216">
        <v>5.82</v>
      </c>
      <c r="H216" t="s">
        <v>1200</v>
      </c>
      <c r="I216" t="s">
        <v>1399</v>
      </c>
      <c r="J216" t="s">
        <v>1414</v>
      </c>
      <c r="K216" t="s">
        <v>1425</v>
      </c>
    </row>
    <row r="217" spans="1:11" x14ac:dyDescent="0.25">
      <c r="A217" t="s">
        <v>1643</v>
      </c>
      <c r="B217" s="2">
        <v>45362</v>
      </c>
      <c r="C217" t="s">
        <v>181</v>
      </c>
      <c r="D217" t="s">
        <v>1015</v>
      </c>
      <c r="E217">
        <v>8</v>
      </c>
      <c r="F217">
        <v>10</v>
      </c>
      <c r="G217">
        <v>2.13</v>
      </c>
      <c r="H217" t="s">
        <v>1109</v>
      </c>
      <c r="I217" t="s">
        <v>1308</v>
      </c>
      <c r="J217" t="s">
        <v>1415</v>
      </c>
      <c r="K217" t="s">
        <v>1419</v>
      </c>
    </row>
    <row r="218" spans="1:11" x14ac:dyDescent="0.25">
      <c r="A218" t="s">
        <v>1644</v>
      </c>
      <c r="B218" s="2">
        <v>45362</v>
      </c>
      <c r="C218" t="s">
        <v>239</v>
      </c>
      <c r="D218" t="s">
        <v>1011</v>
      </c>
      <c r="E218">
        <v>2</v>
      </c>
      <c r="F218">
        <v>12</v>
      </c>
      <c r="G218">
        <v>3.59</v>
      </c>
      <c r="H218" t="s">
        <v>1027</v>
      </c>
      <c r="I218" t="s">
        <v>1226</v>
      </c>
      <c r="J218" t="s">
        <v>1415</v>
      </c>
      <c r="K218" t="s">
        <v>1419</v>
      </c>
    </row>
    <row r="219" spans="1:11" x14ac:dyDescent="0.25">
      <c r="A219" t="s">
        <v>1645</v>
      </c>
      <c r="B219" s="2">
        <v>45362</v>
      </c>
      <c r="C219" t="s">
        <v>811</v>
      </c>
      <c r="D219" t="s">
        <v>1015</v>
      </c>
      <c r="E219">
        <v>5</v>
      </c>
      <c r="F219">
        <v>10</v>
      </c>
      <c r="G219">
        <v>2.5099999999999998</v>
      </c>
      <c r="H219" t="s">
        <v>1046</v>
      </c>
      <c r="I219" t="s">
        <v>1245</v>
      </c>
      <c r="J219" t="s">
        <v>1416</v>
      </c>
      <c r="K219" t="s">
        <v>1421</v>
      </c>
    </row>
    <row r="220" spans="1:11" x14ac:dyDescent="0.25">
      <c r="A220" t="s">
        <v>1646</v>
      </c>
      <c r="B220" s="2">
        <v>45363</v>
      </c>
      <c r="C220" t="s">
        <v>732</v>
      </c>
      <c r="D220" t="s">
        <v>1013</v>
      </c>
      <c r="E220">
        <v>4</v>
      </c>
      <c r="F220">
        <v>25</v>
      </c>
      <c r="G220">
        <v>8.09</v>
      </c>
      <c r="H220" t="s">
        <v>1081</v>
      </c>
      <c r="I220" t="s">
        <v>1280</v>
      </c>
      <c r="J220" t="s">
        <v>1417</v>
      </c>
      <c r="K220" t="s">
        <v>1423</v>
      </c>
    </row>
    <row r="221" spans="1:11" x14ac:dyDescent="0.25">
      <c r="A221" t="s">
        <v>1647</v>
      </c>
      <c r="B221" s="2">
        <v>45364</v>
      </c>
      <c r="C221" t="s">
        <v>737</v>
      </c>
      <c r="D221" t="s">
        <v>1011</v>
      </c>
      <c r="E221">
        <v>10</v>
      </c>
      <c r="F221">
        <v>12</v>
      </c>
      <c r="G221">
        <v>2.69</v>
      </c>
      <c r="H221" t="s">
        <v>1019</v>
      </c>
      <c r="I221" t="s">
        <v>1218</v>
      </c>
      <c r="J221" t="s">
        <v>1415</v>
      </c>
      <c r="K221" t="s">
        <v>1424</v>
      </c>
    </row>
    <row r="222" spans="1:11" x14ac:dyDescent="0.25">
      <c r="A222" t="s">
        <v>1648</v>
      </c>
      <c r="B222" s="2">
        <v>45365</v>
      </c>
      <c r="C222" t="s">
        <v>889</v>
      </c>
      <c r="D222" t="s">
        <v>1011</v>
      </c>
      <c r="E222">
        <v>1</v>
      </c>
      <c r="F222">
        <v>12</v>
      </c>
      <c r="G222">
        <v>4.71</v>
      </c>
      <c r="H222" t="s">
        <v>1113</v>
      </c>
      <c r="I222" t="s">
        <v>1312</v>
      </c>
      <c r="J222" t="s">
        <v>1416</v>
      </c>
      <c r="K222" t="s">
        <v>1426</v>
      </c>
    </row>
    <row r="223" spans="1:11" x14ac:dyDescent="0.25">
      <c r="A223" t="s">
        <v>1649</v>
      </c>
      <c r="B223" s="2">
        <v>45366</v>
      </c>
      <c r="C223" t="s">
        <v>132</v>
      </c>
      <c r="D223" t="s">
        <v>1015</v>
      </c>
      <c r="E223">
        <v>5</v>
      </c>
      <c r="F223">
        <v>10</v>
      </c>
      <c r="G223">
        <v>3.65</v>
      </c>
      <c r="H223" t="s">
        <v>1109</v>
      </c>
      <c r="I223" t="s">
        <v>1308</v>
      </c>
      <c r="J223" t="s">
        <v>1414</v>
      </c>
      <c r="K223" t="s">
        <v>1422</v>
      </c>
    </row>
    <row r="224" spans="1:11" x14ac:dyDescent="0.25">
      <c r="A224" t="s">
        <v>1650</v>
      </c>
      <c r="B224" s="2">
        <v>45366</v>
      </c>
      <c r="C224" t="s">
        <v>473</v>
      </c>
      <c r="D224" t="s">
        <v>1015</v>
      </c>
      <c r="E224">
        <v>9</v>
      </c>
      <c r="F224">
        <v>10</v>
      </c>
      <c r="G224">
        <v>2.21</v>
      </c>
      <c r="H224" t="s">
        <v>1036</v>
      </c>
      <c r="I224" t="s">
        <v>1235</v>
      </c>
      <c r="J224" t="s">
        <v>1414</v>
      </c>
      <c r="K224" t="s">
        <v>1420</v>
      </c>
    </row>
    <row r="225" spans="1:11" x14ac:dyDescent="0.25">
      <c r="A225" t="s">
        <v>1651</v>
      </c>
      <c r="B225" s="2">
        <v>45366</v>
      </c>
      <c r="C225" t="s">
        <v>490</v>
      </c>
      <c r="D225" t="s">
        <v>1015</v>
      </c>
      <c r="E225">
        <v>3</v>
      </c>
      <c r="F225">
        <v>10</v>
      </c>
      <c r="G225">
        <v>2.73</v>
      </c>
      <c r="H225" t="s">
        <v>1073</v>
      </c>
      <c r="I225" t="s">
        <v>1272</v>
      </c>
      <c r="J225" t="s">
        <v>1414</v>
      </c>
      <c r="K225" t="s">
        <v>1427</v>
      </c>
    </row>
    <row r="226" spans="1:11" x14ac:dyDescent="0.25">
      <c r="A226" t="s">
        <v>1652</v>
      </c>
      <c r="B226" s="2">
        <v>45367</v>
      </c>
      <c r="C226" t="s">
        <v>397</v>
      </c>
      <c r="D226" t="s">
        <v>1014</v>
      </c>
      <c r="E226">
        <v>8</v>
      </c>
      <c r="F226">
        <v>15</v>
      </c>
      <c r="G226">
        <v>5.9</v>
      </c>
      <c r="H226" t="s">
        <v>1093</v>
      </c>
      <c r="I226" t="s">
        <v>1292</v>
      </c>
      <c r="J226" t="s">
        <v>1414</v>
      </c>
      <c r="K226" t="s">
        <v>1426</v>
      </c>
    </row>
    <row r="227" spans="1:11" x14ac:dyDescent="0.25">
      <c r="A227" t="s">
        <v>1653</v>
      </c>
      <c r="B227" s="2">
        <v>45367</v>
      </c>
      <c r="C227" t="s">
        <v>532</v>
      </c>
      <c r="D227" t="s">
        <v>1011</v>
      </c>
      <c r="E227">
        <v>2</v>
      </c>
      <c r="F227">
        <v>12</v>
      </c>
      <c r="G227">
        <v>3.27</v>
      </c>
      <c r="H227" t="s">
        <v>1127</v>
      </c>
      <c r="I227" t="s">
        <v>1326</v>
      </c>
      <c r="J227" t="s">
        <v>1416</v>
      </c>
      <c r="K227" t="s">
        <v>1421</v>
      </c>
    </row>
    <row r="228" spans="1:11" x14ac:dyDescent="0.25">
      <c r="A228" t="s">
        <v>1654</v>
      </c>
      <c r="B228" s="2">
        <v>45367</v>
      </c>
      <c r="C228" t="s">
        <v>838</v>
      </c>
      <c r="D228" t="s">
        <v>1014</v>
      </c>
      <c r="E228">
        <v>2</v>
      </c>
      <c r="F228">
        <v>15</v>
      </c>
      <c r="G228">
        <v>4.99</v>
      </c>
      <c r="H228" t="s">
        <v>1064</v>
      </c>
      <c r="I228" t="s">
        <v>1263</v>
      </c>
      <c r="J228" t="s">
        <v>1417</v>
      </c>
      <c r="K228" t="s">
        <v>1425</v>
      </c>
    </row>
    <row r="229" spans="1:11" x14ac:dyDescent="0.25">
      <c r="A229" t="s">
        <v>1655</v>
      </c>
      <c r="B229" s="2">
        <v>45367</v>
      </c>
      <c r="C229" t="s">
        <v>948</v>
      </c>
      <c r="D229" t="s">
        <v>1015</v>
      </c>
      <c r="E229">
        <v>6</v>
      </c>
      <c r="F229">
        <v>10</v>
      </c>
      <c r="G229">
        <v>2.0299999999999998</v>
      </c>
      <c r="H229" t="s">
        <v>1071</v>
      </c>
      <c r="I229" t="s">
        <v>1270</v>
      </c>
      <c r="J229" t="s">
        <v>1417</v>
      </c>
      <c r="K229" t="s">
        <v>1420</v>
      </c>
    </row>
    <row r="230" spans="1:11" x14ac:dyDescent="0.25">
      <c r="A230" t="s">
        <v>1656</v>
      </c>
      <c r="B230" s="2">
        <v>45368</v>
      </c>
      <c r="C230" t="s">
        <v>31</v>
      </c>
      <c r="D230" t="s">
        <v>1014</v>
      </c>
      <c r="E230">
        <v>6</v>
      </c>
      <c r="F230">
        <v>15</v>
      </c>
      <c r="G230">
        <v>3.55</v>
      </c>
      <c r="H230" t="s">
        <v>1034</v>
      </c>
      <c r="I230" t="s">
        <v>1233</v>
      </c>
      <c r="J230" t="s">
        <v>1414</v>
      </c>
      <c r="K230" t="s">
        <v>1426</v>
      </c>
    </row>
    <row r="231" spans="1:11" x14ac:dyDescent="0.25">
      <c r="A231" t="s">
        <v>1657</v>
      </c>
      <c r="B231" s="2">
        <v>45368</v>
      </c>
      <c r="C231" t="s">
        <v>218</v>
      </c>
      <c r="D231" t="s">
        <v>1013</v>
      </c>
      <c r="E231">
        <v>9</v>
      </c>
      <c r="F231">
        <v>25</v>
      </c>
      <c r="G231">
        <v>6.29</v>
      </c>
      <c r="H231" t="s">
        <v>1046</v>
      </c>
      <c r="I231" t="s">
        <v>1245</v>
      </c>
      <c r="J231" t="s">
        <v>1414</v>
      </c>
      <c r="K231" t="s">
        <v>1419</v>
      </c>
    </row>
    <row r="232" spans="1:11" x14ac:dyDescent="0.25">
      <c r="A232" t="s">
        <v>1658</v>
      </c>
      <c r="B232" s="2">
        <v>45368</v>
      </c>
      <c r="C232" t="s">
        <v>525</v>
      </c>
      <c r="D232" t="s">
        <v>1015</v>
      </c>
      <c r="E232">
        <v>4</v>
      </c>
      <c r="F232">
        <v>10</v>
      </c>
      <c r="G232">
        <v>3.87</v>
      </c>
      <c r="H232" t="s">
        <v>1043</v>
      </c>
      <c r="I232" t="s">
        <v>1242</v>
      </c>
      <c r="J232" t="s">
        <v>1414</v>
      </c>
      <c r="K232" t="s">
        <v>1425</v>
      </c>
    </row>
    <row r="233" spans="1:11" x14ac:dyDescent="0.25">
      <c r="A233" t="s">
        <v>1659</v>
      </c>
      <c r="B233" s="2">
        <v>45368</v>
      </c>
      <c r="C233" t="s">
        <v>624</v>
      </c>
      <c r="D233" t="s">
        <v>1012</v>
      </c>
      <c r="E233">
        <v>1</v>
      </c>
      <c r="F233">
        <v>40</v>
      </c>
      <c r="G233">
        <v>9.98</v>
      </c>
      <c r="H233" t="s">
        <v>1023</v>
      </c>
      <c r="I233" t="s">
        <v>1222</v>
      </c>
      <c r="J233" t="s">
        <v>1414</v>
      </c>
      <c r="K233" t="s">
        <v>1420</v>
      </c>
    </row>
    <row r="234" spans="1:11" x14ac:dyDescent="0.25">
      <c r="A234" t="s">
        <v>1660</v>
      </c>
      <c r="B234" s="2">
        <v>45369</v>
      </c>
      <c r="C234" t="s">
        <v>801</v>
      </c>
      <c r="D234" t="s">
        <v>1013</v>
      </c>
      <c r="E234">
        <v>3</v>
      </c>
      <c r="F234">
        <v>25</v>
      </c>
      <c r="G234">
        <v>8.7100000000000009</v>
      </c>
      <c r="H234" t="s">
        <v>1082</v>
      </c>
      <c r="I234" t="s">
        <v>1281</v>
      </c>
      <c r="J234" t="s">
        <v>1414</v>
      </c>
      <c r="K234" t="s">
        <v>1425</v>
      </c>
    </row>
    <row r="235" spans="1:11" x14ac:dyDescent="0.25">
      <c r="A235" t="s">
        <v>1661</v>
      </c>
      <c r="B235" s="2">
        <v>45370</v>
      </c>
      <c r="C235" t="s">
        <v>522</v>
      </c>
      <c r="D235" t="s">
        <v>1013</v>
      </c>
      <c r="E235">
        <v>8</v>
      </c>
      <c r="F235">
        <v>25</v>
      </c>
      <c r="G235">
        <v>9.14</v>
      </c>
      <c r="H235" t="s">
        <v>1176</v>
      </c>
      <c r="I235" t="s">
        <v>1375</v>
      </c>
      <c r="J235" t="s">
        <v>1414</v>
      </c>
      <c r="K235" t="s">
        <v>1421</v>
      </c>
    </row>
    <row r="236" spans="1:11" x14ac:dyDescent="0.25">
      <c r="A236" t="s">
        <v>1662</v>
      </c>
      <c r="B236" s="2">
        <v>45370</v>
      </c>
      <c r="C236" t="s">
        <v>831</v>
      </c>
      <c r="D236" t="s">
        <v>1015</v>
      </c>
      <c r="E236">
        <v>1</v>
      </c>
      <c r="F236">
        <v>10</v>
      </c>
      <c r="G236">
        <v>3.91</v>
      </c>
      <c r="H236" t="s">
        <v>1023</v>
      </c>
      <c r="I236" t="s">
        <v>1222</v>
      </c>
      <c r="J236" t="s">
        <v>1414</v>
      </c>
      <c r="K236" t="s">
        <v>1427</v>
      </c>
    </row>
    <row r="237" spans="1:11" x14ac:dyDescent="0.25">
      <c r="A237" t="s">
        <v>1663</v>
      </c>
      <c r="B237" s="2">
        <v>45371</v>
      </c>
      <c r="C237" t="s">
        <v>855</v>
      </c>
      <c r="D237" t="s">
        <v>1013</v>
      </c>
      <c r="E237">
        <v>3</v>
      </c>
      <c r="F237">
        <v>25</v>
      </c>
      <c r="G237">
        <v>5.7</v>
      </c>
      <c r="H237" t="s">
        <v>1058</v>
      </c>
      <c r="I237" t="s">
        <v>1257</v>
      </c>
      <c r="J237" t="s">
        <v>1416</v>
      </c>
      <c r="K237" t="s">
        <v>1422</v>
      </c>
    </row>
    <row r="238" spans="1:11" x14ac:dyDescent="0.25">
      <c r="A238" t="s">
        <v>1664</v>
      </c>
      <c r="B238" s="2">
        <v>45372</v>
      </c>
      <c r="C238" t="s">
        <v>272</v>
      </c>
      <c r="D238" t="s">
        <v>1011</v>
      </c>
      <c r="E238">
        <v>8</v>
      </c>
      <c r="F238">
        <v>12</v>
      </c>
      <c r="G238">
        <v>2.88</v>
      </c>
      <c r="H238" t="s">
        <v>1020</v>
      </c>
      <c r="I238" t="s">
        <v>1219</v>
      </c>
      <c r="J238" t="s">
        <v>1417</v>
      </c>
      <c r="K238" t="s">
        <v>1419</v>
      </c>
    </row>
    <row r="239" spans="1:11" x14ac:dyDescent="0.25">
      <c r="A239" t="s">
        <v>1665</v>
      </c>
      <c r="B239" s="2">
        <v>45372</v>
      </c>
      <c r="C239" t="s">
        <v>309</v>
      </c>
      <c r="D239" t="s">
        <v>1011</v>
      </c>
      <c r="E239">
        <v>1</v>
      </c>
      <c r="F239">
        <v>12</v>
      </c>
      <c r="G239">
        <v>3.25</v>
      </c>
      <c r="H239" t="s">
        <v>1064</v>
      </c>
      <c r="I239" t="s">
        <v>1263</v>
      </c>
      <c r="J239" t="s">
        <v>1417</v>
      </c>
      <c r="K239" t="s">
        <v>1425</v>
      </c>
    </row>
    <row r="240" spans="1:11" x14ac:dyDescent="0.25">
      <c r="A240" t="s">
        <v>1666</v>
      </c>
      <c r="B240" s="2">
        <v>45372</v>
      </c>
      <c r="C240" t="s">
        <v>457</v>
      </c>
      <c r="D240" t="s">
        <v>1014</v>
      </c>
      <c r="E240">
        <v>7</v>
      </c>
      <c r="F240">
        <v>15</v>
      </c>
      <c r="G240">
        <v>3.63</v>
      </c>
      <c r="H240" t="s">
        <v>1102</v>
      </c>
      <c r="I240" t="s">
        <v>1301</v>
      </c>
      <c r="J240" t="s">
        <v>1414</v>
      </c>
      <c r="K240" t="s">
        <v>1426</v>
      </c>
    </row>
    <row r="241" spans="1:11" x14ac:dyDescent="0.25">
      <c r="A241" t="s">
        <v>1667</v>
      </c>
      <c r="B241" s="2">
        <v>45372</v>
      </c>
      <c r="C241" t="s">
        <v>765</v>
      </c>
      <c r="D241" t="s">
        <v>1015</v>
      </c>
      <c r="E241">
        <v>5</v>
      </c>
      <c r="F241">
        <v>10</v>
      </c>
      <c r="G241">
        <v>3.98</v>
      </c>
      <c r="H241" t="s">
        <v>1139</v>
      </c>
      <c r="I241" t="s">
        <v>1338</v>
      </c>
      <c r="J241" t="s">
        <v>1414</v>
      </c>
      <c r="K241" t="s">
        <v>1427</v>
      </c>
    </row>
    <row r="242" spans="1:11" x14ac:dyDescent="0.25">
      <c r="A242" t="s">
        <v>1668</v>
      </c>
      <c r="B242" s="2">
        <v>45373</v>
      </c>
      <c r="C242" t="s">
        <v>410</v>
      </c>
      <c r="D242" t="s">
        <v>1014</v>
      </c>
      <c r="E242">
        <v>4</v>
      </c>
      <c r="F242">
        <v>15</v>
      </c>
      <c r="G242">
        <v>3.4</v>
      </c>
      <c r="H242" t="s">
        <v>1080</v>
      </c>
      <c r="I242" t="s">
        <v>1279</v>
      </c>
      <c r="J242" t="s">
        <v>1416</v>
      </c>
      <c r="K242" t="s">
        <v>1426</v>
      </c>
    </row>
    <row r="243" spans="1:11" x14ac:dyDescent="0.25">
      <c r="A243" t="s">
        <v>1669</v>
      </c>
      <c r="B243" s="2">
        <v>45373</v>
      </c>
      <c r="C243" t="s">
        <v>722</v>
      </c>
      <c r="D243" t="s">
        <v>1012</v>
      </c>
      <c r="E243">
        <v>9</v>
      </c>
      <c r="F243">
        <v>40</v>
      </c>
      <c r="G243">
        <v>10.92</v>
      </c>
      <c r="H243" t="s">
        <v>1211</v>
      </c>
      <c r="I243" t="s">
        <v>1410</v>
      </c>
      <c r="J243" t="s">
        <v>1417</v>
      </c>
      <c r="K243" t="s">
        <v>1420</v>
      </c>
    </row>
    <row r="244" spans="1:11" x14ac:dyDescent="0.25">
      <c r="A244" t="s">
        <v>1670</v>
      </c>
      <c r="B244" s="2">
        <v>45373</v>
      </c>
      <c r="C244" t="s">
        <v>786</v>
      </c>
      <c r="D244" t="s">
        <v>1015</v>
      </c>
      <c r="E244">
        <v>3</v>
      </c>
      <c r="F244">
        <v>10</v>
      </c>
      <c r="G244">
        <v>2.91</v>
      </c>
      <c r="H244" t="s">
        <v>1166</v>
      </c>
      <c r="I244" t="s">
        <v>1365</v>
      </c>
      <c r="J244" t="s">
        <v>1416</v>
      </c>
      <c r="K244" t="s">
        <v>1424</v>
      </c>
    </row>
    <row r="245" spans="1:11" x14ac:dyDescent="0.25">
      <c r="A245" t="s">
        <v>1671</v>
      </c>
      <c r="B245" s="2">
        <v>45373</v>
      </c>
      <c r="C245" t="s">
        <v>899</v>
      </c>
      <c r="D245" t="s">
        <v>1012</v>
      </c>
      <c r="E245">
        <v>2</v>
      </c>
      <c r="F245">
        <v>40</v>
      </c>
      <c r="G245">
        <v>11.01</v>
      </c>
      <c r="H245" t="s">
        <v>1202</v>
      </c>
      <c r="I245" t="s">
        <v>1401</v>
      </c>
      <c r="J245" t="s">
        <v>1416</v>
      </c>
      <c r="K245" t="s">
        <v>1421</v>
      </c>
    </row>
    <row r="246" spans="1:11" x14ac:dyDescent="0.25">
      <c r="A246" t="s">
        <v>1672</v>
      </c>
      <c r="B246" s="2">
        <v>45374</v>
      </c>
      <c r="C246" t="s">
        <v>17</v>
      </c>
      <c r="D246" t="s">
        <v>1014</v>
      </c>
      <c r="E246">
        <v>2</v>
      </c>
      <c r="F246">
        <v>15</v>
      </c>
      <c r="G246">
        <v>4.99</v>
      </c>
      <c r="H246" t="s">
        <v>1022</v>
      </c>
      <c r="I246" t="s">
        <v>1221</v>
      </c>
      <c r="J246" t="s">
        <v>1414</v>
      </c>
      <c r="K246" t="s">
        <v>1423</v>
      </c>
    </row>
    <row r="247" spans="1:11" x14ac:dyDescent="0.25">
      <c r="A247" t="s">
        <v>1673</v>
      </c>
      <c r="B247" s="2">
        <v>45374</v>
      </c>
      <c r="C247" t="s">
        <v>110</v>
      </c>
      <c r="D247" t="s">
        <v>1012</v>
      </c>
      <c r="E247">
        <v>2</v>
      </c>
      <c r="F247">
        <v>40</v>
      </c>
      <c r="G247">
        <v>10.69</v>
      </c>
      <c r="H247" t="s">
        <v>1092</v>
      </c>
      <c r="I247" t="s">
        <v>1291</v>
      </c>
      <c r="J247" t="s">
        <v>1414</v>
      </c>
      <c r="K247" t="s">
        <v>1421</v>
      </c>
    </row>
    <row r="248" spans="1:11" x14ac:dyDescent="0.25">
      <c r="A248" t="s">
        <v>1674</v>
      </c>
      <c r="B248" s="2">
        <v>45375</v>
      </c>
      <c r="C248" t="s">
        <v>117</v>
      </c>
      <c r="D248" t="s">
        <v>1012</v>
      </c>
      <c r="E248">
        <v>10</v>
      </c>
      <c r="F248">
        <v>40</v>
      </c>
      <c r="G248">
        <v>9.1</v>
      </c>
      <c r="H248" t="s">
        <v>1097</v>
      </c>
      <c r="I248" t="s">
        <v>1296</v>
      </c>
      <c r="J248" t="s">
        <v>1414</v>
      </c>
      <c r="K248" t="s">
        <v>1425</v>
      </c>
    </row>
    <row r="249" spans="1:11" x14ac:dyDescent="0.25">
      <c r="A249" t="s">
        <v>1675</v>
      </c>
      <c r="B249" s="2">
        <v>45375</v>
      </c>
      <c r="C249" t="s">
        <v>141</v>
      </c>
      <c r="D249" t="s">
        <v>1012</v>
      </c>
      <c r="E249">
        <v>5</v>
      </c>
      <c r="F249">
        <v>40</v>
      </c>
      <c r="G249">
        <v>11.38</v>
      </c>
      <c r="H249" t="s">
        <v>1115</v>
      </c>
      <c r="I249" t="s">
        <v>1314</v>
      </c>
      <c r="J249" t="s">
        <v>1414</v>
      </c>
      <c r="K249" t="s">
        <v>1421</v>
      </c>
    </row>
    <row r="250" spans="1:11" x14ac:dyDescent="0.25">
      <c r="A250" t="s">
        <v>1676</v>
      </c>
      <c r="B250" s="2">
        <v>45375</v>
      </c>
      <c r="C250" t="s">
        <v>263</v>
      </c>
      <c r="D250" t="s">
        <v>1012</v>
      </c>
      <c r="E250">
        <v>2</v>
      </c>
      <c r="F250">
        <v>40</v>
      </c>
      <c r="G250">
        <v>13.29</v>
      </c>
      <c r="H250" t="s">
        <v>1153</v>
      </c>
      <c r="I250" t="s">
        <v>1352</v>
      </c>
      <c r="J250" t="s">
        <v>1414</v>
      </c>
      <c r="K250" t="s">
        <v>1426</v>
      </c>
    </row>
    <row r="251" spans="1:11" x14ac:dyDescent="0.25">
      <c r="A251" t="s">
        <v>1677</v>
      </c>
      <c r="B251" s="2">
        <v>45375</v>
      </c>
      <c r="C251" t="s">
        <v>917</v>
      </c>
      <c r="D251" t="s">
        <v>1012</v>
      </c>
      <c r="E251">
        <v>1</v>
      </c>
      <c r="F251">
        <v>40</v>
      </c>
      <c r="G251">
        <v>14.99</v>
      </c>
      <c r="H251" t="s">
        <v>1080</v>
      </c>
      <c r="I251" t="s">
        <v>1279</v>
      </c>
      <c r="J251" t="s">
        <v>1417</v>
      </c>
      <c r="K251" t="s">
        <v>1420</v>
      </c>
    </row>
    <row r="252" spans="1:11" x14ac:dyDescent="0.25">
      <c r="A252" t="s">
        <v>1678</v>
      </c>
      <c r="B252" s="2">
        <v>45375</v>
      </c>
      <c r="C252" t="s">
        <v>921</v>
      </c>
      <c r="D252" t="s">
        <v>1013</v>
      </c>
      <c r="E252">
        <v>2</v>
      </c>
      <c r="F252">
        <v>25</v>
      </c>
      <c r="G252">
        <v>5.01</v>
      </c>
      <c r="H252" t="s">
        <v>1102</v>
      </c>
      <c r="I252" t="s">
        <v>1301</v>
      </c>
      <c r="J252" t="s">
        <v>1416</v>
      </c>
      <c r="K252" t="s">
        <v>1426</v>
      </c>
    </row>
    <row r="253" spans="1:11" x14ac:dyDescent="0.25">
      <c r="A253" t="s">
        <v>1679</v>
      </c>
      <c r="B253" s="2">
        <v>45377</v>
      </c>
      <c r="C253" t="s">
        <v>386</v>
      </c>
      <c r="D253" t="s">
        <v>1011</v>
      </c>
      <c r="E253">
        <v>9</v>
      </c>
      <c r="F253">
        <v>12</v>
      </c>
      <c r="G253">
        <v>2.99</v>
      </c>
      <c r="H253" t="s">
        <v>1032</v>
      </c>
      <c r="I253" t="s">
        <v>1231</v>
      </c>
      <c r="J253" t="s">
        <v>1414</v>
      </c>
      <c r="K253" t="s">
        <v>1424</v>
      </c>
    </row>
    <row r="254" spans="1:11" x14ac:dyDescent="0.25">
      <c r="A254" t="s">
        <v>1680</v>
      </c>
      <c r="B254" s="2">
        <v>45377</v>
      </c>
      <c r="C254" t="s">
        <v>510</v>
      </c>
      <c r="D254" t="s">
        <v>1012</v>
      </c>
      <c r="E254">
        <v>3</v>
      </c>
      <c r="F254">
        <v>40</v>
      </c>
      <c r="G254">
        <v>12.12</v>
      </c>
      <c r="H254" t="s">
        <v>1164</v>
      </c>
      <c r="I254" t="s">
        <v>1363</v>
      </c>
      <c r="J254" t="s">
        <v>1414</v>
      </c>
      <c r="K254" t="s">
        <v>1427</v>
      </c>
    </row>
    <row r="255" spans="1:11" x14ac:dyDescent="0.25">
      <c r="A255" t="s">
        <v>1681</v>
      </c>
      <c r="B255" s="2">
        <v>45377</v>
      </c>
      <c r="C255" t="s">
        <v>939</v>
      </c>
      <c r="D255" t="s">
        <v>1011</v>
      </c>
      <c r="E255">
        <v>1</v>
      </c>
      <c r="F255">
        <v>12</v>
      </c>
      <c r="G255">
        <v>3.21</v>
      </c>
      <c r="H255" t="s">
        <v>1171</v>
      </c>
      <c r="I255" t="s">
        <v>1370</v>
      </c>
      <c r="J255" t="s">
        <v>1416</v>
      </c>
      <c r="K255" t="s">
        <v>1420</v>
      </c>
    </row>
    <row r="256" spans="1:11" x14ac:dyDescent="0.25">
      <c r="A256" t="s">
        <v>1682</v>
      </c>
      <c r="B256" s="2">
        <v>45378</v>
      </c>
      <c r="C256" t="s">
        <v>11</v>
      </c>
      <c r="D256" t="s">
        <v>1011</v>
      </c>
      <c r="E256">
        <v>5</v>
      </c>
      <c r="F256">
        <v>12</v>
      </c>
      <c r="G256">
        <v>3.41</v>
      </c>
      <c r="H256" t="s">
        <v>1016</v>
      </c>
      <c r="I256" t="s">
        <v>1215</v>
      </c>
      <c r="J256" t="s">
        <v>1414</v>
      </c>
      <c r="K256" t="s">
        <v>1418</v>
      </c>
    </row>
    <row r="257" spans="1:11" x14ac:dyDescent="0.25">
      <c r="A257" t="s">
        <v>1683</v>
      </c>
      <c r="B257" s="2">
        <v>45378</v>
      </c>
      <c r="C257" t="s">
        <v>53</v>
      </c>
      <c r="D257" t="s">
        <v>1014</v>
      </c>
      <c r="E257">
        <v>9</v>
      </c>
      <c r="F257">
        <v>15</v>
      </c>
      <c r="G257">
        <v>3.88</v>
      </c>
      <c r="H257" t="s">
        <v>1052</v>
      </c>
      <c r="I257" t="s">
        <v>1251</v>
      </c>
      <c r="J257" t="s">
        <v>1414</v>
      </c>
      <c r="K257" t="s">
        <v>1425</v>
      </c>
    </row>
    <row r="258" spans="1:11" x14ac:dyDescent="0.25">
      <c r="A258" t="s">
        <v>1684</v>
      </c>
      <c r="B258" s="2">
        <v>45378</v>
      </c>
      <c r="C258" t="s">
        <v>384</v>
      </c>
      <c r="D258" t="s">
        <v>1012</v>
      </c>
      <c r="E258">
        <v>10</v>
      </c>
      <c r="F258">
        <v>40</v>
      </c>
      <c r="G258">
        <v>11.05</v>
      </c>
      <c r="H258" t="s">
        <v>1109</v>
      </c>
      <c r="I258" t="s">
        <v>1308</v>
      </c>
      <c r="J258" t="s">
        <v>1414</v>
      </c>
      <c r="K258" t="s">
        <v>1426</v>
      </c>
    </row>
    <row r="259" spans="1:11" x14ac:dyDescent="0.25">
      <c r="A259" t="s">
        <v>1685</v>
      </c>
      <c r="B259" s="2">
        <v>45378</v>
      </c>
      <c r="C259" t="s">
        <v>752</v>
      </c>
      <c r="D259" t="s">
        <v>1015</v>
      </c>
      <c r="E259">
        <v>2</v>
      </c>
      <c r="F259">
        <v>10</v>
      </c>
      <c r="G259">
        <v>3.43</v>
      </c>
      <c r="H259" t="s">
        <v>1080</v>
      </c>
      <c r="I259" t="s">
        <v>1279</v>
      </c>
      <c r="J259" t="s">
        <v>1415</v>
      </c>
      <c r="K259" t="s">
        <v>1426</v>
      </c>
    </row>
    <row r="260" spans="1:11" x14ac:dyDescent="0.25">
      <c r="A260" t="s">
        <v>1686</v>
      </c>
      <c r="B260" s="2">
        <v>45379</v>
      </c>
      <c r="C260" t="s">
        <v>187</v>
      </c>
      <c r="D260" t="s">
        <v>1013</v>
      </c>
      <c r="E260">
        <v>2</v>
      </c>
      <c r="F260">
        <v>25</v>
      </c>
      <c r="G260">
        <v>6.89</v>
      </c>
      <c r="H260" t="s">
        <v>1134</v>
      </c>
      <c r="I260" t="s">
        <v>1333</v>
      </c>
      <c r="J260" t="s">
        <v>1415</v>
      </c>
      <c r="K260" t="s">
        <v>1427</v>
      </c>
    </row>
    <row r="261" spans="1:11" x14ac:dyDescent="0.25">
      <c r="A261" t="s">
        <v>1687</v>
      </c>
      <c r="B261" s="2">
        <v>45379</v>
      </c>
      <c r="C261" t="s">
        <v>202</v>
      </c>
      <c r="D261" t="s">
        <v>1015</v>
      </c>
      <c r="E261">
        <v>7</v>
      </c>
      <c r="F261">
        <v>10</v>
      </c>
      <c r="G261">
        <v>2.2000000000000002</v>
      </c>
      <c r="H261" t="s">
        <v>1109</v>
      </c>
      <c r="I261" t="s">
        <v>1308</v>
      </c>
      <c r="J261" t="s">
        <v>1416</v>
      </c>
      <c r="K261" t="s">
        <v>1418</v>
      </c>
    </row>
    <row r="262" spans="1:11" x14ac:dyDescent="0.25">
      <c r="A262" t="s">
        <v>1688</v>
      </c>
      <c r="B262" s="2">
        <v>45379</v>
      </c>
      <c r="C262" t="s">
        <v>243</v>
      </c>
      <c r="D262" t="s">
        <v>1013</v>
      </c>
      <c r="E262">
        <v>7</v>
      </c>
      <c r="F262">
        <v>25</v>
      </c>
      <c r="G262">
        <v>5.89</v>
      </c>
      <c r="H262" t="s">
        <v>1153</v>
      </c>
      <c r="I262" t="s">
        <v>1352</v>
      </c>
      <c r="J262" t="s">
        <v>1414</v>
      </c>
      <c r="K262" t="s">
        <v>1424</v>
      </c>
    </row>
    <row r="263" spans="1:11" x14ac:dyDescent="0.25">
      <c r="A263" t="s">
        <v>1689</v>
      </c>
      <c r="B263" s="2">
        <v>45379</v>
      </c>
      <c r="C263" t="s">
        <v>537</v>
      </c>
      <c r="D263" t="s">
        <v>1013</v>
      </c>
      <c r="E263">
        <v>8</v>
      </c>
      <c r="F263">
        <v>25</v>
      </c>
      <c r="G263">
        <v>8.61</v>
      </c>
      <c r="H263" t="s">
        <v>1197</v>
      </c>
      <c r="I263" t="s">
        <v>1396</v>
      </c>
      <c r="J263" t="s">
        <v>1414</v>
      </c>
      <c r="K263" t="s">
        <v>1418</v>
      </c>
    </row>
    <row r="264" spans="1:11" x14ac:dyDescent="0.25">
      <c r="A264" t="s">
        <v>1690</v>
      </c>
      <c r="B264" s="2">
        <v>45380</v>
      </c>
      <c r="C264" t="s">
        <v>104</v>
      </c>
      <c r="D264" t="s">
        <v>1015</v>
      </c>
      <c r="E264">
        <v>5</v>
      </c>
      <c r="F264">
        <v>10</v>
      </c>
      <c r="G264">
        <v>2.82</v>
      </c>
      <c r="H264" t="s">
        <v>1087</v>
      </c>
      <c r="I264" t="s">
        <v>1286</v>
      </c>
      <c r="J264" t="s">
        <v>1414</v>
      </c>
      <c r="K264" t="s">
        <v>1427</v>
      </c>
    </row>
    <row r="265" spans="1:11" x14ac:dyDescent="0.25">
      <c r="A265" t="s">
        <v>1691</v>
      </c>
      <c r="B265" s="2">
        <v>45380</v>
      </c>
      <c r="C265" t="s">
        <v>195</v>
      </c>
      <c r="D265" t="s">
        <v>1012</v>
      </c>
      <c r="E265">
        <v>10</v>
      </c>
      <c r="F265">
        <v>40</v>
      </c>
      <c r="G265">
        <v>11.87</v>
      </c>
      <c r="H265" t="s">
        <v>1138</v>
      </c>
      <c r="I265" t="s">
        <v>1337</v>
      </c>
      <c r="J265" t="s">
        <v>1414</v>
      </c>
      <c r="K265" t="s">
        <v>1425</v>
      </c>
    </row>
    <row r="266" spans="1:11" x14ac:dyDescent="0.25">
      <c r="A266" t="s">
        <v>1692</v>
      </c>
      <c r="B266" s="2">
        <v>45381</v>
      </c>
      <c r="C266" t="s">
        <v>87</v>
      </c>
      <c r="D266" t="s">
        <v>1014</v>
      </c>
      <c r="E266">
        <v>1</v>
      </c>
      <c r="F266">
        <v>15</v>
      </c>
      <c r="G266">
        <v>5.3</v>
      </c>
      <c r="H266" t="s">
        <v>1066</v>
      </c>
      <c r="I266" t="s">
        <v>1265</v>
      </c>
      <c r="J266" t="s">
        <v>1414</v>
      </c>
      <c r="K266" t="s">
        <v>1420</v>
      </c>
    </row>
    <row r="267" spans="1:11" x14ac:dyDescent="0.25">
      <c r="A267" t="s">
        <v>1693</v>
      </c>
      <c r="B267" s="2">
        <v>45381</v>
      </c>
      <c r="C267" t="s">
        <v>992</v>
      </c>
      <c r="D267" t="s">
        <v>1013</v>
      </c>
      <c r="E267">
        <v>4</v>
      </c>
      <c r="F267">
        <v>25</v>
      </c>
      <c r="G267">
        <v>9.4600000000000009</v>
      </c>
      <c r="H267" t="s">
        <v>1181</v>
      </c>
      <c r="I267" t="s">
        <v>1380</v>
      </c>
      <c r="J267" t="s">
        <v>1415</v>
      </c>
      <c r="K267" t="s">
        <v>1426</v>
      </c>
    </row>
    <row r="268" spans="1:11" x14ac:dyDescent="0.25">
      <c r="A268" t="s">
        <v>1694</v>
      </c>
      <c r="B268" s="2">
        <v>45382</v>
      </c>
      <c r="C268" t="s">
        <v>79</v>
      </c>
      <c r="D268" t="s">
        <v>1012</v>
      </c>
      <c r="E268">
        <v>1</v>
      </c>
      <c r="F268">
        <v>40</v>
      </c>
      <c r="G268">
        <v>12.13</v>
      </c>
      <c r="H268" t="s">
        <v>1043</v>
      </c>
      <c r="I268" t="s">
        <v>1242</v>
      </c>
      <c r="J268" t="s">
        <v>1417</v>
      </c>
      <c r="K268" t="s">
        <v>1419</v>
      </c>
    </row>
    <row r="269" spans="1:11" x14ac:dyDescent="0.25">
      <c r="A269" t="s">
        <v>1695</v>
      </c>
      <c r="B269" s="2">
        <v>45382</v>
      </c>
      <c r="C269" t="s">
        <v>318</v>
      </c>
      <c r="D269" t="s">
        <v>1011</v>
      </c>
      <c r="E269">
        <v>4</v>
      </c>
      <c r="F269">
        <v>12</v>
      </c>
      <c r="G269">
        <v>3.9</v>
      </c>
      <c r="H269" t="s">
        <v>1153</v>
      </c>
      <c r="I269" t="s">
        <v>1352</v>
      </c>
      <c r="J269" t="s">
        <v>1414</v>
      </c>
      <c r="K269" t="s">
        <v>1427</v>
      </c>
    </row>
    <row r="270" spans="1:11" x14ac:dyDescent="0.25">
      <c r="A270" t="s">
        <v>1696</v>
      </c>
      <c r="B270" s="2">
        <v>45382</v>
      </c>
      <c r="C270" t="s">
        <v>443</v>
      </c>
      <c r="D270" t="s">
        <v>1015</v>
      </c>
      <c r="E270">
        <v>3</v>
      </c>
      <c r="F270">
        <v>10</v>
      </c>
      <c r="G270">
        <v>2.69</v>
      </c>
      <c r="H270" t="s">
        <v>1183</v>
      </c>
      <c r="I270" t="s">
        <v>1382</v>
      </c>
      <c r="J270" t="s">
        <v>1417</v>
      </c>
      <c r="K270" t="s">
        <v>1424</v>
      </c>
    </row>
    <row r="271" spans="1:11" x14ac:dyDescent="0.25">
      <c r="A271" t="s">
        <v>1697</v>
      </c>
      <c r="B271" s="2">
        <v>45382</v>
      </c>
      <c r="C271" t="s">
        <v>549</v>
      </c>
      <c r="D271" t="s">
        <v>1012</v>
      </c>
      <c r="E271">
        <v>3</v>
      </c>
      <c r="F271">
        <v>40</v>
      </c>
      <c r="G271">
        <v>12.8</v>
      </c>
      <c r="H271" t="s">
        <v>1107</v>
      </c>
      <c r="I271" t="s">
        <v>1306</v>
      </c>
      <c r="J271" t="s">
        <v>1414</v>
      </c>
      <c r="K271" t="s">
        <v>1421</v>
      </c>
    </row>
    <row r="272" spans="1:11" x14ac:dyDescent="0.25">
      <c r="A272" t="s">
        <v>1698</v>
      </c>
      <c r="B272" s="2">
        <v>45382</v>
      </c>
      <c r="C272" t="s">
        <v>904</v>
      </c>
      <c r="D272" t="s">
        <v>1014</v>
      </c>
      <c r="E272">
        <v>8</v>
      </c>
      <c r="F272">
        <v>15</v>
      </c>
      <c r="G272">
        <v>3.64</v>
      </c>
      <c r="H272" t="s">
        <v>1077</v>
      </c>
      <c r="I272" t="s">
        <v>1276</v>
      </c>
      <c r="J272" t="s">
        <v>1414</v>
      </c>
      <c r="K272" t="s">
        <v>1422</v>
      </c>
    </row>
    <row r="273" spans="1:11" x14ac:dyDescent="0.25">
      <c r="A273" t="s">
        <v>1699</v>
      </c>
      <c r="B273" s="2">
        <v>45382</v>
      </c>
      <c r="C273" t="s">
        <v>1002</v>
      </c>
      <c r="D273" t="s">
        <v>1015</v>
      </c>
      <c r="E273">
        <v>9</v>
      </c>
      <c r="F273">
        <v>10</v>
      </c>
      <c r="G273">
        <v>3.6</v>
      </c>
      <c r="H273" t="s">
        <v>1117</v>
      </c>
      <c r="I273" t="s">
        <v>1316</v>
      </c>
      <c r="J273" t="s">
        <v>1414</v>
      </c>
      <c r="K273" t="s">
        <v>1421</v>
      </c>
    </row>
    <row r="274" spans="1:11" x14ac:dyDescent="0.25">
      <c r="A274" t="s">
        <v>1700</v>
      </c>
      <c r="B274" s="2">
        <v>45383</v>
      </c>
      <c r="C274" t="s">
        <v>178</v>
      </c>
      <c r="D274" t="s">
        <v>1013</v>
      </c>
      <c r="E274">
        <v>7</v>
      </c>
      <c r="G274">
        <v>5.07</v>
      </c>
      <c r="H274" t="s">
        <v>1042</v>
      </c>
      <c r="I274" t="s">
        <v>1241</v>
      </c>
      <c r="J274" t="s">
        <v>1414</v>
      </c>
      <c r="K274" t="s">
        <v>1423</v>
      </c>
    </row>
    <row r="275" spans="1:11" x14ac:dyDescent="0.25">
      <c r="A275" t="s">
        <v>1701</v>
      </c>
      <c r="B275" s="2">
        <v>45383</v>
      </c>
      <c r="C275" t="s">
        <v>540</v>
      </c>
      <c r="D275" t="s">
        <v>1011</v>
      </c>
      <c r="E275">
        <v>3</v>
      </c>
      <c r="F275">
        <v>12</v>
      </c>
      <c r="G275">
        <v>3.17</v>
      </c>
      <c r="H275" t="s">
        <v>1197</v>
      </c>
      <c r="I275" t="s">
        <v>1396</v>
      </c>
      <c r="J275" t="s">
        <v>1414</v>
      </c>
      <c r="K275" t="s">
        <v>1422</v>
      </c>
    </row>
    <row r="276" spans="1:11" x14ac:dyDescent="0.25">
      <c r="A276" t="s">
        <v>1702</v>
      </c>
      <c r="B276" s="2">
        <v>45384</v>
      </c>
      <c r="C276" t="s">
        <v>608</v>
      </c>
      <c r="D276" t="s">
        <v>1011</v>
      </c>
      <c r="E276">
        <v>10</v>
      </c>
      <c r="F276">
        <v>12</v>
      </c>
      <c r="G276">
        <v>3.9</v>
      </c>
      <c r="H276" t="s">
        <v>1111</v>
      </c>
      <c r="I276" t="s">
        <v>1310</v>
      </c>
      <c r="J276" t="s">
        <v>1414</v>
      </c>
      <c r="K276" t="s">
        <v>1427</v>
      </c>
    </row>
    <row r="277" spans="1:11" x14ac:dyDescent="0.25">
      <c r="A277" t="s">
        <v>1703</v>
      </c>
      <c r="B277" s="2">
        <v>45384</v>
      </c>
      <c r="C277" t="s">
        <v>617</v>
      </c>
      <c r="D277" t="s">
        <v>1014</v>
      </c>
      <c r="E277">
        <v>8</v>
      </c>
      <c r="F277">
        <v>15</v>
      </c>
      <c r="G277">
        <v>4.9400000000000004</v>
      </c>
      <c r="H277" t="s">
        <v>1091</v>
      </c>
      <c r="I277" t="s">
        <v>1290</v>
      </c>
      <c r="J277" t="s">
        <v>1414</v>
      </c>
      <c r="K277" t="s">
        <v>1420</v>
      </c>
    </row>
    <row r="278" spans="1:11" x14ac:dyDescent="0.25">
      <c r="A278" t="s">
        <v>1704</v>
      </c>
      <c r="B278" s="2">
        <v>45384</v>
      </c>
      <c r="C278" t="s">
        <v>962</v>
      </c>
      <c r="D278" t="s">
        <v>1014</v>
      </c>
      <c r="E278">
        <v>1</v>
      </c>
      <c r="F278">
        <v>15</v>
      </c>
      <c r="G278">
        <v>5.04</v>
      </c>
      <c r="H278" t="s">
        <v>1179</v>
      </c>
      <c r="I278" t="s">
        <v>1378</v>
      </c>
      <c r="J278" t="s">
        <v>1414</v>
      </c>
      <c r="K278" t="s">
        <v>1423</v>
      </c>
    </row>
    <row r="279" spans="1:11" x14ac:dyDescent="0.25">
      <c r="A279" t="s">
        <v>1705</v>
      </c>
      <c r="B279" s="2">
        <v>45385</v>
      </c>
      <c r="C279" t="s">
        <v>323</v>
      </c>
      <c r="D279" t="s">
        <v>1012</v>
      </c>
      <c r="E279">
        <v>9</v>
      </c>
      <c r="F279">
        <v>40</v>
      </c>
      <c r="G279">
        <v>12.88</v>
      </c>
      <c r="H279" t="s">
        <v>1047</v>
      </c>
      <c r="I279" t="s">
        <v>1246</v>
      </c>
      <c r="J279" t="s">
        <v>1416</v>
      </c>
      <c r="K279" t="s">
        <v>1422</v>
      </c>
    </row>
    <row r="280" spans="1:11" x14ac:dyDescent="0.25">
      <c r="A280" t="s">
        <v>1706</v>
      </c>
      <c r="B280" s="2">
        <v>45385</v>
      </c>
      <c r="C280" t="s">
        <v>487</v>
      </c>
      <c r="D280" t="s">
        <v>1014</v>
      </c>
      <c r="E280">
        <v>2</v>
      </c>
      <c r="F280">
        <v>15</v>
      </c>
      <c r="G280">
        <v>5.45</v>
      </c>
      <c r="H280" t="s">
        <v>1072</v>
      </c>
      <c r="I280" t="s">
        <v>1271</v>
      </c>
      <c r="J280" t="s">
        <v>1416</v>
      </c>
      <c r="K280" t="s">
        <v>1420</v>
      </c>
    </row>
    <row r="281" spans="1:11" x14ac:dyDescent="0.25">
      <c r="A281" t="s">
        <v>1707</v>
      </c>
      <c r="B281" s="2">
        <v>45385</v>
      </c>
      <c r="C281" t="s">
        <v>821</v>
      </c>
      <c r="D281" t="s">
        <v>1011</v>
      </c>
      <c r="E281">
        <v>5</v>
      </c>
      <c r="F281">
        <v>12</v>
      </c>
      <c r="G281">
        <v>3.06</v>
      </c>
      <c r="H281" t="s">
        <v>1114</v>
      </c>
      <c r="I281" t="s">
        <v>1313</v>
      </c>
      <c r="J281" t="s">
        <v>1414</v>
      </c>
      <c r="K281" t="s">
        <v>1423</v>
      </c>
    </row>
    <row r="282" spans="1:11" x14ac:dyDescent="0.25">
      <c r="A282" t="s">
        <v>1708</v>
      </c>
      <c r="B282" s="2">
        <v>45386</v>
      </c>
      <c r="C282" t="s">
        <v>122</v>
      </c>
      <c r="D282" t="s">
        <v>1015</v>
      </c>
      <c r="E282">
        <v>9</v>
      </c>
      <c r="F282">
        <v>10</v>
      </c>
      <c r="G282">
        <v>2.23</v>
      </c>
      <c r="H282" t="s">
        <v>1099</v>
      </c>
      <c r="I282" t="s">
        <v>1298</v>
      </c>
      <c r="J282" t="s">
        <v>1416</v>
      </c>
      <c r="K282" t="s">
        <v>1423</v>
      </c>
    </row>
    <row r="283" spans="1:11" x14ac:dyDescent="0.25">
      <c r="A283" t="s">
        <v>1709</v>
      </c>
      <c r="B283" s="2">
        <v>45386</v>
      </c>
      <c r="C283" t="s">
        <v>343</v>
      </c>
      <c r="D283" t="s">
        <v>1013</v>
      </c>
      <c r="E283">
        <v>3</v>
      </c>
      <c r="F283">
        <v>25</v>
      </c>
      <c r="G283">
        <v>8.42</v>
      </c>
      <c r="H283" t="s">
        <v>1176</v>
      </c>
      <c r="I283" t="s">
        <v>1375</v>
      </c>
      <c r="J283" t="s">
        <v>1414</v>
      </c>
      <c r="K283" t="s">
        <v>1420</v>
      </c>
    </row>
    <row r="284" spans="1:11" x14ac:dyDescent="0.25">
      <c r="A284" t="s">
        <v>1710</v>
      </c>
      <c r="B284" s="2">
        <v>45386</v>
      </c>
      <c r="C284" t="s">
        <v>474</v>
      </c>
      <c r="D284" t="s">
        <v>1012</v>
      </c>
      <c r="E284">
        <v>10</v>
      </c>
      <c r="F284">
        <v>40</v>
      </c>
      <c r="G284">
        <v>12.79</v>
      </c>
      <c r="H284" t="s">
        <v>1198</v>
      </c>
      <c r="I284" t="s">
        <v>1397</v>
      </c>
      <c r="J284" t="s">
        <v>1415</v>
      </c>
      <c r="K284" t="s">
        <v>1426</v>
      </c>
    </row>
    <row r="285" spans="1:11" x14ac:dyDescent="0.25">
      <c r="A285" t="s">
        <v>1711</v>
      </c>
      <c r="B285" s="2">
        <v>45386</v>
      </c>
      <c r="C285" t="s">
        <v>841</v>
      </c>
      <c r="D285" t="s">
        <v>1015</v>
      </c>
      <c r="E285">
        <v>8</v>
      </c>
      <c r="F285">
        <v>10</v>
      </c>
      <c r="G285">
        <v>2.65</v>
      </c>
      <c r="H285" t="s">
        <v>1038</v>
      </c>
      <c r="I285" t="s">
        <v>1237</v>
      </c>
      <c r="J285" t="s">
        <v>1414</v>
      </c>
      <c r="K285" t="s">
        <v>1425</v>
      </c>
    </row>
    <row r="286" spans="1:11" x14ac:dyDescent="0.25">
      <c r="A286" t="s">
        <v>1712</v>
      </c>
      <c r="B286" s="2">
        <v>45387</v>
      </c>
      <c r="C286" t="s">
        <v>924</v>
      </c>
      <c r="D286" t="s">
        <v>1012</v>
      </c>
      <c r="E286">
        <v>5</v>
      </c>
      <c r="F286">
        <v>40</v>
      </c>
      <c r="G286">
        <v>8.31</v>
      </c>
      <c r="H286" t="s">
        <v>1151</v>
      </c>
      <c r="I286" t="s">
        <v>1350</v>
      </c>
      <c r="J286" t="s">
        <v>1416</v>
      </c>
      <c r="K286" t="s">
        <v>1423</v>
      </c>
    </row>
    <row r="287" spans="1:11" x14ac:dyDescent="0.25">
      <c r="A287" t="s">
        <v>1713</v>
      </c>
      <c r="B287" s="2">
        <v>45388</v>
      </c>
      <c r="C287" t="s">
        <v>22</v>
      </c>
      <c r="D287" t="s">
        <v>1012</v>
      </c>
      <c r="E287">
        <v>8</v>
      </c>
      <c r="F287">
        <v>40</v>
      </c>
      <c r="G287">
        <v>10.88</v>
      </c>
      <c r="H287" t="s">
        <v>1026</v>
      </c>
      <c r="I287" t="s">
        <v>1225</v>
      </c>
      <c r="J287" t="s">
        <v>1416</v>
      </c>
      <c r="K287" t="s">
        <v>1426</v>
      </c>
    </row>
    <row r="288" spans="1:11" x14ac:dyDescent="0.25">
      <c r="A288" t="s">
        <v>1714</v>
      </c>
      <c r="B288" s="2">
        <v>45388</v>
      </c>
      <c r="C288" t="s">
        <v>736</v>
      </c>
      <c r="D288" t="s">
        <v>1011</v>
      </c>
      <c r="E288">
        <v>6</v>
      </c>
      <c r="F288">
        <v>12</v>
      </c>
      <c r="G288">
        <v>4.78</v>
      </c>
      <c r="H288" t="s">
        <v>1111</v>
      </c>
      <c r="I288" t="s">
        <v>1310</v>
      </c>
      <c r="J288" t="s">
        <v>1416</v>
      </c>
      <c r="K288" t="s">
        <v>1427</v>
      </c>
    </row>
    <row r="289" spans="1:11" x14ac:dyDescent="0.25">
      <c r="A289" t="s">
        <v>1715</v>
      </c>
      <c r="B289" s="2">
        <v>45388</v>
      </c>
      <c r="C289" t="s">
        <v>997</v>
      </c>
      <c r="D289" t="s">
        <v>1013</v>
      </c>
      <c r="E289">
        <v>1</v>
      </c>
      <c r="F289">
        <v>25</v>
      </c>
      <c r="G289">
        <v>9.26</v>
      </c>
      <c r="H289" t="s">
        <v>1151</v>
      </c>
      <c r="I289" t="s">
        <v>1350</v>
      </c>
      <c r="J289" t="s">
        <v>1414</v>
      </c>
      <c r="K289" t="s">
        <v>1427</v>
      </c>
    </row>
    <row r="290" spans="1:11" x14ac:dyDescent="0.25">
      <c r="A290" t="s">
        <v>1716</v>
      </c>
      <c r="B290" s="2">
        <v>45389</v>
      </c>
      <c r="C290" t="s">
        <v>102</v>
      </c>
      <c r="D290" t="s">
        <v>1013</v>
      </c>
      <c r="E290">
        <v>9</v>
      </c>
      <c r="F290">
        <v>25</v>
      </c>
      <c r="G290">
        <v>8.39</v>
      </c>
      <c r="H290" t="s">
        <v>1086</v>
      </c>
      <c r="I290" t="s">
        <v>1285</v>
      </c>
      <c r="J290" t="s">
        <v>1416</v>
      </c>
      <c r="K290" t="s">
        <v>1420</v>
      </c>
    </row>
    <row r="291" spans="1:11" x14ac:dyDescent="0.25">
      <c r="A291" t="s">
        <v>1717</v>
      </c>
      <c r="B291" s="2">
        <v>45389</v>
      </c>
      <c r="C291" t="s">
        <v>256</v>
      </c>
      <c r="D291" t="s">
        <v>1013</v>
      </c>
      <c r="E291">
        <v>4</v>
      </c>
      <c r="F291">
        <v>25</v>
      </c>
      <c r="G291">
        <v>6.45</v>
      </c>
      <c r="H291" t="s">
        <v>1103</v>
      </c>
      <c r="I291" t="s">
        <v>1302</v>
      </c>
      <c r="J291" t="s">
        <v>1414</v>
      </c>
      <c r="K291" t="s">
        <v>1421</v>
      </c>
    </row>
    <row r="292" spans="1:11" x14ac:dyDescent="0.25">
      <c r="A292" t="s">
        <v>1718</v>
      </c>
      <c r="B292" s="2">
        <v>45389</v>
      </c>
      <c r="C292" t="s">
        <v>871</v>
      </c>
      <c r="D292" t="s">
        <v>1013</v>
      </c>
      <c r="E292">
        <v>4</v>
      </c>
      <c r="F292">
        <v>25</v>
      </c>
      <c r="G292">
        <v>8.35</v>
      </c>
      <c r="H292" t="s">
        <v>1126</v>
      </c>
      <c r="I292" t="s">
        <v>1325</v>
      </c>
      <c r="J292" t="s">
        <v>1414</v>
      </c>
      <c r="K292" t="s">
        <v>1425</v>
      </c>
    </row>
    <row r="293" spans="1:11" x14ac:dyDescent="0.25">
      <c r="A293" t="s">
        <v>1719</v>
      </c>
      <c r="B293" s="2">
        <v>45390</v>
      </c>
      <c r="C293" t="s">
        <v>162</v>
      </c>
      <c r="D293" t="s">
        <v>1014</v>
      </c>
      <c r="E293">
        <v>7</v>
      </c>
      <c r="F293">
        <v>15</v>
      </c>
      <c r="G293">
        <v>5.75</v>
      </c>
      <c r="H293" t="s">
        <v>1026</v>
      </c>
      <c r="I293" t="s">
        <v>1225</v>
      </c>
      <c r="J293" t="s">
        <v>1416</v>
      </c>
      <c r="K293" t="s">
        <v>1425</v>
      </c>
    </row>
    <row r="294" spans="1:11" x14ac:dyDescent="0.25">
      <c r="A294" t="s">
        <v>1720</v>
      </c>
      <c r="B294" s="2">
        <v>45390</v>
      </c>
      <c r="C294" t="s">
        <v>350</v>
      </c>
      <c r="D294" t="s">
        <v>1011</v>
      </c>
      <c r="E294">
        <v>7</v>
      </c>
      <c r="F294">
        <v>12</v>
      </c>
      <c r="G294">
        <v>3.53</v>
      </c>
      <c r="H294" t="s">
        <v>1136</v>
      </c>
      <c r="I294" t="s">
        <v>1335</v>
      </c>
      <c r="J294" t="s">
        <v>1415</v>
      </c>
      <c r="K294" t="s">
        <v>1425</v>
      </c>
    </row>
    <row r="295" spans="1:11" x14ac:dyDescent="0.25">
      <c r="A295" t="s">
        <v>1721</v>
      </c>
      <c r="B295" s="2">
        <v>45390</v>
      </c>
      <c r="C295" t="s">
        <v>541</v>
      </c>
      <c r="D295" t="s">
        <v>1013</v>
      </c>
      <c r="E295">
        <v>9</v>
      </c>
      <c r="F295">
        <v>25</v>
      </c>
      <c r="G295">
        <v>5.36</v>
      </c>
      <c r="H295" t="s">
        <v>1077</v>
      </c>
      <c r="I295" t="s">
        <v>1276</v>
      </c>
      <c r="J295" t="s">
        <v>1414</v>
      </c>
      <c r="K295" t="s">
        <v>1419</v>
      </c>
    </row>
    <row r="296" spans="1:11" x14ac:dyDescent="0.25">
      <c r="A296" t="s">
        <v>1722</v>
      </c>
      <c r="B296" s="2">
        <v>45390</v>
      </c>
      <c r="C296" t="s">
        <v>604</v>
      </c>
      <c r="D296" t="s">
        <v>1015</v>
      </c>
      <c r="E296">
        <v>8</v>
      </c>
      <c r="F296">
        <v>10</v>
      </c>
      <c r="G296">
        <v>3.52</v>
      </c>
      <c r="H296" t="s">
        <v>1157</v>
      </c>
      <c r="I296" t="s">
        <v>1356</v>
      </c>
      <c r="J296" t="s">
        <v>1414</v>
      </c>
      <c r="K296" t="s">
        <v>1426</v>
      </c>
    </row>
    <row r="297" spans="1:11" x14ac:dyDescent="0.25">
      <c r="A297" t="s">
        <v>1723</v>
      </c>
      <c r="B297" s="2">
        <v>45391</v>
      </c>
      <c r="C297" t="s">
        <v>221</v>
      </c>
      <c r="D297" t="s">
        <v>1015</v>
      </c>
      <c r="E297">
        <v>10</v>
      </c>
      <c r="F297">
        <v>10</v>
      </c>
      <c r="G297">
        <v>2.86</v>
      </c>
      <c r="H297" t="s">
        <v>1069</v>
      </c>
      <c r="I297" t="s">
        <v>1268</v>
      </c>
      <c r="J297" t="s">
        <v>1414</v>
      </c>
      <c r="K297" t="s">
        <v>1422</v>
      </c>
    </row>
    <row r="298" spans="1:11" x14ac:dyDescent="0.25">
      <c r="A298" t="s">
        <v>1724</v>
      </c>
      <c r="B298" s="2">
        <v>45391</v>
      </c>
      <c r="C298" t="s">
        <v>632</v>
      </c>
      <c r="D298" t="s">
        <v>1015</v>
      </c>
      <c r="E298">
        <v>3</v>
      </c>
      <c r="F298">
        <v>10</v>
      </c>
      <c r="G298">
        <v>2.5299999999999998</v>
      </c>
      <c r="H298" t="s">
        <v>1059</v>
      </c>
      <c r="I298" t="s">
        <v>1258</v>
      </c>
      <c r="J298" t="s">
        <v>1414</v>
      </c>
      <c r="K298" t="s">
        <v>1427</v>
      </c>
    </row>
    <row r="299" spans="1:11" x14ac:dyDescent="0.25">
      <c r="A299" t="s">
        <v>1725</v>
      </c>
      <c r="B299" s="2">
        <v>45391</v>
      </c>
      <c r="C299" t="s">
        <v>727</v>
      </c>
      <c r="D299" t="s">
        <v>1015</v>
      </c>
      <c r="E299">
        <v>2</v>
      </c>
      <c r="F299">
        <v>10</v>
      </c>
      <c r="G299">
        <v>3.58</v>
      </c>
      <c r="H299" t="s">
        <v>1177</v>
      </c>
      <c r="I299" t="s">
        <v>1376</v>
      </c>
      <c r="J299" t="s">
        <v>1416</v>
      </c>
      <c r="K299" t="s">
        <v>1421</v>
      </c>
    </row>
    <row r="300" spans="1:11" x14ac:dyDescent="0.25">
      <c r="A300" t="s">
        <v>1726</v>
      </c>
      <c r="B300" s="2">
        <v>45392</v>
      </c>
      <c r="C300" t="s">
        <v>481</v>
      </c>
      <c r="D300" t="s">
        <v>1014</v>
      </c>
      <c r="E300">
        <v>10</v>
      </c>
      <c r="F300">
        <v>15</v>
      </c>
      <c r="G300">
        <v>5.89</v>
      </c>
      <c r="H300" t="s">
        <v>1194</v>
      </c>
      <c r="I300" t="s">
        <v>1393</v>
      </c>
      <c r="J300" t="s">
        <v>1416</v>
      </c>
      <c r="K300" t="s">
        <v>1419</v>
      </c>
    </row>
    <row r="301" spans="1:11" x14ac:dyDescent="0.25">
      <c r="A301" t="s">
        <v>1727</v>
      </c>
      <c r="B301" s="2">
        <v>45392</v>
      </c>
      <c r="C301" t="s">
        <v>515</v>
      </c>
      <c r="D301" t="s">
        <v>1013</v>
      </c>
      <c r="E301">
        <v>3</v>
      </c>
      <c r="F301">
        <v>25</v>
      </c>
      <c r="G301">
        <v>5.6</v>
      </c>
      <c r="H301" t="s">
        <v>1204</v>
      </c>
      <c r="I301" t="s">
        <v>1403</v>
      </c>
      <c r="J301" t="s">
        <v>1414</v>
      </c>
      <c r="K301" t="s">
        <v>1426</v>
      </c>
    </row>
    <row r="302" spans="1:11" x14ac:dyDescent="0.25">
      <c r="A302" t="s">
        <v>1728</v>
      </c>
      <c r="B302" s="2">
        <v>45392</v>
      </c>
      <c r="C302" t="s">
        <v>773</v>
      </c>
      <c r="D302" t="s">
        <v>1015</v>
      </c>
      <c r="E302">
        <v>4</v>
      </c>
      <c r="F302">
        <v>10</v>
      </c>
      <c r="G302">
        <v>2.4300000000000002</v>
      </c>
      <c r="H302" t="s">
        <v>1075</v>
      </c>
      <c r="I302" t="s">
        <v>1274</v>
      </c>
      <c r="J302" t="s">
        <v>1414</v>
      </c>
      <c r="K302" t="s">
        <v>1419</v>
      </c>
    </row>
    <row r="303" spans="1:11" x14ac:dyDescent="0.25">
      <c r="A303" t="s">
        <v>1729</v>
      </c>
      <c r="B303" s="2">
        <v>45393</v>
      </c>
      <c r="C303" t="s">
        <v>374</v>
      </c>
      <c r="D303" t="s">
        <v>1012</v>
      </c>
      <c r="E303">
        <v>3</v>
      </c>
      <c r="F303">
        <v>40</v>
      </c>
      <c r="G303">
        <v>15.83</v>
      </c>
      <c r="H303" t="s">
        <v>1101</v>
      </c>
      <c r="I303" t="s">
        <v>1300</v>
      </c>
      <c r="J303" t="s">
        <v>1414</v>
      </c>
      <c r="K303" t="s">
        <v>1426</v>
      </c>
    </row>
    <row r="304" spans="1:11" x14ac:dyDescent="0.25">
      <c r="A304" t="s">
        <v>1730</v>
      </c>
      <c r="B304" s="2">
        <v>45394</v>
      </c>
      <c r="C304" t="s">
        <v>107</v>
      </c>
      <c r="D304" t="s">
        <v>1012</v>
      </c>
      <c r="E304">
        <v>4</v>
      </c>
      <c r="F304">
        <v>40</v>
      </c>
      <c r="G304">
        <v>8.26</v>
      </c>
      <c r="H304" t="s">
        <v>1089</v>
      </c>
      <c r="I304" t="s">
        <v>1288</v>
      </c>
      <c r="J304" t="s">
        <v>1415</v>
      </c>
      <c r="K304" t="s">
        <v>1424</v>
      </c>
    </row>
    <row r="305" spans="1:11" x14ac:dyDescent="0.25">
      <c r="A305" t="s">
        <v>1731</v>
      </c>
      <c r="B305" s="2">
        <v>45394</v>
      </c>
      <c r="C305" t="s">
        <v>252</v>
      </c>
      <c r="D305" t="s">
        <v>1012</v>
      </c>
      <c r="E305">
        <v>2</v>
      </c>
      <c r="F305">
        <v>40</v>
      </c>
      <c r="G305">
        <v>8.09</v>
      </c>
      <c r="H305" t="s">
        <v>1075</v>
      </c>
      <c r="I305" t="s">
        <v>1274</v>
      </c>
      <c r="J305" t="s">
        <v>1415</v>
      </c>
      <c r="K305" t="s">
        <v>1420</v>
      </c>
    </row>
    <row r="306" spans="1:11" x14ac:dyDescent="0.25">
      <c r="A306" t="s">
        <v>1732</v>
      </c>
      <c r="B306" s="2">
        <v>45394</v>
      </c>
      <c r="C306" t="s">
        <v>582</v>
      </c>
      <c r="D306" t="s">
        <v>1012</v>
      </c>
      <c r="E306">
        <v>10</v>
      </c>
      <c r="F306">
        <v>40</v>
      </c>
      <c r="G306">
        <v>8.0399999999999991</v>
      </c>
      <c r="H306" t="s">
        <v>1051</v>
      </c>
      <c r="I306" t="s">
        <v>1250</v>
      </c>
      <c r="J306" t="s">
        <v>1414</v>
      </c>
      <c r="K306" t="s">
        <v>1420</v>
      </c>
    </row>
    <row r="307" spans="1:11" x14ac:dyDescent="0.25">
      <c r="A307" t="s">
        <v>1733</v>
      </c>
      <c r="B307" s="2">
        <v>45395</v>
      </c>
      <c r="C307" t="s">
        <v>14</v>
      </c>
      <c r="D307" t="s">
        <v>1013</v>
      </c>
      <c r="E307">
        <v>8</v>
      </c>
      <c r="F307">
        <v>25</v>
      </c>
      <c r="G307">
        <v>5.87</v>
      </c>
      <c r="H307" t="s">
        <v>1019</v>
      </c>
      <c r="I307" t="s">
        <v>1218</v>
      </c>
      <c r="J307" t="s">
        <v>1414</v>
      </c>
      <c r="K307" t="s">
        <v>1420</v>
      </c>
    </row>
    <row r="308" spans="1:11" x14ac:dyDescent="0.25">
      <c r="A308" t="s">
        <v>1734</v>
      </c>
      <c r="B308" s="2">
        <v>45395</v>
      </c>
      <c r="C308" t="s">
        <v>526</v>
      </c>
      <c r="D308" t="s">
        <v>1014</v>
      </c>
      <c r="E308">
        <v>1</v>
      </c>
      <c r="F308">
        <v>15</v>
      </c>
      <c r="G308">
        <v>5.9</v>
      </c>
      <c r="H308" t="s">
        <v>1157</v>
      </c>
      <c r="I308" t="s">
        <v>1356</v>
      </c>
      <c r="J308" t="s">
        <v>1414</v>
      </c>
      <c r="K308" t="s">
        <v>1425</v>
      </c>
    </row>
    <row r="309" spans="1:11" x14ac:dyDescent="0.25">
      <c r="A309" t="s">
        <v>1735</v>
      </c>
      <c r="B309" s="2">
        <v>45395</v>
      </c>
      <c r="C309" t="s">
        <v>581</v>
      </c>
      <c r="D309" t="s">
        <v>1012</v>
      </c>
      <c r="E309">
        <v>3</v>
      </c>
      <c r="F309">
        <v>40</v>
      </c>
      <c r="G309">
        <v>14.85</v>
      </c>
      <c r="H309" t="s">
        <v>1094</v>
      </c>
      <c r="I309" t="s">
        <v>1293</v>
      </c>
      <c r="J309" t="s">
        <v>1415</v>
      </c>
      <c r="K309" t="s">
        <v>1424</v>
      </c>
    </row>
    <row r="310" spans="1:11" x14ac:dyDescent="0.25">
      <c r="A310" t="s">
        <v>1736</v>
      </c>
      <c r="B310" s="2">
        <v>45396</v>
      </c>
      <c r="C310" t="s">
        <v>413</v>
      </c>
      <c r="D310" t="s">
        <v>1012</v>
      </c>
      <c r="E310">
        <v>4</v>
      </c>
      <c r="F310">
        <v>40</v>
      </c>
      <c r="G310">
        <v>15.39</v>
      </c>
      <c r="H310" t="s">
        <v>1071</v>
      </c>
      <c r="I310" t="s">
        <v>1270</v>
      </c>
      <c r="J310" t="s">
        <v>1416</v>
      </c>
      <c r="K310" t="s">
        <v>1425</v>
      </c>
    </row>
    <row r="311" spans="1:11" x14ac:dyDescent="0.25">
      <c r="A311" t="s">
        <v>1737</v>
      </c>
      <c r="B311" s="2">
        <v>45396</v>
      </c>
      <c r="C311" t="s">
        <v>862</v>
      </c>
      <c r="D311" t="s">
        <v>1011</v>
      </c>
      <c r="E311">
        <v>2</v>
      </c>
      <c r="F311">
        <v>12</v>
      </c>
      <c r="G311">
        <v>3.33</v>
      </c>
      <c r="H311" t="s">
        <v>1113</v>
      </c>
      <c r="I311" t="s">
        <v>1312</v>
      </c>
      <c r="J311" t="s">
        <v>1414</v>
      </c>
      <c r="K311" t="s">
        <v>1420</v>
      </c>
    </row>
    <row r="312" spans="1:11" x14ac:dyDescent="0.25">
      <c r="A312" t="s">
        <v>1738</v>
      </c>
      <c r="B312" s="2">
        <v>45396</v>
      </c>
      <c r="C312" t="s">
        <v>927</v>
      </c>
      <c r="D312" t="s">
        <v>1012</v>
      </c>
      <c r="E312">
        <v>8</v>
      </c>
      <c r="F312">
        <v>40</v>
      </c>
      <c r="G312">
        <v>8.81</v>
      </c>
      <c r="H312" t="s">
        <v>1193</v>
      </c>
      <c r="I312" t="s">
        <v>1392</v>
      </c>
      <c r="J312" t="s">
        <v>1414</v>
      </c>
      <c r="K312" t="s">
        <v>1421</v>
      </c>
    </row>
    <row r="313" spans="1:11" x14ac:dyDescent="0.25">
      <c r="A313" t="s">
        <v>1739</v>
      </c>
      <c r="B313" s="2">
        <v>45397</v>
      </c>
      <c r="C313" t="s">
        <v>167</v>
      </c>
      <c r="D313" t="s">
        <v>1012</v>
      </c>
      <c r="E313">
        <v>5</v>
      </c>
      <c r="F313">
        <v>40</v>
      </c>
      <c r="G313">
        <v>15.08</v>
      </c>
      <c r="H313" t="s">
        <v>1079</v>
      </c>
      <c r="I313" t="s">
        <v>1278</v>
      </c>
      <c r="J313" t="s">
        <v>1416</v>
      </c>
      <c r="K313" t="s">
        <v>1418</v>
      </c>
    </row>
    <row r="314" spans="1:11" x14ac:dyDescent="0.25">
      <c r="A314" t="s">
        <v>1740</v>
      </c>
      <c r="B314" s="2">
        <v>45397</v>
      </c>
      <c r="C314" t="s">
        <v>409</v>
      </c>
      <c r="D314" t="s">
        <v>1012</v>
      </c>
      <c r="E314">
        <v>8</v>
      </c>
      <c r="F314">
        <v>40</v>
      </c>
      <c r="G314">
        <v>11.5</v>
      </c>
      <c r="H314" t="s">
        <v>1103</v>
      </c>
      <c r="I314" t="s">
        <v>1302</v>
      </c>
      <c r="J314" t="s">
        <v>1415</v>
      </c>
      <c r="K314" t="s">
        <v>1426</v>
      </c>
    </row>
    <row r="315" spans="1:11" x14ac:dyDescent="0.25">
      <c r="A315" t="s">
        <v>1741</v>
      </c>
      <c r="B315" s="2">
        <v>45397</v>
      </c>
      <c r="C315" t="s">
        <v>1005</v>
      </c>
      <c r="D315" t="s">
        <v>1015</v>
      </c>
      <c r="E315">
        <v>9</v>
      </c>
      <c r="F315">
        <v>10</v>
      </c>
      <c r="G315">
        <v>2.65</v>
      </c>
      <c r="H315" t="s">
        <v>1034</v>
      </c>
      <c r="I315" t="s">
        <v>1233</v>
      </c>
      <c r="J315" t="s">
        <v>1414</v>
      </c>
      <c r="K315" t="s">
        <v>1425</v>
      </c>
    </row>
    <row r="316" spans="1:11" x14ac:dyDescent="0.25">
      <c r="A316" t="s">
        <v>1742</v>
      </c>
      <c r="B316" s="2">
        <v>45398</v>
      </c>
      <c r="C316" t="s">
        <v>424</v>
      </c>
      <c r="D316" t="s">
        <v>1015</v>
      </c>
      <c r="E316">
        <v>2</v>
      </c>
      <c r="F316">
        <v>10</v>
      </c>
      <c r="G316">
        <v>3.22</v>
      </c>
      <c r="H316" t="s">
        <v>1163</v>
      </c>
      <c r="I316" t="s">
        <v>1362</v>
      </c>
      <c r="J316" t="s">
        <v>1414</v>
      </c>
      <c r="K316" t="s">
        <v>1421</v>
      </c>
    </row>
    <row r="317" spans="1:11" x14ac:dyDescent="0.25">
      <c r="A317" t="s">
        <v>1743</v>
      </c>
      <c r="B317" s="2">
        <v>45398</v>
      </c>
      <c r="C317" t="s">
        <v>989</v>
      </c>
      <c r="D317" t="s">
        <v>1013</v>
      </c>
      <c r="E317">
        <v>6</v>
      </c>
      <c r="F317">
        <v>25</v>
      </c>
      <c r="G317">
        <v>7.37</v>
      </c>
      <c r="H317" t="s">
        <v>1166</v>
      </c>
      <c r="I317" t="s">
        <v>1365</v>
      </c>
      <c r="J317" t="s">
        <v>1416</v>
      </c>
      <c r="K317" t="s">
        <v>1420</v>
      </c>
    </row>
    <row r="318" spans="1:11" x14ac:dyDescent="0.25">
      <c r="A318" t="s">
        <v>1744</v>
      </c>
      <c r="B318" s="2">
        <v>45399</v>
      </c>
      <c r="C318" t="s">
        <v>37</v>
      </c>
      <c r="D318" t="s">
        <v>1011</v>
      </c>
      <c r="E318">
        <v>5</v>
      </c>
      <c r="F318">
        <v>12</v>
      </c>
      <c r="G318">
        <v>2.5499999999999998</v>
      </c>
      <c r="H318" t="s">
        <v>1039</v>
      </c>
      <c r="I318" t="s">
        <v>1238</v>
      </c>
      <c r="J318" t="s">
        <v>1416</v>
      </c>
      <c r="K318" t="s">
        <v>1418</v>
      </c>
    </row>
    <row r="319" spans="1:11" x14ac:dyDescent="0.25">
      <c r="A319" t="s">
        <v>1745</v>
      </c>
      <c r="B319" s="2">
        <v>45399</v>
      </c>
      <c r="C319" t="s">
        <v>194</v>
      </c>
      <c r="D319" t="s">
        <v>1013</v>
      </c>
      <c r="E319">
        <v>4</v>
      </c>
      <c r="G319">
        <v>6.2</v>
      </c>
      <c r="H319" t="s">
        <v>1109</v>
      </c>
      <c r="I319" t="s">
        <v>1308</v>
      </c>
      <c r="J319" t="s">
        <v>1416</v>
      </c>
      <c r="K319" t="s">
        <v>1420</v>
      </c>
    </row>
    <row r="320" spans="1:11" x14ac:dyDescent="0.25">
      <c r="A320" t="s">
        <v>1746</v>
      </c>
      <c r="B320" s="2">
        <v>45399</v>
      </c>
      <c r="C320" t="s">
        <v>894</v>
      </c>
      <c r="D320" t="s">
        <v>1013</v>
      </c>
      <c r="E320">
        <v>4</v>
      </c>
      <c r="F320">
        <v>25</v>
      </c>
      <c r="G320">
        <v>7.53</v>
      </c>
      <c r="H320" t="s">
        <v>1137</v>
      </c>
      <c r="I320" t="s">
        <v>1336</v>
      </c>
      <c r="J320" t="s">
        <v>1414</v>
      </c>
      <c r="K320" t="s">
        <v>1419</v>
      </c>
    </row>
    <row r="321" spans="1:11" x14ac:dyDescent="0.25">
      <c r="A321" t="s">
        <v>1747</v>
      </c>
      <c r="B321" s="2">
        <v>45400</v>
      </c>
      <c r="C321" t="s">
        <v>230</v>
      </c>
      <c r="D321" t="s">
        <v>1013</v>
      </c>
      <c r="E321">
        <v>1</v>
      </c>
      <c r="F321">
        <v>25</v>
      </c>
      <c r="G321">
        <v>7.07</v>
      </c>
      <c r="H321" t="s">
        <v>1102</v>
      </c>
      <c r="I321" t="s">
        <v>1301</v>
      </c>
      <c r="J321" t="s">
        <v>1415</v>
      </c>
      <c r="K321" t="s">
        <v>1421</v>
      </c>
    </row>
    <row r="322" spans="1:11" x14ac:dyDescent="0.25">
      <c r="A322" t="s">
        <v>1748</v>
      </c>
      <c r="B322" s="2">
        <v>45401</v>
      </c>
      <c r="C322" t="s">
        <v>348</v>
      </c>
      <c r="D322" t="s">
        <v>1015</v>
      </c>
      <c r="E322">
        <v>7</v>
      </c>
      <c r="F322">
        <v>10</v>
      </c>
      <c r="G322">
        <v>3.53</v>
      </c>
      <c r="H322" t="s">
        <v>1177</v>
      </c>
      <c r="I322" t="s">
        <v>1376</v>
      </c>
      <c r="J322" t="s">
        <v>1414</v>
      </c>
      <c r="K322" t="s">
        <v>1421</v>
      </c>
    </row>
    <row r="323" spans="1:11" x14ac:dyDescent="0.25">
      <c r="A323" t="s">
        <v>1749</v>
      </c>
      <c r="B323" s="2">
        <v>45401</v>
      </c>
      <c r="C323" t="s">
        <v>580</v>
      </c>
      <c r="D323" t="s">
        <v>1012</v>
      </c>
      <c r="E323">
        <v>7</v>
      </c>
      <c r="F323">
        <v>40</v>
      </c>
      <c r="G323">
        <v>8.4</v>
      </c>
      <c r="H323" t="s">
        <v>1046</v>
      </c>
      <c r="I323" t="s">
        <v>1245</v>
      </c>
      <c r="J323" t="s">
        <v>1414</v>
      </c>
      <c r="K323" t="s">
        <v>1418</v>
      </c>
    </row>
    <row r="324" spans="1:11" x14ac:dyDescent="0.25">
      <c r="A324" t="s">
        <v>1750</v>
      </c>
      <c r="B324" s="2">
        <v>45401</v>
      </c>
      <c r="C324" t="s">
        <v>929</v>
      </c>
      <c r="D324" t="s">
        <v>1011</v>
      </c>
      <c r="E324">
        <v>7</v>
      </c>
      <c r="F324">
        <v>12</v>
      </c>
      <c r="G324">
        <v>4.59</v>
      </c>
      <c r="H324" t="s">
        <v>1170</v>
      </c>
      <c r="I324" t="s">
        <v>1369</v>
      </c>
      <c r="J324" t="s">
        <v>1414</v>
      </c>
      <c r="K324" t="s">
        <v>1427</v>
      </c>
    </row>
    <row r="325" spans="1:11" x14ac:dyDescent="0.25">
      <c r="A325" t="s">
        <v>1751</v>
      </c>
      <c r="B325" s="2">
        <v>45402</v>
      </c>
      <c r="C325" t="s">
        <v>69</v>
      </c>
      <c r="D325" t="s">
        <v>1011</v>
      </c>
      <c r="E325">
        <v>9</v>
      </c>
      <c r="F325">
        <v>12</v>
      </c>
      <c r="G325">
        <v>3.18</v>
      </c>
      <c r="H325" t="s">
        <v>1054</v>
      </c>
      <c r="I325" t="s">
        <v>1253</v>
      </c>
      <c r="J325" t="s">
        <v>1414</v>
      </c>
      <c r="K325" t="s">
        <v>1422</v>
      </c>
    </row>
    <row r="326" spans="1:11" x14ac:dyDescent="0.25">
      <c r="A326" t="s">
        <v>1752</v>
      </c>
      <c r="B326" s="2">
        <v>45402</v>
      </c>
      <c r="C326" t="s">
        <v>236</v>
      </c>
      <c r="D326" t="s">
        <v>1015</v>
      </c>
      <c r="E326">
        <v>8</v>
      </c>
      <c r="G326">
        <v>2.5499999999999998</v>
      </c>
      <c r="H326" t="s">
        <v>1122</v>
      </c>
      <c r="I326" t="s">
        <v>1321</v>
      </c>
      <c r="J326" t="s">
        <v>1416</v>
      </c>
      <c r="K326" t="s">
        <v>1424</v>
      </c>
    </row>
    <row r="327" spans="1:11" x14ac:dyDescent="0.25">
      <c r="A327" t="s">
        <v>1753</v>
      </c>
      <c r="B327" s="2">
        <v>45402</v>
      </c>
      <c r="C327" t="s">
        <v>875</v>
      </c>
      <c r="D327" t="s">
        <v>1013</v>
      </c>
      <c r="E327">
        <v>1</v>
      </c>
      <c r="F327">
        <v>25</v>
      </c>
      <c r="G327">
        <v>6.87</v>
      </c>
      <c r="H327" t="s">
        <v>1160</v>
      </c>
      <c r="I327" t="s">
        <v>1359</v>
      </c>
      <c r="J327" t="s">
        <v>1414</v>
      </c>
      <c r="K327" t="s">
        <v>1422</v>
      </c>
    </row>
    <row r="328" spans="1:11" x14ac:dyDescent="0.25">
      <c r="A328" t="s">
        <v>1754</v>
      </c>
      <c r="B328" s="2">
        <v>45403</v>
      </c>
      <c r="C328" t="s">
        <v>354</v>
      </c>
      <c r="D328" t="s">
        <v>1012</v>
      </c>
      <c r="E328">
        <v>2</v>
      </c>
      <c r="F328">
        <v>40</v>
      </c>
      <c r="G328">
        <v>14.17</v>
      </c>
      <c r="H328" t="s">
        <v>1135</v>
      </c>
      <c r="I328" t="s">
        <v>1334</v>
      </c>
      <c r="J328" t="s">
        <v>1414</v>
      </c>
      <c r="K328" t="s">
        <v>1420</v>
      </c>
    </row>
    <row r="329" spans="1:11" x14ac:dyDescent="0.25">
      <c r="A329" t="s">
        <v>1755</v>
      </c>
      <c r="B329" s="2">
        <v>45403</v>
      </c>
      <c r="C329" t="s">
        <v>501</v>
      </c>
      <c r="D329" t="s">
        <v>1013</v>
      </c>
      <c r="E329">
        <v>4</v>
      </c>
      <c r="F329">
        <v>25</v>
      </c>
      <c r="G329">
        <v>6.54</v>
      </c>
      <c r="H329" t="s">
        <v>1057</v>
      </c>
      <c r="I329" t="s">
        <v>1256</v>
      </c>
      <c r="J329" t="s">
        <v>1415</v>
      </c>
      <c r="K329" t="s">
        <v>1427</v>
      </c>
    </row>
    <row r="330" spans="1:11" x14ac:dyDescent="0.25">
      <c r="A330" t="s">
        <v>1756</v>
      </c>
      <c r="B330" s="2">
        <v>45403</v>
      </c>
      <c r="C330" t="s">
        <v>676</v>
      </c>
      <c r="D330" t="s">
        <v>1012</v>
      </c>
      <c r="E330">
        <v>9</v>
      </c>
      <c r="F330">
        <v>40</v>
      </c>
      <c r="G330">
        <v>13.64</v>
      </c>
      <c r="H330" t="s">
        <v>1075</v>
      </c>
      <c r="I330" t="s">
        <v>1274</v>
      </c>
      <c r="J330" t="s">
        <v>1414</v>
      </c>
      <c r="K330" t="s">
        <v>1419</v>
      </c>
    </row>
    <row r="331" spans="1:11" x14ac:dyDescent="0.25">
      <c r="A331" t="s">
        <v>1757</v>
      </c>
      <c r="B331" s="2">
        <v>45404</v>
      </c>
      <c r="C331" t="s">
        <v>42</v>
      </c>
      <c r="D331" t="s">
        <v>1013</v>
      </c>
      <c r="E331">
        <v>3</v>
      </c>
      <c r="F331">
        <v>25</v>
      </c>
      <c r="G331">
        <v>9.17</v>
      </c>
      <c r="H331" t="s">
        <v>1042</v>
      </c>
      <c r="I331" t="s">
        <v>1241</v>
      </c>
      <c r="J331" t="s">
        <v>1416</v>
      </c>
      <c r="K331" t="s">
        <v>1420</v>
      </c>
    </row>
    <row r="332" spans="1:11" x14ac:dyDescent="0.25">
      <c r="A332" t="s">
        <v>1758</v>
      </c>
      <c r="B332" s="2">
        <v>45404</v>
      </c>
      <c r="C332" t="s">
        <v>170</v>
      </c>
      <c r="D332" t="s">
        <v>1013</v>
      </c>
      <c r="E332">
        <v>9</v>
      </c>
      <c r="F332">
        <v>25</v>
      </c>
      <c r="G332">
        <v>7.13</v>
      </c>
      <c r="H332" t="s">
        <v>1076</v>
      </c>
      <c r="I332" t="s">
        <v>1275</v>
      </c>
      <c r="J332" t="s">
        <v>1414</v>
      </c>
      <c r="K332" t="s">
        <v>1421</v>
      </c>
    </row>
    <row r="333" spans="1:11" x14ac:dyDescent="0.25">
      <c r="A333" t="s">
        <v>1759</v>
      </c>
      <c r="B333" s="2">
        <v>45404</v>
      </c>
      <c r="C333" t="s">
        <v>179</v>
      </c>
      <c r="D333" t="s">
        <v>1014</v>
      </c>
      <c r="E333">
        <v>5</v>
      </c>
      <c r="F333">
        <v>15</v>
      </c>
      <c r="G333">
        <v>4.1100000000000003</v>
      </c>
      <c r="H333" t="s">
        <v>1125</v>
      </c>
      <c r="I333" t="s">
        <v>1324</v>
      </c>
      <c r="J333" t="s">
        <v>1414</v>
      </c>
      <c r="K333" t="s">
        <v>1422</v>
      </c>
    </row>
    <row r="334" spans="1:11" x14ac:dyDescent="0.25">
      <c r="A334" t="s">
        <v>1760</v>
      </c>
      <c r="B334" s="2">
        <v>45404</v>
      </c>
      <c r="C334" t="s">
        <v>868</v>
      </c>
      <c r="D334" t="s">
        <v>1013</v>
      </c>
      <c r="E334">
        <v>5</v>
      </c>
      <c r="F334">
        <v>25</v>
      </c>
      <c r="G334">
        <v>8.42</v>
      </c>
      <c r="H334" t="s">
        <v>1016</v>
      </c>
      <c r="I334" t="s">
        <v>1215</v>
      </c>
      <c r="J334" t="s">
        <v>1414</v>
      </c>
      <c r="K334" t="s">
        <v>1425</v>
      </c>
    </row>
    <row r="335" spans="1:11" x14ac:dyDescent="0.25">
      <c r="A335" t="s">
        <v>1761</v>
      </c>
      <c r="B335" s="2">
        <v>45405</v>
      </c>
      <c r="C335" t="s">
        <v>521</v>
      </c>
      <c r="D335" t="s">
        <v>1011</v>
      </c>
      <c r="E335">
        <v>5</v>
      </c>
      <c r="F335">
        <v>12</v>
      </c>
      <c r="G335">
        <v>3.23</v>
      </c>
      <c r="H335" t="s">
        <v>1205</v>
      </c>
      <c r="I335" t="s">
        <v>1404</v>
      </c>
      <c r="J335" t="s">
        <v>1414</v>
      </c>
      <c r="K335" t="s">
        <v>1420</v>
      </c>
    </row>
    <row r="336" spans="1:11" x14ac:dyDescent="0.25">
      <c r="A336" t="s">
        <v>1762</v>
      </c>
      <c r="B336" s="2">
        <v>45405</v>
      </c>
      <c r="C336" t="s">
        <v>940</v>
      </c>
      <c r="D336" t="s">
        <v>1011</v>
      </c>
      <c r="E336">
        <v>3</v>
      </c>
      <c r="F336">
        <v>12</v>
      </c>
      <c r="G336">
        <v>2.87</v>
      </c>
      <c r="H336" t="s">
        <v>1171</v>
      </c>
      <c r="I336" t="s">
        <v>1370</v>
      </c>
      <c r="J336" t="s">
        <v>1414</v>
      </c>
      <c r="K336" t="s">
        <v>1424</v>
      </c>
    </row>
    <row r="337" spans="1:11" x14ac:dyDescent="0.25">
      <c r="A337" t="s">
        <v>1763</v>
      </c>
      <c r="B337" s="2">
        <v>45405</v>
      </c>
      <c r="C337" t="s">
        <v>956</v>
      </c>
      <c r="D337" t="s">
        <v>1012</v>
      </c>
      <c r="E337">
        <v>9</v>
      </c>
      <c r="F337">
        <v>40</v>
      </c>
      <c r="G337">
        <v>12.44</v>
      </c>
      <c r="H337" t="s">
        <v>1197</v>
      </c>
      <c r="I337" t="s">
        <v>1396</v>
      </c>
      <c r="J337" t="s">
        <v>1414</v>
      </c>
      <c r="K337" t="s">
        <v>1424</v>
      </c>
    </row>
    <row r="338" spans="1:11" x14ac:dyDescent="0.25">
      <c r="A338" t="s">
        <v>1764</v>
      </c>
      <c r="B338" s="2">
        <v>45406</v>
      </c>
      <c r="C338" t="s">
        <v>191</v>
      </c>
      <c r="D338" t="s">
        <v>1011</v>
      </c>
      <c r="E338">
        <v>1</v>
      </c>
      <c r="F338">
        <v>12</v>
      </c>
      <c r="G338">
        <v>2.86</v>
      </c>
      <c r="H338" t="s">
        <v>1136</v>
      </c>
      <c r="I338" t="s">
        <v>1335</v>
      </c>
      <c r="J338" t="s">
        <v>1417</v>
      </c>
      <c r="K338" t="s">
        <v>1421</v>
      </c>
    </row>
    <row r="339" spans="1:11" x14ac:dyDescent="0.25">
      <c r="A339" t="s">
        <v>1765</v>
      </c>
      <c r="B339" s="2">
        <v>45407</v>
      </c>
      <c r="C339" t="s">
        <v>282</v>
      </c>
      <c r="D339" t="s">
        <v>1015</v>
      </c>
      <c r="E339">
        <v>2</v>
      </c>
      <c r="F339">
        <v>10</v>
      </c>
      <c r="G339">
        <v>3.23</v>
      </c>
      <c r="H339" t="s">
        <v>1144</v>
      </c>
      <c r="I339" t="s">
        <v>1343</v>
      </c>
      <c r="J339" t="s">
        <v>1416</v>
      </c>
      <c r="K339" t="s">
        <v>1427</v>
      </c>
    </row>
    <row r="340" spans="1:11" x14ac:dyDescent="0.25">
      <c r="A340" t="s">
        <v>1766</v>
      </c>
      <c r="B340" s="2">
        <v>45407</v>
      </c>
      <c r="C340" t="s">
        <v>985</v>
      </c>
      <c r="D340" t="s">
        <v>1012</v>
      </c>
      <c r="E340">
        <v>6</v>
      </c>
      <c r="F340">
        <v>40</v>
      </c>
      <c r="G340">
        <v>13.49</v>
      </c>
      <c r="H340" t="s">
        <v>1090</v>
      </c>
      <c r="I340" t="s">
        <v>1289</v>
      </c>
      <c r="J340" t="s">
        <v>1414</v>
      </c>
      <c r="K340" t="s">
        <v>1426</v>
      </c>
    </row>
    <row r="341" spans="1:11" x14ac:dyDescent="0.25">
      <c r="A341" t="s">
        <v>1767</v>
      </c>
      <c r="B341" s="2">
        <v>45408</v>
      </c>
      <c r="C341" t="s">
        <v>265</v>
      </c>
      <c r="D341" t="s">
        <v>1014</v>
      </c>
      <c r="E341">
        <v>8</v>
      </c>
      <c r="F341">
        <v>15</v>
      </c>
      <c r="G341">
        <v>3.88</v>
      </c>
      <c r="H341" t="s">
        <v>1041</v>
      </c>
      <c r="I341" t="s">
        <v>1240</v>
      </c>
      <c r="J341" t="s">
        <v>1416</v>
      </c>
      <c r="K341" t="s">
        <v>1427</v>
      </c>
    </row>
    <row r="342" spans="1:11" x14ac:dyDescent="0.25">
      <c r="A342" t="s">
        <v>1768</v>
      </c>
      <c r="B342" s="2">
        <v>45408</v>
      </c>
      <c r="C342" t="s">
        <v>677</v>
      </c>
      <c r="D342" t="s">
        <v>1013</v>
      </c>
      <c r="E342">
        <v>3</v>
      </c>
      <c r="F342">
        <v>25</v>
      </c>
      <c r="G342">
        <v>6.73</v>
      </c>
      <c r="H342" t="s">
        <v>1043</v>
      </c>
      <c r="I342" t="s">
        <v>1242</v>
      </c>
      <c r="J342" t="s">
        <v>1414</v>
      </c>
      <c r="K342" t="s">
        <v>1418</v>
      </c>
    </row>
    <row r="343" spans="1:11" x14ac:dyDescent="0.25">
      <c r="A343" t="s">
        <v>1769</v>
      </c>
      <c r="B343" s="2">
        <v>45408</v>
      </c>
      <c r="C343" t="s">
        <v>1006</v>
      </c>
      <c r="D343" t="s">
        <v>1011</v>
      </c>
      <c r="E343">
        <v>3</v>
      </c>
      <c r="F343">
        <v>12</v>
      </c>
      <c r="G343">
        <v>4.47</v>
      </c>
      <c r="H343" t="s">
        <v>1177</v>
      </c>
      <c r="I343" t="s">
        <v>1376</v>
      </c>
      <c r="J343" t="s">
        <v>1416</v>
      </c>
      <c r="K343" t="s">
        <v>1426</v>
      </c>
    </row>
    <row r="344" spans="1:11" x14ac:dyDescent="0.25">
      <c r="A344" t="s">
        <v>1770</v>
      </c>
      <c r="B344" s="2">
        <v>45409</v>
      </c>
      <c r="C344" t="s">
        <v>523</v>
      </c>
      <c r="D344" t="s">
        <v>1011</v>
      </c>
      <c r="E344">
        <v>6</v>
      </c>
      <c r="F344">
        <v>12</v>
      </c>
      <c r="G344">
        <v>3.76</v>
      </c>
      <c r="H344" t="s">
        <v>1087</v>
      </c>
      <c r="I344" t="s">
        <v>1286</v>
      </c>
      <c r="J344" t="s">
        <v>1417</v>
      </c>
      <c r="K344" t="s">
        <v>1423</v>
      </c>
    </row>
    <row r="345" spans="1:11" x14ac:dyDescent="0.25">
      <c r="A345" t="s">
        <v>1771</v>
      </c>
      <c r="B345" s="2">
        <v>45409</v>
      </c>
      <c r="C345" t="s">
        <v>749</v>
      </c>
      <c r="D345" t="s">
        <v>1011</v>
      </c>
      <c r="E345">
        <v>10</v>
      </c>
      <c r="F345">
        <v>12</v>
      </c>
      <c r="G345">
        <v>4.42</v>
      </c>
      <c r="H345" t="s">
        <v>1132</v>
      </c>
      <c r="I345" t="s">
        <v>1331</v>
      </c>
      <c r="J345" t="s">
        <v>1414</v>
      </c>
      <c r="K345" t="s">
        <v>1419</v>
      </c>
    </row>
    <row r="346" spans="1:11" x14ac:dyDescent="0.25">
      <c r="A346" t="s">
        <v>1772</v>
      </c>
      <c r="B346" s="2">
        <v>45409</v>
      </c>
      <c r="C346" t="s">
        <v>949</v>
      </c>
      <c r="D346" t="s">
        <v>1015</v>
      </c>
      <c r="E346">
        <v>7</v>
      </c>
      <c r="F346">
        <v>10</v>
      </c>
      <c r="G346">
        <v>2.29</v>
      </c>
      <c r="H346" t="s">
        <v>1191</v>
      </c>
      <c r="I346" t="s">
        <v>1390</v>
      </c>
      <c r="J346" t="s">
        <v>1416</v>
      </c>
      <c r="K346" t="s">
        <v>1420</v>
      </c>
    </row>
    <row r="347" spans="1:11" x14ac:dyDescent="0.25">
      <c r="A347" t="s">
        <v>1773</v>
      </c>
      <c r="B347" s="2">
        <v>45410</v>
      </c>
      <c r="C347" t="s">
        <v>146</v>
      </c>
      <c r="D347" t="s">
        <v>1014</v>
      </c>
      <c r="E347">
        <v>6</v>
      </c>
      <c r="F347">
        <v>15</v>
      </c>
      <c r="G347">
        <v>5.4</v>
      </c>
      <c r="H347" t="s">
        <v>1118</v>
      </c>
      <c r="I347" t="s">
        <v>1317</v>
      </c>
      <c r="J347" t="s">
        <v>1414</v>
      </c>
      <c r="K347" t="s">
        <v>1425</v>
      </c>
    </row>
    <row r="348" spans="1:11" x14ac:dyDescent="0.25">
      <c r="A348" t="s">
        <v>1774</v>
      </c>
      <c r="B348" s="2">
        <v>45410</v>
      </c>
      <c r="C348" t="s">
        <v>211</v>
      </c>
      <c r="D348" t="s">
        <v>1012</v>
      </c>
      <c r="E348">
        <v>7</v>
      </c>
      <c r="F348">
        <v>40</v>
      </c>
      <c r="G348">
        <v>9.5</v>
      </c>
      <c r="H348" t="s">
        <v>1144</v>
      </c>
      <c r="I348" t="s">
        <v>1343</v>
      </c>
      <c r="J348" t="s">
        <v>1415</v>
      </c>
      <c r="K348" t="s">
        <v>1419</v>
      </c>
    </row>
    <row r="349" spans="1:11" x14ac:dyDescent="0.25">
      <c r="A349" t="s">
        <v>1775</v>
      </c>
      <c r="B349" s="2">
        <v>45410</v>
      </c>
      <c r="C349" t="s">
        <v>267</v>
      </c>
      <c r="D349" t="s">
        <v>1012</v>
      </c>
      <c r="E349">
        <v>7</v>
      </c>
      <c r="F349">
        <v>40</v>
      </c>
      <c r="G349">
        <v>13.33</v>
      </c>
      <c r="H349" t="s">
        <v>1133</v>
      </c>
      <c r="I349" t="s">
        <v>1332</v>
      </c>
      <c r="J349" t="s">
        <v>1416</v>
      </c>
      <c r="K349" t="s">
        <v>1425</v>
      </c>
    </row>
    <row r="350" spans="1:11" x14ac:dyDescent="0.25">
      <c r="A350" t="s">
        <v>1776</v>
      </c>
      <c r="B350" s="2">
        <v>45410</v>
      </c>
      <c r="C350" t="s">
        <v>326</v>
      </c>
      <c r="D350" t="s">
        <v>1012</v>
      </c>
      <c r="E350">
        <v>9</v>
      </c>
      <c r="F350">
        <v>40</v>
      </c>
      <c r="G350">
        <v>15.98</v>
      </c>
      <c r="H350" t="s">
        <v>1101</v>
      </c>
      <c r="I350" t="s">
        <v>1300</v>
      </c>
      <c r="J350" t="s">
        <v>1417</v>
      </c>
      <c r="K350" t="s">
        <v>1421</v>
      </c>
    </row>
    <row r="351" spans="1:11" x14ac:dyDescent="0.25">
      <c r="A351" t="s">
        <v>1777</v>
      </c>
      <c r="B351" s="2">
        <v>45410</v>
      </c>
      <c r="C351" t="s">
        <v>503</v>
      </c>
      <c r="D351" t="s">
        <v>1013</v>
      </c>
      <c r="E351">
        <v>3</v>
      </c>
      <c r="F351">
        <v>25</v>
      </c>
      <c r="G351">
        <v>8.76</v>
      </c>
      <c r="H351" t="s">
        <v>1176</v>
      </c>
      <c r="I351" t="s">
        <v>1375</v>
      </c>
      <c r="J351" t="s">
        <v>1416</v>
      </c>
      <c r="K351" t="s">
        <v>1422</v>
      </c>
    </row>
    <row r="352" spans="1:11" x14ac:dyDescent="0.25">
      <c r="A352" t="s">
        <v>1778</v>
      </c>
      <c r="B352" s="2">
        <v>45410</v>
      </c>
      <c r="C352" t="s">
        <v>1003</v>
      </c>
      <c r="D352" t="s">
        <v>1013</v>
      </c>
      <c r="E352">
        <v>2</v>
      </c>
      <c r="F352">
        <v>25</v>
      </c>
      <c r="G352">
        <v>7.85</v>
      </c>
      <c r="H352" t="s">
        <v>1183</v>
      </c>
      <c r="I352" t="s">
        <v>1382</v>
      </c>
      <c r="J352" t="s">
        <v>1414</v>
      </c>
      <c r="K352" t="s">
        <v>1424</v>
      </c>
    </row>
    <row r="353" spans="1:11" x14ac:dyDescent="0.25">
      <c r="A353" t="s">
        <v>1779</v>
      </c>
      <c r="B353" s="2">
        <v>45411</v>
      </c>
      <c r="C353" t="s">
        <v>103</v>
      </c>
      <c r="D353" t="s">
        <v>1014</v>
      </c>
      <c r="E353">
        <v>10</v>
      </c>
      <c r="F353">
        <v>15</v>
      </c>
      <c r="G353">
        <v>3.96</v>
      </c>
      <c r="H353" t="s">
        <v>1027</v>
      </c>
      <c r="I353" t="s">
        <v>1226</v>
      </c>
      <c r="J353" t="s">
        <v>1414</v>
      </c>
      <c r="K353" t="s">
        <v>1420</v>
      </c>
    </row>
    <row r="354" spans="1:11" x14ac:dyDescent="0.25">
      <c r="A354" t="s">
        <v>1780</v>
      </c>
      <c r="B354" s="2">
        <v>45411</v>
      </c>
      <c r="C354" t="s">
        <v>161</v>
      </c>
      <c r="D354" t="s">
        <v>1012</v>
      </c>
      <c r="E354">
        <v>3</v>
      </c>
      <c r="F354">
        <v>40</v>
      </c>
      <c r="G354">
        <v>12.56</v>
      </c>
      <c r="H354" t="s">
        <v>1123</v>
      </c>
      <c r="I354" t="s">
        <v>1322</v>
      </c>
      <c r="J354" t="s">
        <v>1414</v>
      </c>
      <c r="K354" t="s">
        <v>1425</v>
      </c>
    </row>
    <row r="355" spans="1:11" x14ac:dyDescent="0.25">
      <c r="A355" t="s">
        <v>1781</v>
      </c>
      <c r="B355" s="2">
        <v>45411</v>
      </c>
      <c r="C355" t="s">
        <v>983</v>
      </c>
      <c r="D355" t="s">
        <v>1015</v>
      </c>
      <c r="E355">
        <v>5</v>
      </c>
      <c r="F355">
        <v>10</v>
      </c>
      <c r="G355">
        <v>2.34</v>
      </c>
      <c r="H355" t="s">
        <v>1136</v>
      </c>
      <c r="I355" t="s">
        <v>1335</v>
      </c>
      <c r="J355" t="s">
        <v>1414</v>
      </c>
      <c r="K355" t="s">
        <v>1423</v>
      </c>
    </row>
    <row r="356" spans="1:11" x14ac:dyDescent="0.25">
      <c r="A356" t="s">
        <v>1782</v>
      </c>
      <c r="B356" s="2">
        <v>45412</v>
      </c>
      <c r="C356" t="s">
        <v>258</v>
      </c>
      <c r="D356" t="s">
        <v>1012</v>
      </c>
      <c r="E356">
        <v>5</v>
      </c>
      <c r="F356">
        <v>40</v>
      </c>
      <c r="G356">
        <v>15.01</v>
      </c>
      <c r="H356" t="s">
        <v>1123</v>
      </c>
      <c r="I356" t="s">
        <v>1322</v>
      </c>
      <c r="J356" t="s">
        <v>1415</v>
      </c>
      <c r="K356" t="s">
        <v>1427</v>
      </c>
    </row>
    <row r="357" spans="1:11" x14ac:dyDescent="0.25">
      <c r="A357" t="s">
        <v>1783</v>
      </c>
      <c r="B357" s="2">
        <v>45412</v>
      </c>
      <c r="C357" t="s">
        <v>615</v>
      </c>
      <c r="D357" t="s">
        <v>1013</v>
      </c>
      <c r="E357">
        <v>3</v>
      </c>
      <c r="F357">
        <v>25</v>
      </c>
      <c r="G357">
        <v>5.86</v>
      </c>
      <c r="H357" t="s">
        <v>1121</v>
      </c>
      <c r="I357" t="s">
        <v>1320</v>
      </c>
      <c r="J357" t="s">
        <v>1414</v>
      </c>
      <c r="K357" t="s">
        <v>1422</v>
      </c>
    </row>
    <row r="358" spans="1:11" x14ac:dyDescent="0.25">
      <c r="A358" t="s">
        <v>1784</v>
      </c>
      <c r="B358" s="2">
        <v>45412</v>
      </c>
      <c r="C358" t="s">
        <v>958</v>
      </c>
      <c r="D358" t="s">
        <v>1012</v>
      </c>
      <c r="E358">
        <v>10</v>
      </c>
      <c r="F358">
        <v>40</v>
      </c>
      <c r="G358">
        <v>12.59</v>
      </c>
      <c r="H358" t="s">
        <v>1026</v>
      </c>
      <c r="I358" t="s">
        <v>1225</v>
      </c>
      <c r="J358" t="s">
        <v>1414</v>
      </c>
      <c r="K358" t="s">
        <v>1419</v>
      </c>
    </row>
    <row r="359" spans="1:11" x14ac:dyDescent="0.25">
      <c r="A359" t="s">
        <v>1785</v>
      </c>
      <c r="B359" s="2">
        <v>45414</v>
      </c>
      <c r="C359" t="s">
        <v>222</v>
      </c>
      <c r="D359" t="s">
        <v>1013</v>
      </c>
      <c r="E359">
        <v>2</v>
      </c>
      <c r="F359">
        <v>25</v>
      </c>
      <c r="G359">
        <v>8.5500000000000007</v>
      </c>
      <c r="H359" t="s">
        <v>1146</v>
      </c>
      <c r="I359" t="s">
        <v>1345</v>
      </c>
      <c r="J359" t="s">
        <v>1416</v>
      </c>
      <c r="K359" t="s">
        <v>1426</v>
      </c>
    </row>
    <row r="360" spans="1:11" x14ac:dyDescent="0.25">
      <c r="A360" t="s">
        <v>1786</v>
      </c>
      <c r="B360" s="2">
        <v>45414</v>
      </c>
      <c r="C360" t="s">
        <v>569</v>
      </c>
      <c r="D360" t="s">
        <v>1011</v>
      </c>
      <c r="E360">
        <v>1</v>
      </c>
      <c r="F360">
        <v>12</v>
      </c>
      <c r="G360">
        <v>3</v>
      </c>
      <c r="H360" t="s">
        <v>1209</v>
      </c>
      <c r="I360" t="s">
        <v>1408</v>
      </c>
      <c r="J360" t="s">
        <v>1414</v>
      </c>
      <c r="K360" t="s">
        <v>1422</v>
      </c>
    </row>
    <row r="361" spans="1:11" x14ac:dyDescent="0.25">
      <c r="A361" t="s">
        <v>1787</v>
      </c>
      <c r="B361" s="2">
        <v>45414</v>
      </c>
      <c r="C361" t="s">
        <v>585</v>
      </c>
      <c r="D361" t="s">
        <v>1015</v>
      </c>
      <c r="E361">
        <v>7</v>
      </c>
      <c r="F361">
        <v>10</v>
      </c>
      <c r="G361">
        <v>3.06</v>
      </c>
      <c r="H361" t="s">
        <v>1210</v>
      </c>
      <c r="I361" t="s">
        <v>1409</v>
      </c>
      <c r="J361" t="s">
        <v>1414</v>
      </c>
      <c r="K361" t="s">
        <v>1426</v>
      </c>
    </row>
    <row r="362" spans="1:11" x14ac:dyDescent="0.25">
      <c r="A362" t="s">
        <v>1788</v>
      </c>
      <c r="B362" s="2">
        <v>45414</v>
      </c>
      <c r="C362" t="s">
        <v>751</v>
      </c>
      <c r="D362" t="s">
        <v>1012</v>
      </c>
      <c r="E362">
        <v>9</v>
      </c>
      <c r="F362">
        <v>40</v>
      </c>
      <c r="G362">
        <v>9.19</v>
      </c>
      <c r="H362" t="s">
        <v>1088</v>
      </c>
      <c r="I362" t="s">
        <v>1287</v>
      </c>
      <c r="J362" t="s">
        <v>1416</v>
      </c>
      <c r="K362" t="s">
        <v>1418</v>
      </c>
    </row>
    <row r="363" spans="1:11" x14ac:dyDescent="0.25">
      <c r="A363" t="s">
        <v>1789</v>
      </c>
      <c r="B363" s="2">
        <v>45415</v>
      </c>
      <c r="C363" t="s">
        <v>327</v>
      </c>
      <c r="D363" t="s">
        <v>1012</v>
      </c>
      <c r="E363">
        <v>4</v>
      </c>
      <c r="F363">
        <v>40</v>
      </c>
      <c r="G363">
        <v>13.33</v>
      </c>
      <c r="H363" t="s">
        <v>1173</v>
      </c>
      <c r="I363" t="s">
        <v>1372</v>
      </c>
      <c r="J363" t="s">
        <v>1417</v>
      </c>
      <c r="K363" t="s">
        <v>1426</v>
      </c>
    </row>
    <row r="364" spans="1:11" x14ac:dyDescent="0.25">
      <c r="A364" t="s">
        <v>1790</v>
      </c>
      <c r="B364" s="2">
        <v>45415</v>
      </c>
      <c r="C364" t="s">
        <v>342</v>
      </c>
      <c r="D364" t="s">
        <v>1012</v>
      </c>
      <c r="E364">
        <v>1</v>
      </c>
      <c r="F364">
        <v>40</v>
      </c>
      <c r="G364">
        <v>9.2200000000000006</v>
      </c>
      <c r="H364" t="s">
        <v>1081</v>
      </c>
      <c r="I364" t="s">
        <v>1280</v>
      </c>
      <c r="J364" t="s">
        <v>1414</v>
      </c>
      <c r="K364" t="s">
        <v>1419</v>
      </c>
    </row>
    <row r="365" spans="1:11" x14ac:dyDescent="0.25">
      <c r="A365" t="s">
        <v>1791</v>
      </c>
      <c r="B365" s="2">
        <v>45415</v>
      </c>
      <c r="C365" t="s">
        <v>382</v>
      </c>
      <c r="D365" t="s">
        <v>1013</v>
      </c>
      <c r="E365">
        <v>7</v>
      </c>
      <c r="F365">
        <v>25</v>
      </c>
      <c r="G365">
        <v>7.3</v>
      </c>
      <c r="H365" t="s">
        <v>1183</v>
      </c>
      <c r="I365" t="s">
        <v>1382</v>
      </c>
      <c r="J365" t="s">
        <v>1414</v>
      </c>
      <c r="K365" t="s">
        <v>1419</v>
      </c>
    </row>
    <row r="366" spans="1:11" x14ac:dyDescent="0.25">
      <c r="A366" t="s">
        <v>1792</v>
      </c>
      <c r="B366" s="2">
        <v>45415</v>
      </c>
      <c r="C366" t="s">
        <v>452</v>
      </c>
      <c r="D366" t="s">
        <v>1014</v>
      </c>
      <c r="E366">
        <v>4</v>
      </c>
      <c r="F366">
        <v>15</v>
      </c>
      <c r="G366">
        <v>3.43</v>
      </c>
      <c r="H366" t="s">
        <v>1183</v>
      </c>
      <c r="I366" t="s">
        <v>1382</v>
      </c>
      <c r="J366" t="s">
        <v>1414</v>
      </c>
      <c r="K366" t="s">
        <v>1421</v>
      </c>
    </row>
    <row r="367" spans="1:11" x14ac:dyDescent="0.25">
      <c r="A367" t="s">
        <v>1793</v>
      </c>
      <c r="B367" s="2">
        <v>45415</v>
      </c>
      <c r="C367" t="s">
        <v>567</v>
      </c>
      <c r="D367" t="s">
        <v>1011</v>
      </c>
      <c r="E367">
        <v>5</v>
      </c>
      <c r="F367">
        <v>12</v>
      </c>
      <c r="G367">
        <v>3.51</v>
      </c>
      <c r="H367" t="s">
        <v>1034</v>
      </c>
      <c r="I367" t="s">
        <v>1233</v>
      </c>
      <c r="J367" t="s">
        <v>1415</v>
      </c>
      <c r="K367" t="s">
        <v>1421</v>
      </c>
    </row>
    <row r="368" spans="1:11" x14ac:dyDescent="0.25">
      <c r="A368" t="s">
        <v>1794</v>
      </c>
      <c r="B368" s="2">
        <v>45415</v>
      </c>
      <c r="C368" t="s">
        <v>846</v>
      </c>
      <c r="D368" t="s">
        <v>1014</v>
      </c>
      <c r="E368">
        <v>8</v>
      </c>
      <c r="G368">
        <v>4.95</v>
      </c>
      <c r="H368" t="s">
        <v>1031</v>
      </c>
      <c r="I368" t="s">
        <v>1230</v>
      </c>
      <c r="J368" t="s">
        <v>1414</v>
      </c>
      <c r="K368" t="s">
        <v>1427</v>
      </c>
    </row>
    <row r="369" spans="1:11" x14ac:dyDescent="0.25">
      <c r="A369" t="s">
        <v>1795</v>
      </c>
      <c r="B369" s="2">
        <v>45416</v>
      </c>
      <c r="C369" t="s">
        <v>40</v>
      </c>
      <c r="D369" t="s">
        <v>1014</v>
      </c>
      <c r="E369">
        <v>1</v>
      </c>
      <c r="F369">
        <v>15</v>
      </c>
      <c r="G369">
        <v>4</v>
      </c>
      <c r="H369" t="s">
        <v>1020</v>
      </c>
      <c r="I369" t="s">
        <v>1219</v>
      </c>
      <c r="J369" t="s">
        <v>1415</v>
      </c>
      <c r="K369" t="s">
        <v>1424</v>
      </c>
    </row>
    <row r="370" spans="1:11" x14ac:dyDescent="0.25">
      <c r="A370" t="s">
        <v>1796</v>
      </c>
      <c r="B370" s="2">
        <v>45416</v>
      </c>
      <c r="C370" t="s">
        <v>740</v>
      </c>
      <c r="D370" t="s">
        <v>1013</v>
      </c>
      <c r="E370">
        <v>3</v>
      </c>
      <c r="F370">
        <v>25</v>
      </c>
      <c r="G370">
        <v>5.04</v>
      </c>
      <c r="H370" t="s">
        <v>1146</v>
      </c>
      <c r="I370" t="s">
        <v>1345</v>
      </c>
      <c r="J370" t="s">
        <v>1416</v>
      </c>
      <c r="K370" t="s">
        <v>1424</v>
      </c>
    </row>
    <row r="371" spans="1:11" x14ac:dyDescent="0.25">
      <c r="A371" t="s">
        <v>1797</v>
      </c>
      <c r="B371" s="2">
        <v>45416</v>
      </c>
      <c r="C371" t="s">
        <v>835</v>
      </c>
      <c r="D371" t="s">
        <v>1011</v>
      </c>
      <c r="E371">
        <v>3</v>
      </c>
      <c r="F371">
        <v>12</v>
      </c>
      <c r="G371">
        <v>4.1399999999999997</v>
      </c>
      <c r="H371" t="s">
        <v>1038</v>
      </c>
      <c r="I371" t="s">
        <v>1237</v>
      </c>
      <c r="J371" t="s">
        <v>1416</v>
      </c>
      <c r="K371" t="s">
        <v>1425</v>
      </c>
    </row>
    <row r="372" spans="1:11" x14ac:dyDescent="0.25">
      <c r="A372" t="s">
        <v>1798</v>
      </c>
      <c r="B372" s="2">
        <v>45417</v>
      </c>
      <c r="C372" t="s">
        <v>168</v>
      </c>
      <c r="D372" t="s">
        <v>1013</v>
      </c>
      <c r="E372">
        <v>2</v>
      </c>
      <c r="F372">
        <v>25</v>
      </c>
      <c r="G372">
        <v>9.6199999999999992</v>
      </c>
      <c r="H372" t="s">
        <v>1037</v>
      </c>
      <c r="I372" t="s">
        <v>1236</v>
      </c>
      <c r="J372" t="s">
        <v>1416</v>
      </c>
      <c r="K372" t="s">
        <v>1422</v>
      </c>
    </row>
    <row r="373" spans="1:11" x14ac:dyDescent="0.25">
      <c r="A373" t="s">
        <v>1799</v>
      </c>
      <c r="B373" s="2">
        <v>45417</v>
      </c>
      <c r="C373" t="s">
        <v>302</v>
      </c>
      <c r="D373" t="s">
        <v>1012</v>
      </c>
      <c r="E373">
        <v>6</v>
      </c>
      <c r="F373">
        <v>40</v>
      </c>
      <c r="G373">
        <v>15.42</v>
      </c>
      <c r="H373" t="s">
        <v>1043</v>
      </c>
      <c r="I373" t="s">
        <v>1242</v>
      </c>
      <c r="J373" t="s">
        <v>1414</v>
      </c>
      <c r="K373" t="s">
        <v>1422</v>
      </c>
    </row>
    <row r="374" spans="1:11" x14ac:dyDescent="0.25">
      <c r="A374" t="s">
        <v>1800</v>
      </c>
      <c r="B374" s="2">
        <v>45417</v>
      </c>
      <c r="C374" t="s">
        <v>610</v>
      </c>
      <c r="D374" t="s">
        <v>1015</v>
      </c>
      <c r="E374">
        <v>9</v>
      </c>
      <c r="G374">
        <v>3.13</v>
      </c>
      <c r="H374" t="s">
        <v>1121</v>
      </c>
      <c r="I374" t="s">
        <v>1320</v>
      </c>
      <c r="J374" t="s">
        <v>1414</v>
      </c>
      <c r="K374" t="s">
        <v>1419</v>
      </c>
    </row>
    <row r="375" spans="1:11" x14ac:dyDescent="0.25">
      <c r="A375" t="s">
        <v>1801</v>
      </c>
      <c r="B375" s="2">
        <v>45417</v>
      </c>
      <c r="C375" t="s">
        <v>972</v>
      </c>
      <c r="D375" t="s">
        <v>1014</v>
      </c>
      <c r="E375">
        <v>10</v>
      </c>
      <c r="F375">
        <v>15</v>
      </c>
      <c r="G375">
        <v>4.9800000000000004</v>
      </c>
      <c r="H375" t="s">
        <v>1034</v>
      </c>
      <c r="I375" t="s">
        <v>1233</v>
      </c>
      <c r="J375" t="s">
        <v>1414</v>
      </c>
      <c r="K375" t="s">
        <v>1419</v>
      </c>
    </row>
    <row r="376" spans="1:11" x14ac:dyDescent="0.25">
      <c r="A376" t="s">
        <v>1802</v>
      </c>
      <c r="B376" s="2">
        <v>45418</v>
      </c>
      <c r="C376" t="s">
        <v>44</v>
      </c>
      <c r="D376" t="s">
        <v>1013</v>
      </c>
      <c r="E376">
        <v>2</v>
      </c>
      <c r="F376">
        <v>25</v>
      </c>
      <c r="G376">
        <v>9.25</v>
      </c>
      <c r="H376" t="s">
        <v>1043</v>
      </c>
      <c r="I376" t="s">
        <v>1242</v>
      </c>
      <c r="J376" t="s">
        <v>1415</v>
      </c>
      <c r="K376" t="s">
        <v>1420</v>
      </c>
    </row>
    <row r="377" spans="1:11" x14ac:dyDescent="0.25">
      <c r="A377" t="s">
        <v>1803</v>
      </c>
      <c r="B377" s="2">
        <v>45419</v>
      </c>
      <c r="C377" t="s">
        <v>12</v>
      </c>
      <c r="D377" t="s">
        <v>1011</v>
      </c>
      <c r="E377">
        <v>4</v>
      </c>
      <c r="F377">
        <v>12</v>
      </c>
      <c r="G377">
        <v>4.3600000000000003</v>
      </c>
      <c r="H377" t="s">
        <v>1017</v>
      </c>
      <c r="I377" t="s">
        <v>1216</v>
      </c>
      <c r="J377" t="s">
        <v>1415</v>
      </c>
      <c r="K377" t="s">
        <v>1419</v>
      </c>
    </row>
    <row r="378" spans="1:11" x14ac:dyDescent="0.25">
      <c r="A378" t="s">
        <v>1804</v>
      </c>
      <c r="B378" s="2">
        <v>45419</v>
      </c>
      <c r="C378" t="s">
        <v>71</v>
      </c>
      <c r="D378" t="s">
        <v>1013</v>
      </c>
      <c r="E378">
        <v>7</v>
      </c>
      <c r="F378">
        <v>25</v>
      </c>
      <c r="G378">
        <v>5.6</v>
      </c>
      <c r="H378" t="s">
        <v>1065</v>
      </c>
      <c r="I378" t="s">
        <v>1264</v>
      </c>
      <c r="J378" t="s">
        <v>1416</v>
      </c>
      <c r="K378" t="s">
        <v>1420</v>
      </c>
    </row>
    <row r="379" spans="1:11" x14ac:dyDescent="0.25">
      <c r="A379" t="s">
        <v>1805</v>
      </c>
      <c r="B379" s="2">
        <v>45419</v>
      </c>
      <c r="C379" t="s">
        <v>584</v>
      </c>
      <c r="D379" t="s">
        <v>1012</v>
      </c>
      <c r="E379">
        <v>5</v>
      </c>
      <c r="F379">
        <v>40</v>
      </c>
      <c r="G379">
        <v>13.32</v>
      </c>
      <c r="H379" t="s">
        <v>1125</v>
      </c>
      <c r="I379" t="s">
        <v>1324</v>
      </c>
      <c r="J379" t="s">
        <v>1414</v>
      </c>
      <c r="K379" t="s">
        <v>1421</v>
      </c>
    </row>
    <row r="380" spans="1:11" x14ac:dyDescent="0.25">
      <c r="A380" t="s">
        <v>1806</v>
      </c>
      <c r="B380" s="2">
        <v>45419</v>
      </c>
      <c r="C380" t="s">
        <v>633</v>
      </c>
      <c r="D380" t="s">
        <v>1011</v>
      </c>
      <c r="E380">
        <v>7</v>
      </c>
      <c r="F380">
        <v>12</v>
      </c>
      <c r="G380">
        <v>3.05</v>
      </c>
      <c r="H380" t="s">
        <v>1078</v>
      </c>
      <c r="I380" t="s">
        <v>1277</v>
      </c>
      <c r="J380" t="s">
        <v>1414</v>
      </c>
      <c r="K380" t="s">
        <v>1423</v>
      </c>
    </row>
    <row r="381" spans="1:11" x14ac:dyDescent="0.25">
      <c r="A381" t="s">
        <v>1807</v>
      </c>
      <c r="B381" s="2">
        <v>45420</v>
      </c>
      <c r="C381" t="s">
        <v>41</v>
      </c>
      <c r="D381" t="s">
        <v>1011</v>
      </c>
      <c r="E381">
        <v>8</v>
      </c>
      <c r="F381">
        <v>12</v>
      </c>
      <c r="G381">
        <v>4.37</v>
      </c>
      <c r="H381" t="s">
        <v>1041</v>
      </c>
      <c r="I381" t="s">
        <v>1240</v>
      </c>
      <c r="J381" t="s">
        <v>1414</v>
      </c>
      <c r="K381" t="s">
        <v>1418</v>
      </c>
    </row>
    <row r="382" spans="1:11" x14ac:dyDescent="0.25">
      <c r="A382" t="s">
        <v>1808</v>
      </c>
      <c r="B382" s="2">
        <v>45420</v>
      </c>
      <c r="C382" t="s">
        <v>613</v>
      </c>
      <c r="D382" t="s">
        <v>1012</v>
      </c>
      <c r="E382">
        <v>2</v>
      </c>
      <c r="F382">
        <v>40</v>
      </c>
      <c r="G382">
        <v>13.53</v>
      </c>
      <c r="H382" t="s">
        <v>1126</v>
      </c>
      <c r="I382" t="s">
        <v>1325</v>
      </c>
      <c r="J382" t="s">
        <v>1414</v>
      </c>
      <c r="K382" t="s">
        <v>1421</v>
      </c>
    </row>
    <row r="383" spans="1:11" x14ac:dyDescent="0.25">
      <c r="A383" t="s">
        <v>1809</v>
      </c>
      <c r="B383" s="2">
        <v>45421</v>
      </c>
      <c r="C383" t="s">
        <v>255</v>
      </c>
      <c r="D383" t="s">
        <v>1012</v>
      </c>
      <c r="E383">
        <v>6</v>
      </c>
      <c r="F383">
        <v>40</v>
      </c>
      <c r="G383">
        <v>13.84</v>
      </c>
      <c r="H383" t="s">
        <v>1024</v>
      </c>
      <c r="I383" t="s">
        <v>1223</v>
      </c>
      <c r="J383" t="s">
        <v>1414</v>
      </c>
      <c r="K383" t="s">
        <v>1426</v>
      </c>
    </row>
    <row r="384" spans="1:11" x14ac:dyDescent="0.25">
      <c r="A384" t="s">
        <v>1810</v>
      </c>
      <c r="B384" s="2">
        <v>45421</v>
      </c>
      <c r="C384" t="s">
        <v>739</v>
      </c>
      <c r="D384" t="s">
        <v>1015</v>
      </c>
      <c r="E384">
        <v>8</v>
      </c>
      <c r="F384">
        <v>10</v>
      </c>
      <c r="G384">
        <v>2.94</v>
      </c>
      <c r="H384" t="s">
        <v>1078</v>
      </c>
      <c r="I384" t="s">
        <v>1277</v>
      </c>
      <c r="J384" t="s">
        <v>1414</v>
      </c>
      <c r="K384" t="s">
        <v>1425</v>
      </c>
    </row>
    <row r="385" spans="1:11" x14ac:dyDescent="0.25">
      <c r="A385" t="s">
        <v>1811</v>
      </c>
      <c r="B385" s="2">
        <v>45421</v>
      </c>
      <c r="C385" t="s">
        <v>965</v>
      </c>
      <c r="D385" t="s">
        <v>1015</v>
      </c>
      <c r="E385">
        <v>9</v>
      </c>
      <c r="F385">
        <v>10</v>
      </c>
      <c r="G385">
        <v>2.81</v>
      </c>
      <c r="H385" t="s">
        <v>1037</v>
      </c>
      <c r="I385" t="s">
        <v>1236</v>
      </c>
      <c r="J385" t="s">
        <v>1416</v>
      </c>
      <c r="K385" t="s">
        <v>1420</v>
      </c>
    </row>
    <row r="386" spans="1:11" x14ac:dyDescent="0.25">
      <c r="A386" t="s">
        <v>1812</v>
      </c>
      <c r="B386" s="2">
        <v>45422</v>
      </c>
      <c r="C386" t="s">
        <v>157</v>
      </c>
      <c r="D386" t="s">
        <v>1014</v>
      </c>
      <c r="E386">
        <v>1</v>
      </c>
      <c r="F386">
        <v>15</v>
      </c>
      <c r="G386">
        <v>4.66</v>
      </c>
      <c r="H386" t="s">
        <v>1107</v>
      </c>
      <c r="I386" t="s">
        <v>1306</v>
      </c>
      <c r="J386" t="s">
        <v>1414</v>
      </c>
      <c r="K386" t="s">
        <v>1422</v>
      </c>
    </row>
    <row r="387" spans="1:11" x14ac:dyDescent="0.25">
      <c r="A387" t="s">
        <v>1813</v>
      </c>
      <c r="B387" s="2">
        <v>45422</v>
      </c>
      <c r="C387" t="s">
        <v>570</v>
      </c>
      <c r="D387" t="s">
        <v>1015</v>
      </c>
      <c r="E387">
        <v>3</v>
      </c>
      <c r="F387">
        <v>10</v>
      </c>
      <c r="G387">
        <v>3.02</v>
      </c>
      <c r="H387" t="s">
        <v>1173</v>
      </c>
      <c r="I387" t="s">
        <v>1372</v>
      </c>
      <c r="J387" t="s">
        <v>1416</v>
      </c>
      <c r="K387" t="s">
        <v>1425</v>
      </c>
    </row>
    <row r="388" spans="1:11" x14ac:dyDescent="0.25">
      <c r="A388" t="s">
        <v>1814</v>
      </c>
      <c r="B388" s="2">
        <v>45422</v>
      </c>
      <c r="C388" t="s">
        <v>768</v>
      </c>
      <c r="D388" t="s">
        <v>1014</v>
      </c>
      <c r="E388">
        <v>6</v>
      </c>
      <c r="F388">
        <v>15</v>
      </c>
      <c r="G388">
        <v>4.8</v>
      </c>
      <c r="H388" t="s">
        <v>1169</v>
      </c>
      <c r="I388" t="s">
        <v>1368</v>
      </c>
      <c r="J388" t="s">
        <v>1414</v>
      </c>
      <c r="K388" t="s">
        <v>1427</v>
      </c>
    </row>
    <row r="389" spans="1:11" x14ac:dyDescent="0.25">
      <c r="A389" t="s">
        <v>1815</v>
      </c>
      <c r="B389" s="2">
        <v>45422</v>
      </c>
      <c r="C389" t="s">
        <v>944</v>
      </c>
      <c r="D389" t="s">
        <v>1012</v>
      </c>
      <c r="E389">
        <v>9</v>
      </c>
      <c r="G389">
        <v>14.62</v>
      </c>
      <c r="H389" t="s">
        <v>1142</v>
      </c>
      <c r="I389" t="s">
        <v>1341</v>
      </c>
      <c r="J389" t="s">
        <v>1417</v>
      </c>
      <c r="K389" t="s">
        <v>1425</v>
      </c>
    </row>
    <row r="390" spans="1:11" x14ac:dyDescent="0.25">
      <c r="A390" t="s">
        <v>1816</v>
      </c>
      <c r="B390" s="2">
        <v>45423</v>
      </c>
      <c r="C390" t="s">
        <v>137</v>
      </c>
      <c r="D390" t="s">
        <v>1014</v>
      </c>
      <c r="E390">
        <v>5</v>
      </c>
      <c r="F390">
        <v>15</v>
      </c>
      <c r="G390">
        <v>3.13</v>
      </c>
      <c r="H390" t="s">
        <v>1112</v>
      </c>
      <c r="I390" t="s">
        <v>1311</v>
      </c>
      <c r="J390" t="s">
        <v>1414</v>
      </c>
      <c r="K390" t="s">
        <v>1425</v>
      </c>
    </row>
    <row r="391" spans="1:11" x14ac:dyDescent="0.25">
      <c r="A391" t="s">
        <v>1817</v>
      </c>
      <c r="B391" s="2">
        <v>45423</v>
      </c>
      <c r="C391" t="s">
        <v>223</v>
      </c>
      <c r="D391" t="s">
        <v>1012</v>
      </c>
      <c r="E391">
        <v>1</v>
      </c>
      <c r="F391">
        <v>40</v>
      </c>
      <c r="G391">
        <v>13.15</v>
      </c>
      <c r="H391" t="s">
        <v>1121</v>
      </c>
      <c r="I391" t="s">
        <v>1320</v>
      </c>
      <c r="J391" t="s">
        <v>1414</v>
      </c>
      <c r="K391" t="s">
        <v>1418</v>
      </c>
    </row>
    <row r="392" spans="1:11" x14ac:dyDescent="0.25">
      <c r="A392" t="s">
        <v>1818</v>
      </c>
      <c r="B392" s="2">
        <v>45423</v>
      </c>
      <c r="C392" t="s">
        <v>563</v>
      </c>
      <c r="D392" t="s">
        <v>1012</v>
      </c>
      <c r="E392">
        <v>9</v>
      </c>
      <c r="F392">
        <v>40</v>
      </c>
      <c r="G392">
        <v>13.31</v>
      </c>
      <c r="H392" t="s">
        <v>1081</v>
      </c>
      <c r="I392" t="s">
        <v>1280</v>
      </c>
      <c r="J392" t="s">
        <v>1414</v>
      </c>
      <c r="K392" t="s">
        <v>1424</v>
      </c>
    </row>
    <row r="393" spans="1:11" x14ac:dyDescent="0.25">
      <c r="A393" t="s">
        <v>1819</v>
      </c>
      <c r="B393" s="2">
        <v>45423</v>
      </c>
      <c r="C393" t="s">
        <v>745</v>
      </c>
      <c r="D393" t="s">
        <v>1011</v>
      </c>
      <c r="E393">
        <v>10</v>
      </c>
      <c r="F393">
        <v>12</v>
      </c>
      <c r="G393">
        <v>3.7</v>
      </c>
      <c r="H393" t="s">
        <v>1112</v>
      </c>
      <c r="I393" t="s">
        <v>1311</v>
      </c>
      <c r="J393" t="s">
        <v>1414</v>
      </c>
      <c r="K393" t="s">
        <v>1422</v>
      </c>
    </row>
    <row r="394" spans="1:11" x14ac:dyDescent="0.25">
      <c r="A394" t="s">
        <v>1820</v>
      </c>
      <c r="B394" s="2">
        <v>45423</v>
      </c>
      <c r="C394" t="s">
        <v>953</v>
      </c>
      <c r="D394" t="s">
        <v>1015</v>
      </c>
      <c r="E394">
        <v>3</v>
      </c>
      <c r="F394">
        <v>10</v>
      </c>
      <c r="G394">
        <v>3.68</v>
      </c>
      <c r="H394" t="s">
        <v>1076</v>
      </c>
      <c r="I394" t="s">
        <v>1275</v>
      </c>
      <c r="J394" t="s">
        <v>1415</v>
      </c>
      <c r="K394" t="s">
        <v>1427</v>
      </c>
    </row>
    <row r="395" spans="1:11" x14ac:dyDescent="0.25">
      <c r="A395" t="s">
        <v>1821</v>
      </c>
      <c r="B395" s="2">
        <v>45424</v>
      </c>
      <c r="C395" t="s">
        <v>48</v>
      </c>
      <c r="D395" t="s">
        <v>1013</v>
      </c>
      <c r="E395">
        <v>7</v>
      </c>
      <c r="F395">
        <v>25</v>
      </c>
      <c r="G395">
        <v>5.54</v>
      </c>
      <c r="H395" t="s">
        <v>1047</v>
      </c>
      <c r="I395" t="s">
        <v>1246</v>
      </c>
      <c r="J395" t="s">
        <v>1414</v>
      </c>
      <c r="K395" t="s">
        <v>1418</v>
      </c>
    </row>
    <row r="396" spans="1:11" x14ac:dyDescent="0.25">
      <c r="A396" t="s">
        <v>1822</v>
      </c>
      <c r="B396" s="2">
        <v>45424</v>
      </c>
      <c r="C396" t="s">
        <v>200</v>
      </c>
      <c r="D396" t="s">
        <v>1014</v>
      </c>
      <c r="E396">
        <v>2</v>
      </c>
      <c r="F396">
        <v>15</v>
      </c>
      <c r="G396">
        <v>3.17</v>
      </c>
      <c r="H396" t="s">
        <v>1066</v>
      </c>
      <c r="I396" t="s">
        <v>1265</v>
      </c>
      <c r="J396" t="s">
        <v>1416</v>
      </c>
      <c r="K396" t="s">
        <v>1426</v>
      </c>
    </row>
    <row r="397" spans="1:11" x14ac:dyDescent="0.25">
      <c r="A397" t="s">
        <v>1823</v>
      </c>
      <c r="B397" s="2">
        <v>45424</v>
      </c>
      <c r="C397" t="s">
        <v>769</v>
      </c>
      <c r="D397" t="s">
        <v>1012</v>
      </c>
      <c r="E397">
        <v>8</v>
      </c>
      <c r="G397">
        <v>13.61</v>
      </c>
      <c r="H397" t="s">
        <v>1146</v>
      </c>
      <c r="I397" t="s">
        <v>1345</v>
      </c>
      <c r="J397" t="s">
        <v>1414</v>
      </c>
      <c r="K397" t="s">
        <v>1427</v>
      </c>
    </row>
    <row r="398" spans="1:11" x14ac:dyDescent="0.25">
      <c r="A398" t="s">
        <v>1824</v>
      </c>
      <c r="B398" s="2">
        <v>45425</v>
      </c>
      <c r="C398" t="s">
        <v>275</v>
      </c>
      <c r="D398" t="s">
        <v>1015</v>
      </c>
      <c r="E398">
        <v>1</v>
      </c>
      <c r="F398">
        <v>10</v>
      </c>
      <c r="G398">
        <v>2.72</v>
      </c>
      <c r="H398" t="s">
        <v>1026</v>
      </c>
      <c r="I398" t="s">
        <v>1225</v>
      </c>
      <c r="J398" t="s">
        <v>1417</v>
      </c>
      <c r="K398" t="s">
        <v>1418</v>
      </c>
    </row>
    <row r="399" spans="1:11" x14ac:dyDescent="0.25">
      <c r="A399" t="s">
        <v>1825</v>
      </c>
      <c r="B399" s="2">
        <v>45425</v>
      </c>
      <c r="C399" t="s">
        <v>483</v>
      </c>
      <c r="D399" t="s">
        <v>1015</v>
      </c>
      <c r="E399">
        <v>3</v>
      </c>
      <c r="F399">
        <v>10</v>
      </c>
      <c r="G399">
        <v>2.4700000000000002</v>
      </c>
      <c r="H399" t="s">
        <v>1020</v>
      </c>
      <c r="I399" t="s">
        <v>1219</v>
      </c>
      <c r="J399" t="s">
        <v>1414</v>
      </c>
      <c r="K399" t="s">
        <v>1420</v>
      </c>
    </row>
    <row r="400" spans="1:11" x14ac:dyDescent="0.25">
      <c r="A400" t="s">
        <v>1826</v>
      </c>
      <c r="B400" s="2">
        <v>45426</v>
      </c>
      <c r="C400" t="s">
        <v>73</v>
      </c>
      <c r="D400" t="s">
        <v>1014</v>
      </c>
      <c r="E400">
        <v>6</v>
      </c>
      <c r="F400">
        <v>15</v>
      </c>
      <c r="G400">
        <v>5.97</v>
      </c>
      <c r="H400" t="s">
        <v>1067</v>
      </c>
      <c r="I400" t="s">
        <v>1266</v>
      </c>
      <c r="J400" t="s">
        <v>1414</v>
      </c>
      <c r="K400" t="s">
        <v>1426</v>
      </c>
    </row>
    <row r="401" spans="1:11" x14ac:dyDescent="0.25">
      <c r="A401" t="s">
        <v>1827</v>
      </c>
      <c r="B401" s="2">
        <v>45426</v>
      </c>
      <c r="C401" t="s">
        <v>586</v>
      </c>
      <c r="D401" t="s">
        <v>1015</v>
      </c>
      <c r="E401">
        <v>7</v>
      </c>
      <c r="F401">
        <v>10</v>
      </c>
      <c r="G401">
        <v>2.06</v>
      </c>
      <c r="H401" t="s">
        <v>1157</v>
      </c>
      <c r="I401" t="s">
        <v>1356</v>
      </c>
      <c r="J401" t="s">
        <v>1414</v>
      </c>
      <c r="K401" t="s">
        <v>1419</v>
      </c>
    </row>
    <row r="402" spans="1:11" x14ac:dyDescent="0.25">
      <c r="A402" t="s">
        <v>1828</v>
      </c>
      <c r="B402" s="2">
        <v>45426</v>
      </c>
      <c r="C402" t="s">
        <v>601</v>
      </c>
      <c r="D402" t="s">
        <v>1012</v>
      </c>
      <c r="E402">
        <v>3</v>
      </c>
      <c r="F402">
        <v>40</v>
      </c>
      <c r="G402">
        <v>9.3000000000000007</v>
      </c>
      <c r="H402" t="s">
        <v>1087</v>
      </c>
      <c r="I402" t="s">
        <v>1286</v>
      </c>
      <c r="J402" t="s">
        <v>1414</v>
      </c>
      <c r="K402" t="s">
        <v>1422</v>
      </c>
    </row>
    <row r="403" spans="1:11" x14ac:dyDescent="0.25">
      <c r="A403" t="s">
        <v>1829</v>
      </c>
      <c r="B403" s="2">
        <v>45426</v>
      </c>
      <c r="C403" t="s">
        <v>800</v>
      </c>
      <c r="D403" t="s">
        <v>1013</v>
      </c>
      <c r="E403">
        <v>9</v>
      </c>
      <c r="F403">
        <v>25</v>
      </c>
      <c r="G403">
        <v>8.24</v>
      </c>
      <c r="H403" t="s">
        <v>1076</v>
      </c>
      <c r="I403" t="s">
        <v>1275</v>
      </c>
      <c r="J403" t="s">
        <v>1416</v>
      </c>
      <c r="K403" t="s">
        <v>1421</v>
      </c>
    </row>
    <row r="404" spans="1:11" x14ac:dyDescent="0.25">
      <c r="A404" t="s">
        <v>1830</v>
      </c>
      <c r="B404" s="2">
        <v>45426</v>
      </c>
      <c r="C404" t="s">
        <v>837</v>
      </c>
      <c r="D404" t="s">
        <v>1011</v>
      </c>
      <c r="E404">
        <v>2</v>
      </c>
      <c r="F404">
        <v>12</v>
      </c>
      <c r="G404">
        <v>4.5999999999999996</v>
      </c>
      <c r="H404" t="s">
        <v>1082</v>
      </c>
      <c r="I404" t="s">
        <v>1281</v>
      </c>
      <c r="J404" t="s">
        <v>1414</v>
      </c>
      <c r="K404" t="s">
        <v>1420</v>
      </c>
    </row>
    <row r="405" spans="1:11" x14ac:dyDescent="0.25">
      <c r="A405" t="s">
        <v>1831</v>
      </c>
      <c r="B405" s="2">
        <v>45426</v>
      </c>
      <c r="C405" t="s">
        <v>903</v>
      </c>
      <c r="D405" t="s">
        <v>1012</v>
      </c>
      <c r="E405">
        <v>4</v>
      </c>
      <c r="F405">
        <v>40</v>
      </c>
      <c r="G405">
        <v>14.68</v>
      </c>
      <c r="H405" t="s">
        <v>1140</v>
      </c>
      <c r="I405" t="s">
        <v>1339</v>
      </c>
      <c r="J405" t="s">
        <v>1414</v>
      </c>
      <c r="K405" t="s">
        <v>1423</v>
      </c>
    </row>
    <row r="406" spans="1:11" x14ac:dyDescent="0.25">
      <c r="A406" t="s">
        <v>1832</v>
      </c>
      <c r="B406" s="2">
        <v>45426</v>
      </c>
      <c r="C406" t="s">
        <v>976</v>
      </c>
      <c r="D406" t="s">
        <v>1011</v>
      </c>
      <c r="E406">
        <v>6</v>
      </c>
      <c r="F406">
        <v>12</v>
      </c>
      <c r="G406">
        <v>3.84</v>
      </c>
      <c r="H406" t="s">
        <v>1154</v>
      </c>
      <c r="I406" t="s">
        <v>1353</v>
      </c>
      <c r="J406" t="s">
        <v>1417</v>
      </c>
      <c r="K406" t="s">
        <v>1421</v>
      </c>
    </row>
    <row r="407" spans="1:11" x14ac:dyDescent="0.25">
      <c r="A407" t="s">
        <v>1833</v>
      </c>
      <c r="B407" s="2">
        <v>45427</v>
      </c>
      <c r="C407" t="s">
        <v>879</v>
      </c>
      <c r="D407" t="s">
        <v>1012</v>
      </c>
      <c r="E407">
        <v>7</v>
      </c>
      <c r="F407">
        <v>40</v>
      </c>
      <c r="G407">
        <v>11.74</v>
      </c>
      <c r="H407" t="s">
        <v>1154</v>
      </c>
      <c r="I407" t="s">
        <v>1353</v>
      </c>
      <c r="J407" t="s">
        <v>1414</v>
      </c>
      <c r="K407" t="s">
        <v>1422</v>
      </c>
    </row>
    <row r="408" spans="1:11" x14ac:dyDescent="0.25">
      <c r="A408" t="s">
        <v>1834</v>
      </c>
      <c r="B408" s="2">
        <v>45428</v>
      </c>
      <c r="C408" t="s">
        <v>130</v>
      </c>
      <c r="D408" t="s">
        <v>1015</v>
      </c>
      <c r="E408">
        <v>2</v>
      </c>
      <c r="F408">
        <v>10</v>
      </c>
      <c r="G408">
        <v>2.6</v>
      </c>
      <c r="H408" t="s">
        <v>1107</v>
      </c>
      <c r="I408" t="s">
        <v>1306</v>
      </c>
      <c r="J408" t="s">
        <v>1414</v>
      </c>
      <c r="K408" t="s">
        <v>1422</v>
      </c>
    </row>
    <row r="409" spans="1:11" x14ac:dyDescent="0.25">
      <c r="A409" t="s">
        <v>1835</v>
      </c>
      <c r="B409" s="2">
        <v>45428</v>
      </c>
      <c r="C409" t="s">
        <v>148</v>
      </c>
      <c r="D409" t="s">
        <v>1013</v>
      </c>
      <c r="E409">
        <v>6</v>
      </c>
      <c r="F409">
        <v>25</v>
      </c>
      <c r="G409">
        <v>5.69</v>
      </c>
      <c r="H409" t="s">
        <v>1047</v>
      </c>
      <c r="I409" t="s">
        <v>1246</v>
      </c>
      <c r="J409" t="s">
        <v>1414</v>
      </c>
      <c r="K409" t="s">
        <v>1422</v>
      </c>
    </row>
    <row r="410" spans="1:11" x14ac:dyDescent="0.25">
      <c r="A410" t="s">
        <v>1836</v>
      </c>
      <c r="B410" s="2">
        <v>45428</v>
      </c>
      <c r="C410" t="s">
        <v>565</v>
      </c>
      <c r="D410" t="s">
        <v>1013</v>
      </c>
      <c r="E410">
        <v>10</v>
      </c>
      <c r="G410">
        <v>9.11</v>
      </c>
      <c r="H410" t="s">
        <v>1017</v>
      </c>
      <c r="I410" t="s">
        <v>1216</v>
      </c>
      <c r="J410" t="s">
        <v>1414</v>
      </c>
      <c r="K410" t="s">
        <v>1420</v>
      </c>
    </row>
    <row r="411" spans="1:11" x14ac:dyDescent="0.25">
      <c r="A411" t="s">
        <v>1837</v>
      </c>
      <c r="B411" s="2">
        <v>45429</v>
      </c>
      <c r="C411" t="s">
        <v>895</v>
      </c>
      <c r="D411" t="s">
        <v>1012</v>
      </c>
      <c r="E411">
        <v>8</v>
      </c>
      <c r="F411">
        <v>40</v>
      </c>
      <c r="G411">
        <v>14.14</v>
      </c>
      <c r="H411" t="s">
        <v>1092</v>
      </c>
      <c r="I411" t="s">
        <v>1291</v>
      </c>
      <c r="J411" t="s">
        <v>1416</v>
      </c>
      <c r="K411" t="s">
        <v>1419</v>
      </c>
    </row>
    <row r="412" spans="1:11" x14ac:dyDescent="0.25">
      <c r="A412" t="s">
        <v>1838</v>
      </c>
      <c r="B412" s="2">
        <v>45430</v>
      </c>
      <c r="C412" t="s">
        <v>120</v>
      </c>
      <c r="D412" t="s">
        <v>1015</v>
      </c>
      <c r="E412">
        <v>8</v>
      </c>
      <c r="F412">
        <v>10</v>
      </c>
      <c r="G412">
        <v>3.2</v>
      </c>
      <c r="H412" t="s">
        <v>1100</v>
      </c>
      <c r="I412" t="s">
        <v>1299</v>
      </c>
      <c r="J412" t="s">
        <v>1417</v>
      </c>
      <c r="K412" t="s">
        <v>1424</v>
      </c>
    </row>
    <row r="413" spans="1:11" x14ac:dyDescent="0.25">
      <c r="A413" t="s">
        <v>1839</v>
      </c>
      <c r="B413" s="2">
        <v>45430</v>
      </c>
      <c r="C413" t="s">
        <v>277</v>
      </c>
      <c r="D413" t="s">
        <v>1014</v>
      </c>
      <c r="E413">
        <v>8</v>
      </c>
      <c r="F413">
        <v>15</v>
      </c>
      <c r="G413">
        <v>5.1100000000000003</v>
      </c>
      <c r="H413" t="s">
        <v>1163</v>
      </c>
      <c r="I413" t="s">
        <v>1362</v>
      </c>
      <c r="J413" t="s">
        <v>1416</v>
      </c>
      <c r="K413" t="s">
        <v>1427</v>
      </c>
    </row>
    <row r="414" spans="1:11" x14ac:dyDescent="0.25">
      <c r="A414" t="s">
        <v>1840</v>
      </c>
      <c r="B414" s="2">
        <v>45430</v>
      </c>
      <c r="C414" t="s">
        <v>367</v>
      </c>
      <c r="D414" t="s">
        <v>1014</v>
      </c>
      <c r="E414">
        <v>1</v>
      </c>
      <c r="F414">
        <v>15</v>
      </c>
      <c r="G414">
        <v>3.13</v>
      </c>
      <c r="H414" t="s">
        <v>1044</v>
      </c>
      <c r="I414" t="s">
        <v>1243</v>
      </c>
      <c r="J414" t="s">
        <v>1414</v>
      </c>
      <c r="K414" t="s">
        <v>1422</v>
      </c>
    </row>
    <row r="415" spans="1:11" x14ac:dyDescent="0.25">
      <c r="A415" t="s">
        <v>1841</v>
      </c>
      <c r="B415" s="2">
        <v>45430</v>
      </c>
      <c r="C415" t="s">
        <v>402</v>
      </c>
      <c r="D415" t="s">
        <v>1013</v>
      </c>
      <c r="E415">
        <v>3</v>
      </c>
      <c r="F415">
        <v>25</v>
      </c>
      <c r="G415">
        <v>5.8</v>
      </c>
      <c r="H415" t="s">
        <v>1182</v>
      </c>
      <c r="I415" t="s">
        <v>1381</v>
      </c>
      <c r="J415" t="s">
        <v>1414</v>
      </c>
      <c r="K415" t="s">
        <v>1426</v>
      </c>
    </row>
    <row r="416" spans="1:11" x14ac:dyDescent="0.25">
      <c r="A416" t="s">
        <v>1842</v>
      </c>
      <c r="B416" s="2">
        <v>45430</v>
      </c>
      <c r="C416" t="s">
        <v>975</v>
      </c>
      <c r="D416" t="s">
        <v>1015</v>
      </c>
      <c r="E416">
        <v>10</v>
      </c>
      <c r="F416">
        <v>10</v>
      </c>
      <c r="G416">
        <v>3.45</v>
      </c>
      <c r="H416" t="s">
        <v>1207</v>
      </c>
      <c r="I416" t="s">
        <v>1406</v>
      </c>
      <c r="J416" t="s">
        <v>1414</v>
      </c>
      <c r="K416" t="s">
        <v>1425</v>
      </c>
    </row>
    <row r="417" spans="1:11" x14ac:dyDescent="0.25">
      <c r="A417" t="s">
        <v>1843</v>
      </c>
      <c r="B417" s="2">
        <v>45431</v>
      </c>
      <c r="C417" t="s">
        <v>32</v>
      </c>
      <c r="D417" t="s">
        <v>1012</v>
      </c>
      <c r="E417">
        <v>8</v>
      </c>
      <c r="F417">
        <v>40</v>
      </c>
      <c r="G417">
        <v>11.29</v>
      </c>
      <c r="H417" t="s">
        <v>1035</v>
      </c>
      <c r="I417" t="s">
        <v>1234</v>
      </c>
      <c r="J417" t="s">
        <v>1415</v>
      </c>
      <c r="K417" t="s">
        <v>1421</v>
      </c>
    </row>
    <row r="418" spans="1:11" x14ac:dyDescent="0.25">
      <c r="A418" t="s">
        <v>1844</v>
      </c>
      <c r="B418" s="2">
        <v>45431</v>
      </c>
      <c r="C418" t="s">
        <v>159</v>
      </c>
      <c r="D418" t="s">
        <v>1011</v>
      </c>
      <c r="E418">
        <v>6</v>
      </c>
      <c r="F418">
        <v>12</v>
      </c>
      <c r="G418">
        <v>3.5</v>
      </c>
      <c r="H418" t="s">
        <v>1022</v>
      </c>
      <c r="I418" t="s">
        <v>1221</v>
      </c>
      <c r="J418" t="s">
        <v>1414</v>
      </c>
      <c r="K418" t="s">
        <v>1424</v>
      </c>
    </row>
    <row r="419" spans="1:11" x14ac:dyDescent="0.25">
      <c r="A419" t="s">
        <v>1845</v>
      </c>
      <c r="B419" s="2">
        <v>45431</v>
      </c>
      <c r="C419" t="s">
        <v>297</v>
      </c>
      <c r="D419" t="s">
        <v>1014</v>
      </c>
      <c r="E419">
        <v>8</v>
      </c>
      <c r="F419">
        <v>15</v>
      </c>
      <c r="G419">
        <v>5.56</v>
      </c>
      <c r="H419" t="s">
        <v>1114</v>
      </c>
      <c r="I419" t="s">
        <v>1313</v>
      </c>
      <c r="J419" t="s">
        <v>1416</v>
      </c>
      <c r="K419" t="s">
        <v>1424</v>
      </c>
    </row>
    <row r="420" spans="1:11" x14ac:dyDescent="0.25">
      <c r="A420" t="s">
        <v>1846</v>
      </c>
      <c r="B420" s="2">
        <v>45431</v>
      </c>
      <c r="C420" t="s">
        <v>387</v>
      </c>
      <c r="D420" t="s">
        <v>1011</v>
      </c>
      <c r="E420">
        <v>3</v>
      </c>
      <c r="G420">
        <v>3.51</v>
      </c>
      <c r="H420" t="s">
        <v>1109</v>
      </c>
      <c r="I420" t="s">
        <v>1308</v>
      </c>
      <c r="J420" t="s">
        <v>1414</v>
      </c>
      <c r="K420" t="s">
        <v>1422</v>
      </c>
    </row>
    <row r="421" spans="1:11" x14ac:dyDescent="0.25">
      <c r="A421" t="s">
        <v>1847</v>
      </c>
      <c r="B421" s="2">
        <v>45431</v>
      </c>
      <c r="C421" t="s">
        <v>832</v>
      </c>
      <c r="D421" t="s">
        <v>1013</v>
      </c>
      <c r="E421">
        <v>6</v>
      </c>
      <c r="F421">
        <v>25</v>
      </c>
      <c r="G421">
        <v>6.75</v>
      </c>
      <c r="H421" t="s">
        <v>1066</v>
      </c>
      <c r="I421" t="s">
        <v>1265</v>
      </c>
      <c r="J421" t="s">
        <v>1416</v>
      </c>
      <c r="K421" t="s">
        <v>1425</v>
      </c>
    </row>
    <row r="422" spans="1:11" x14ac:dyDescent="0.25">
      <c r="A422" t="s">
        <v>1848</v>
      </c>
      <c r="B422" s="2">
        <v>45432</v>
      </c>
      <c r="C422" t="s">
        <v>399</v>
      </c>
      <c r="D422" t="s">
        <v>1011</v>
      </c>
      <c r="E422">
        <v>1</v>
      </c>
      <c r="F422">
        <v>12</v>
      </c>
      <c r="G422">
        <v>4</v>
      </c>
      <c r="H422" t="s">
        <v>1159</v>
      </c>
      <c r="I422" t="s">
        <v>1358</v>
      </c>
      <c r="J422" t="s">
        <v>1416</v>
      </c>
      <c r="K422" t="s">
        <v>1425</v>
      </c>
    </row>
    <row r="423" spans="1:11" x14ac:dyDescent="0.25">
      <c r="A423" t="s">
        <v>1849</v>
      </c>
      <c r="B423" s="2">
        <v>45433</v>
      </c>
      <c r="C423" t="s">
        <v>314</v>
      </c>
      <c r="D423" t="s">
        <v>1012</v>
      </c>
      <c r="E423">
        <v>7</v>
      </c>
      <c r="F423">
        <v>40</v>
      </c>
      <c r="G423">
        <v>14.84</v>
      </c>
      <c r="H423" t="s">
        <v>1049</v>
      </c>
      <c r="I423" t="s">
        <v>1248</v>
      </c>
      <c r="J423" t="s">
        <v>1414</v>
      </c>
      <c r="K423" t="s">
        <v>1421</v>
      </c>
    </row>
    <row r="424" spans="1:11" x14ac:dyDescent="0.25">
      <c r="A424" t="s">
        <v>1850</v>
      </c>
      <c r="B424" s="2">
        <v>45433</v>
      </c>
      <c r="C424" t="s">
        <v>683</v>
      </c>
      <c r="D424" t="s">
        <v>1012</v>
      </c>
      <c r="E424">
        <v>5</v>
      </c>
      <c r="G424">
        <v>10.58</v>
      </c>
      <c r="H424" t="s">
        <v>1131</v>
      </c>
      <c r="I424" t="s">
        <v>1330</v>
      </c>
      <c r="J424" t="s">
        <v>1414</v>
      </c>
      <c r="K424" t="s">
        <v>1422</v>
      </c>
    </row>
    <row r="425" spans="1:11" x14ac:dyDescent="0.25">
      <c r="A425" t="s">
        <v>1851</v>
      </c>
      <c r="B425" s="2">
        <v>45433</v>
      </c>
      <c r="C425" t="s">
        <v>869</v>
      </c>
      <c r="D425" t="s">
        <v>1014</v>
      </c>
      <c r="E425">
        <v>9</v>
      </c>
      <c r="F425">
        <v>15</v>
      </c>
      <c r="G425">
        <v>5.77</v>
      </c>
      <c r="H425" t="s">
        <v>1114</v>
      </c>
      <c r="I425" t="s">
        <v>1313</v>
      </c>
      <c r="J425" t="s">
        <v>1414</v>
      </c>
      <c r="K425" t="s">
        <v>1418</v>
      </c>
    </row>
    <row r="426" spans="1:11" x14ac:dyDescent="0.25">
      <c r="A426" t="s">
        <v>1852</v>
      </c>
      <c r="B426" s="2">
        <v>45434</v>
      </c>
      <c r="C426" t="s">
        <v>665</v>
      </c>
      <c r="D426" t="s">
        <v>1014</v>
      </c>
      <c r="E426">
        <v>5</v>
      </c>
      <c r="F426">
        <v>15</v>
      </c>
      <c r="G426">
        <v>5.92</v>
      </c>
      <c r="H426" t="s">
        <v>1102</v>
      </c>
      <c r="I426" t="s">
        <v>1301</v>
      </c>
      <c r="J426" t="s">
        <v>1414</v>
      </c>
      <c r="K426" t="s">
        <v>1426</v>
      </c>
    </row>
    <row r="427" spans="1:11" x14ac:dyDescent="0.25">
      <c r="A427" t="s">
        <v>1853</v>
      </c>
      <c r="B427" s="2">
        <v>45435</v>
      </c>
      <c r="C427" t="s">
        <v>57</v>
      </c>
      <c r="D427" t="s">
        <v>1012</v>
      </c>
      <c r="E427">
        <v>9</v>
      </c>
      <c r="F427">
        <v>40</v>
      </c>
      <c r="G427">
        <v>10.53</v>
      </c>
      <c r="H427" t="s">
        <v>1055</v>
      </c>
      <c r="I427" t="s">
        <v>1254</v>
      </c>
      <c r="J427" t="s">
        <v>1416</v>
      </c>
      <c r="K427" t="s">
        <v>1418</v>
      </c>
    </row>
    <row r="428" spans="1:11" x14ac:dyDescent="0.25">
      <c r="A428" t="s">
        <v>1854</v>
      </c>
      <c r="B428" s="2">
        <v>45435</v>
      </c>
      <c r="C428" t="s">
        <v>383</v>
      </c>
      <c r="D428" t="s">
        <v>1014</v>
      </c>
      <c r="E428">
        <v>10</v>
      </c>
      <c r="F428">
        <v>15</v>
      </c>
      <c r="G428">
        <v>3.43</v>
      </c>
      <c r="H428" t="s">
        <v>1145</v>
      </c>
      <c r="I428" t="s">
        <v>1344</v>
      </c>
      <c r="J428" t="s">
        <v>1414</v>
      </c>
      <c r="K428" t="s">
        <v>1422</v>
      </c>
    </row>
    <row r="429" spans="1:11" x14ac:dyDescent="0.25">
      <c r="A429" t="s">
        <v>1855</v>
      </c>
      <c r="B429" s="2">
        <v>45435</v>
      </c>
      <c r="C429" t="s">
        <v>779</v>
      </c>
      <c r="D429" t="s">
        <v>1012</v>
      </c>
      <c r="E429">
        <v>1</v>
      </c>
      <c r="F429">
        <v>40</v>
      </c>
      <c r="G429">
        <v>12.59</v>
      </c>
      <c r="H429" t="s">
        <v>1097</v>
      </c>
      <c r="I429" t="s">
        <v>1296</v>
      </c>
      <c r="J429" t="s">
        <v>1414</v>
      </c>
      <c r="K429" t="s">
        <v>1425</v>
      </c>
    </row>
    <row r="430" spans="1:11" x14ac:dyDescent="0.25">
      <c r="A430" t="s">
        <v>1856</v>
      </c>
      <c r="B430" s="2">
        <v>45435</v>
      </c>
      <c r="C430" t="s">
        <v>792</v>
      </c>
      <c r="D430" t="s">
        <v>1011</v>
      </c>
      <c r="E430">
        <v>3</v>
      </c>
      <c r="F430">
        <v>12</v>
      </c>
      <c r="G430">
        <v>3.18</v>
      </c>
      <c r="H430" t="s">
        <v>1122</v>
      </c>
      <c r="I430" t="s">
        <v>1321</v>
      </c>
      <c r="J430" t="s">
        <v>1414</v>
      </c>
      <c r="K430" t="s">
        <v>1423</v>
      </c>
    </row>
    <row r="431" spans="1:11" x14ac:dyDescent="0.25">
      <c r="A431" t="s">
        <v>1857</v>
      </c>
      <c r="B431" s="2">
        <v>45435</v>
      </c>
      <c r="C431" t="s">
        <v>936</v>
      </c>
      <c r="D431" t="s">
        <v>1012</v>
      </c>
      <c r="E431">
        <v>9</v>
      </c>
      <c r="F431">
        <v>40</v>
      </c>
      <c r="G431">
        <v>8.0399999999999991</v>
      </c>
      <c r="H431" t="s">
        <v>1202</v>
      </c>
      <c r="I431" t="s">
        <v>1401</v>
      </c>
      <c r="J431" t="s">
        <v>1415</v>
      </c>
      <c r="K431" t="s">
        <v>1421</v>
      </c>
    </row>
    <row r="432" spans="1:11" x14ac:dyDescent="0.25">
      <c r="A432" t="s">
        <v>1858</v>
      </c>
      <c r="B432" s="2">
        <v>45436</v>
      </c>
      <c r="C432" t="s">
        <v>360</v>
      </c>
      <c r="D432" t="s">
        <v>1013</v>
      </c>
      <c r="E432">
        <v>6</v>
      </c>
      <c r="F432">
        <v>25</v>
      </c>
      <c r="G432">
        <v>6.37</v>
      </c>
      <c r="H432" t="s">
        <v>1134</v>
      </c>
      <c r="I432" t="s">
        <v>1333</v>
      </c>
      <c r="J432" t="s">
        <v>1416</v>
      </c>
      <c r="K432" t="s">
        <v>1420</v>
      </c>
    </row>
    <row r="433" spans="1:11" x14ac:dyDescent="0.25">
      <c r="A433" t="s">
        <v>1859</v>
      </c>
      <c r="B433" s="2">
        <v>45436</v>
      </c>
      <c r="C433" t="s">
        <v>619</v>
      </c>
      <c r="D433" t="s">
        <v>1013</v>
      </c>
      <c r="E433">
        <v>2</v>
      </c>
      <c r="G433">
        <v>9.68</v>
      </c>
      <c r="H433" t="s">
        <v>1207</v>
      </c>
      <c r="I433" t="s">
        <v>1406</v>
      </c>
      <c r="J433" t="s">
        <v>1416</v>
      </c>
      <c r="K433" t="s">
        <v>1423</v>
      </c>
    </row>
    <row r="434" spans="1:11" x14ac:dyDescent="0.25">
      <c r="A434" t="s">
        <v>1860</v>
      </c>
      <c r="B434" s="2">
        <v>45437</v>
      </c>
      <c r="C434" t="s">
        <v>106</v>
      </c>
      <c r="D434" t="s">
        <v>1013</v>
      </c>
      <c r="E434">
        <v>4</v>
      </c>
      <c r="F434">
        <v>25</v>
      </c>
      <c r="G434">
        <v>6.63</v>
      </c>
      <c r="H434" t="s">
        <v>1088</v>
      </c>
      <c r="I434" t="s">
        <v>1287</v>
      </c>
      <c r="J434" t="s">
        <v>1416</v>
      </c>
      <c r="K434" t="s">
        <v>1422</v>
      </c>
    </row>
    <row r="435" spans="1:11" x14ac:dyDescent="0.25">
      <c r="A435" t="s">
        <v>1861</v>
      </c>
      <c r="B435" s="2">
        <v>45437</v>
      </c>
      <c r="C435" t="s">
        <v>678</v>
      </c>
      <c r="D435" t="s">
        <v>1014</v>
      </c>
      <c r="E435">
        <v>5</v>
      </c>
      <c r="G435">
        <v>5.99</v>
      </c>
      <c r="H435" t="s">
        <v>1072</v>
      </c>
      <c r="I435" t="s">
        <v>1271</v>
      </c>
      <c r="J435" t="s">
        <v>1414</v>
      </c>
      <c r="K435" t="s">
        <v>1424</v>
      </c>
    </row>
    <row r="436" spans="1:11" x14ac:dyDescent="0.25">
      <c r="A436" t="s">
        <v>1862</v>
      </c>
      <c r="B436" s="2">
        <v>45437</v>
      </c>
      <c r="C436" t="s">
        <v>968</v>
      </c>
      <c r="D436" t="s">
        <v>1014</v>
      </c>
      <c r="E436">
        <v>8</v>
      </c>
      <c r="F436">
        <v>15</v>
      </c>
      <c r="G436">
        <v>4.1100000000000003</v>
      </c>
      <c r="H436" t="s">
        <v>1166</v>
      </c>
      <c r="I436" t="s">
        <v>1365</v>
      </c>
      <c r="J436" t="s">
        <v>1417</v>
      </c>
      <c r="K436" t="s">
        <v>1418</v>
      </c>
    </row>
    <row r="437" spans="1:11" x14ac:dyDescent="0.25">
      <c r="A437" t="s">
        <v>1863</v>
      </c>
      <c r="B437" s="2">
        <v>45438</v>
      </c>
      <c r="C437" t="s">
        <v>717</v>
      </c>
      <c r="D437" t="s">
        <v>1015</v>
      </c>
      <c r="E437">
        <v>1</v>
      </c>
      <c r="F437">
        <v>10</v>
      </c>
      <c r="G437">
        <v>2.81</v>
      </c>
      <c r="H437" t="s">
        <v>1095</v>
      </c>
      <c r="I437" t="s">
        <v>1294</v>
      </c>
      <c r="J437" t="s">
        <v>1414</v>
      </c>
      <c r="K437" t="s">
        <v>1418</v>
      </c>
    </row>
    <row r="438" spans="1:11" x14ac:dyDescent="0.25">
      <c r="A438" t="s">
        <v>1864</v>
      </c>
      <c r="B438" s="2">
        <v>45439</v>
      </c>
      <c r="C438" t="s">
        <v>274</v>
      </c>
      <c r="D438" t="s">
        <v>1012</v>
      </c>
      <c r="E438">
        <v>5</v>
      </c>
      <c r="F438">
        <v>40</v>
      </c>
      <c r="G438">
        <v>9.7200000000000006</v>
      </c>
      <c r="H438" t="s">
        <v>1161</v>
      </c>
      <c r="I438" t="s">
        <v>1360</v>
      </c>
      <c r="J438" t="s">
        <v>1415</v>
      </c>
      <c r="K438" t="s">
        <v>1421</v>
      </c>
    </row>
    <row r="439" spans="1:11" x14ac:dyDescent="0.25">
      <c r="A439" t="s">
        <v>1865</v>
      </c>
      <c r="B439" s="2">
        <v>45439</v>
      </c>
      <c r="C439" t="s">
        <v>955</v>
      </c>
      <c r="D439" t="s">
        <v>1011</v>
      </c>
      <c r="E439">
        <v>8</v>
      </c>
      <c r="F439">
        <v>12</v>
      </c>
      <c r="G439">
        <v>4.46</v>
      </c>
      <c r="H439" t="s">
        <v>1190</v>
      </c>
      <c r="I439" t="s">
        <v>1389</v>
      </c>
      <c r="J439" t="s">
        <v>1415</v>
      </c>
      <c r="K439" t="s">
        <v>1427</v>
      </c>
    </row>
    <row r="440" spans="1:11" x14ac:dyDescent="0.25">
      <c r="A440" t="s">
        <v>1866</v>
      </c>
      <c r="B440" s="2">
        <v>45440</v>
      </c>
      <c r="C440" t="s">
        <v>266</v>
      </c>
      <c r="D440" t="s">
        <v>1013</v>
      </c>
      <c r="E440">
        <v>5</v>
      </c>
      <c r="F440">
        <v>25</v>
      </c>
      <c r="G440">
        <v>7.88</v>
      </c>
      <c r="H440" t="s">
        <v>1131</v>
      </c>
      <c r="I440" t="s">
        <v>1330</v>
      </c>
      <c r="J440" t="s">
        <v>1414</v>
      </c>
      <c r="K440" t="s">
        <v>1421</v>
      </c>
    </row>
    <row r="441" spans="1:11" x14ac:dyDescent="0.25">
      <c r="A441" t="s">
        <v>1867</v>
      </c>
      <c r="B441" s="2">
        <v>45440</v>
      </c>
      <c r="C441" t="s">
        <v>340</v>
      </c>
      <c r="D441" t="s">
        <v>1014</v>
      </c>
      <c r="E441">
        <v>1</v>
      </c>
      <c r="F441">
        <v>15</v>
      </c>
      <c r="G441">
        <v>4.3499999999999996</v>
      </c>
      <c r="H441" t="s">
        <v>1175</v>
      </c>
      <c r="I441" t="s">
        <v>1374</v>
      </c>
      <c r="J441" t="s">
        <v>1414</v>
      </c>
      <c r="K441" t="s">
        <v>1423</v>
      </c>
    </row>
    <row r="442" spans="1:11" x14ac:dyDescent="0.25">
      <c r="A442" t="s">
        <v>1868</v>
      </c>
      <c r="B442" s="2">
        <v>45440</v>
      </c>
      <c r="C442" t="s">
        <v>357</v>
      </c>
      <c r="D442" t="s">
        <v>1013</v>
      </c>
      <c r="E442">
        <v>2</v>
      </c>
      <c r="G442">
        <v>6.85</v>
      </c>
      <c r="H442" t="s">
        <v>1110</v>
      </c>
      <c r="I442" t="s">
        <v>1309</v>
      </c>
      <c r="J442" t="s">
        <v>1416</v>
      </c>
      <c r="K442" t="s">
        <v>1421</v>
      </c>
    </row>
    <row r="443" spans="1:11" x14ac:dyDescent="0.25">
      <c r="A443" t="s">
        <v>1869</v>
      </c>
      <c r="B443" s="2">
        <v>45440</v>
      </c>
      <c r="C443" t="s">
        <v>467</v>
      </c>
      <c r="D443" t="s">
        <v>1011</v>
      </c>
      <c r="E443">
        <v>9</v>
      </c>
      <c r="F443">
        <v>12</v>
      </c>
      <c r="G443">
        <v>4.32</v>
      </c>
      <c r="H443" t="s">
        <v>1196</v>
      </c>
      <c r="I443" t="s">
        <v>1395</v>
      </c>
      <c r="J443" t="s">
        <v>1414</v>
      </c>
      <c r="K443" t="s">
        <v>1420</v>
      </c>
    </row>
    <row r="444" spans="1:11" x14ac:dyDescent="0.25">
      <c r="A444" t="s">
        <v>1870</v>
      </c>
      <c r="B444" s="2">
        <v>45440</v>
      </c>
      <c r="C444" t="s">
        <v>575</v>
      </c>
      <c r="D444" t="s">
        <v>1014</v>
      </c>
      <c r="E444">
        <v>4</v>
      </c>
      <c r="F444">
        <v>15</v>
      </c>
      <c r="G444">
        <v>5.41</v>
      </c>
      <c r="H444" t="s">
        <v>1079</v>
      </c>
      <c r="I444" t="s">
        <v>1278</v>
      </c>
      <c r="J444" t="s">
        <v>1416</v>
      </c>
      <c r="K444" t="s">
        <v>1420</v>
      </c>
    </row>
    <row r="445" spans="1:11" x14ac:dyDescent="0.25">
      <c r="A445" t="s">
        <v>1871</v>
      </c>
      <c r="B445" s="2">
        <v>45441</v>
      </c>
      <c r="C445" t="s">
        <v>80</v>
      </c>
      <c r="D445" t="s">
        <v>1012</v>
      </c>
      <c r="E445">
        <v>6</v>
      </c>
      <c r="F445">
        <v>40</v>
      </c>
      <c r="G445">
        <v>9.43</v>
      </c>
      <c r="H445" t="s">
        <v>1072</v>
      </c>
      <c r="I445" t="s">
        <v>1271</v>
      </c>
      <c r="J445" t="s">
        <v>1414</v>
      </c>
      <c r="K445" t="s">
        <v>1419</v>
      </c>
    </row>
    <row r="446" spans="1:11" x14ac:dyDescent="0.25">
      <c r="A446" t="s">
        <v>1872</v>
      </c>
      <c r="B446" s="2">
        <v>45441</v>
      </c>
      <c r="C446" t="s">
        <v>112</v>
      </c>
      <c r="D446" t="s">
        <v>1012</v>
      </c>
      <c r="E446">
        <v>4</v>
      </c>
      <c r="F446">
        <v>40</v>
      </c>
      <c r="G446">
        <v>13.02</v>
      </c>
      <c r="H446" t="s">
        <v>1039</v>
      </c>
      <c r="I446" t="s">
        <v>1238</v>
      </c>
      <c r="J446" t="s">
        <v>1414</v>
      </c>
      <c r="K446" t="s">
        <v>1418</v>
      </c>
    </row>
    <row r="447" spans="1:11" x14ac:dyDescent="0.25">
      <c r="A447" t="s">
        <v>1873</v>
      </c>
      <c r="B447" s="2">
        <v>45442</v>
      </c>
      <c r="C447" t="s">
        <v>93</v>
      </c>
      <c r="D447" t="s">
        <v>1014</v>
      </c>
      <c r="E447">
        <v>1</v>
      </c>
      <c r="F447">
        <v>15</v>
      </c>
      <c r="G447">
        <v>3.05</v>
      </c>
      <c r="H447" t="s">
        <v>1079</v>
      </c>
      <c r="I447" t="s">
        <v>1278</v>
      </c>
      <c r="J447" t="s">
        <v>1414</v>
      </c>
      <c r="K447" t="s">
        <v>1422</v>
      </c>
    </row>
    <row r="448" spans="1:11" x14ac:dyDescent="0.25">
      <c r="A448" t="s">
        <v>1874</v>
      </c>
      <c r="B448" s="2">
        <v>45442</v>
      </c>
      <c r="C448" t="s">
        <v>715</v>
      </c>
      <c r="D448" t="s">
        <v>1011</v>
      </c>
      <c r="E448">
        <v>7</v>
      </c>
      <c r="F448">
        <v>12</v>
      </c>
      <c r="G448">
        <v>4.2</v>
      </c>
      <c r="H448" t="s">
        <v>1096</v>
      </c>
      <c r="I448" t="s">
        <v>1295</v>
      </c>
      <c r="J448" t="s">
        <v>1414</v>
      </c>
      <c r="K448" t="s">
        <v>1424</v>
      </c>
    </row>
    <row r="449" spans="1:11" x14ac:dyDescent="0.25">
      <c r="A449" t="s">
        <v>1875</v>
      </c>
      <c r="B449" s="2">
        <v>45443</v>
      </c>
      <c r="C449" t="s">
        <v>324</v>
      </c>
      <c r="D449" t="s">
        <v>1012</v>
      </c>
      <c r="E449">
        <v>3</v>
      </c>
      <c r="F449">
        <v>40</v>
      </c>
      <c r="G449">
        <v>14.46</v>
      </c>
      <c r="H449" t="s">
        <v>1131</v>
      </c>
      <c r="I449" t="s">
        <v>1330</v>
      </c>
      <c r="J449" t="s">
        <v>1414</v>
      </c>
      <c r="K449" t="s">
        <v>1424</v>
      </c>
    </row>
    <row r="450" spans="1:11" x14ac:dyDescent="0.25">
      <c r="A450" t="s">
        <v>1876</v>
      </c>
      <c r="B450" s="2">
        <v>45443</v>
      </c>
      <c r="C450" t="s">
        <v>545</v>
      </c>
      <c r="D450" t="s">
        <v>1011</v>
      </c>
      <c r="E450">
        <v>10</v>
      </c>
      <c r="F450">
        <v>12</v>
      </c>
      <c r="G450">
        <v>4.5999999999999996</v>
      </c>
      <c r="H450" t="s">
        <v>1114</v>
      </c>
      <c r="I450" t="s">
        <v>1313</v>
      </c>
      <c r="J450" t="s">
        <v>1414</v>
      </c>
      <c r="K450" t="s">
        <v>1418</v>
      </c>
    </row>
    <row r="451" spans="1:11" x14ac:dyDescent="0.25">
      <c r="A451" t="s">
        <v>1877</v>
      </c>
      <c r="B451" s="2">
        <v>45445</v>
      </c>
      <c r="C451" t="s">
        <v>86</v>
      </c>
      <c r="D451" t="s">
        <v>1011</v>
      </c>
      <c r="E451">
        <v>4</v>
      </c>
      <c r="F451">
        <v>12</v>
      </c>
      <c r="G451">
        <v>4.3899999999999997</v>
      </c>
      <c r="H451" t="s">
        <v>1075</v>
      </c>
      <c r="I451" t="s">
        <v>1274</v>
      </c>
      <c r="J451" t="s">
        <v>1416</v>
      </c>
      <c r="K451" t="s">
        <v>1425</v>
      </c>
    </row>
    <row r="452" spans="1:11" x14ac:dyDescent="0.25">
      <c r="A452" t="s">
        <v>1878</v>
      </c>
      <c r="B452" s="2">
        <v>45445</v>
      </c>
      <c r="C452" t="s">
        <v>405</v>
      </c>
      <c r="D452" t="s">
        <v>1012</v>
      </c>
      <c r="E452">
        <v>10</v>
      </c>
      <c r="F452">
        <v>40</v>
      </c>
      <c r="G452">
        <v>9.85</v>
      </c>
      <c r="H452" t="s">
        <v>1134</v>
      </c>
      <c r="I452" t="s">
        <v>1333</v>
      </c>
      <c r="J452" t="s">
        <v>1414</v>
      </c>
      <c r="K452" t="s">
        <v>1418</v>
      </c>
    </row>
    <row r="453" spans="1:11" x14ac:dyDescent="0.25">
      <c r="A453" t="s">
        <v>1879</v>
      </c>
      <c r="B453" s="2">
        <v>45446</v>
      </c>
      <c r="C453" t="s">
        <v>180</v>
      </c>
      <c r="D453" t="s">
        <v>1011</v>
      </c>
      <c r="E453">
        <v>5</v>
      </c>
      <c r="F453">
        <v>12</v>
      </c>
      <c r="G453">
        <v>3.43</v>
      </c>
      <c r="H453" t="s">
        <v>1131</v>
      </c>
      <c r="I453" t="s">
        <v>1330</v>
      </c>
      <c r="J453" t="s">
        <v>1414</v>
      </c>
      <c r="K453" t="s">
        <v>1427</v>
      </c>
    </row>
    <row r="454" spans="1:11" x14ac:dyDescent="0.25">
      <c r="A454" t="s">
        <v>1880</v>
      </c>
      <c r="B454" s="2">
        <v>45446</v>
      </c>
      <c r="C454" t="s">
        <v>291</v>
      </c>
      <c r="D454" t="s">
        <v>1015</v>
      </c>
      <c r="E454">
        <v>5</v>
      </c>
      <c r="F454">
        <v>10</v>
      </c>
      <c r="G454">
        <v>3.46</v>
      </c>
      <c r="H454" t="s">
        <v>1152</v>
      </c>
      <c r="I454" t="s">
        <v>1351</v>
      </c>
      <c r="J454" t="s">
        <v>1414</v>
      </c>
      <c r="K454" t="s">
        <v>1418</v>
      </c>
    </row>
    <row r="455" spans="1:11" x14ac:dyDescent="0.25">
      <c r="A455" t="s">
        <v>1881</v>
      </c>
      <c r="B455" s="2">
        <v>45446</v>
      </c>
      <c r="C455" t="s">
        <v>534</v>
      </c>
      <c r="D455" t="s">
        <v>1013</v>
      </c>
      <c r="E455">
        <v>1</v>
      </c>
      <c r="F455">
        <v>25</v>
      </c>
      <c r="G455">
        <v>9.2100000000000009</v>
      </c>
      <c r="H455" t="s">
        <v>1092</v>
      </c>
      <c r="I455" t="s">
        <v>1291</v>
      </c>
      <c r="J455" t="s">
        <v>1416</v>
      </c>
      <c r="K455" t="s">
        <v>1418</v>
      </c>
    </row>
    <row r="456" spans="1:11" x14ac:dyDescent="0.25">
      <c r="A456" t="s">
        <v>1882</v>
      </c>
      <c r="B456" s="2">
        <v>45446</v>
      </c>
      <c r="C456" t="s">
        <v>918</v>
      </c>
      <c r="D456" t="s">
        <v>1011</v>
      </c>
      <c r="E456">
        <v>7</v>
      </c>
      <c r="F456">
        <v>12</v>
      </c>
      <c r="G456">
        <v>3.5</v>
      </c>
      <c r="H456" t="s">
        <v>1069</v>
      </c>
      <c r="I456" t="s">
        <v>1268</v>
      </c>
      <c r="J456" t="s">
        <v>1414</v>
      </c>
      <c r="K456" t="s">
        <v>1423</v>
      </c>
    </row>
    <row r="457" spans="1:11" x14ac:dyDescent="0.25">
      <c r="A457" t="s">
        <v>1883</v>
      </c>
      <c r="B457" s="2">
        <v>45446</v>
      </c>
      <c r="C457" t="s">
        <v>979</v>
      </c>
      <c r="D457" t="s">
        <v>1014</v>
      </c>
      <c r="E457">
        <v>6</v>
      </c>
      <c r="F457">
        <v>15</v>
      </c>
      <c r="G457">
        <v>5.4</v>
      </c>
      <c r="H457" t="s">
        <v>1155</v>
      </c>
      <c r="I457" t="s">
        <v>1354</v>
      </c>
      <c r="J457" t="s">
        <v>1414</v>
      </c>
      <c r="K457" t="s">
        <v>1418</v>
      </c>
    </row>
    <row r="458" spans="1:11" x14ac:dyDescent="0.25">
      <c r="A458" t="s">
        <v>1884</v>
      </c>
      <c r="B458" s="2">
        <v>45447</v>
      </c>
      <c r="C458" t="s">
        <v>371</v>
      </c>
      <c r="D458" t="s">
        <v>1013</v>
      </c>
      <c r="E458">
        <v>6</v>
      </c>
      <c r="F458">
        <v>25</v>
      </c>
      <c r="G458">
        <v>6.04</v>
      </c>
      <c r="H458" t="s">
        <v>1030</v>
      </c>
      <c r="I458" t="s">
        <v>1229</v>
      </c>
      <c r="J458" t="s">
        <v>1414</v>
      </c>
      <c r="K458" t="s">
        <v>1426</v>
      </c>
    </row>
    <row r="459" spans="1:11" x14ac:dyDescent="0.25">
      <c r="A459" t="s">
        <v>1885</v>
      </c>
      <c r="B459" s="2">
        <v>45447</v>
      </c>
      <c r="C459" t="s">
        <v>842</v>
      </c>
      <c r="D459" t="s">
        <v>1015</v>
      </c>
      <c r="E459">
        <v>10</v>
      </c>
      <c r="F459">
        <v>10</v>
      </c>
      <c r="G459">
        <v>3.34</v>
      </c>
      <c r="H459" t="s">
        <v>1161</v>
      </c>
      <c r="I459" t="s">
        <v>1360</v>
      </c>
      <c r="J459" t="s">
        <v>1415</v>
      </c>
      <c r="K459" t="s">
        <v>1423</v>
      </c>
    </row>
    <row r="460" spans="1:11" x14ac:dyDescent="0.25">
      <c r="A460" t="s">
        <v>1886</v>
      </c>
      <c r="B460" s="2">
        <v>45447</v>
      </c>
      <c r="C460" t="s">
        <v>861</v>
      </c>
      <c r="D460" t="s">
        <v>1011</v>
      </c>
      <c r="E460">
        <v>3</v>
      </c>
      <c r="F460">
        <v>12</v>
      </c>
      <c r="G460">
        <v>3.94</v>
      </c>
      <c r="H460" t="s">
        <v>1026</v>
      </c>
      <c r="I460" t="s">
        <v>1225</v>
      </c>
      <c r="J460" t="s">
        <v>1417</v>
      </c>
      <c r="K460" t="s">
        <v>1421</v>
      </c>
    </row>
    <row r="461" spans="1:11" x14ac:dyDescent="0.25">
      <c r="A461" t="s">
        <v>1887</v>
      </c>
      <c r="B461" s="2">
        <v>45448</v>
      </c>
      <c r="C461" t="s">
        <v>984</v>
      </c>
      <c r="D461" t="s">
        <v>1015</v>
      </c>
      <c r="E461">
        <v>3</v>
      </c>
      <c r="F461">
        <v>10</v>
      </c>
      <c r="G461">
        <v>3.12</v>
      </c>
      <c r="H461" t="s">
        <v>1064</v>
      </c>
      <c r="I461" t="s">
        <v>1263</v>
      </c>
      <c r="J461" t="s">
        <v>1416</v>
      </c>
      <c r="K461" t="s">
        <v>1427</v>
      </c>
    </row>
    <row r="462" spans="1:11" x14ac:dyDescent="0.25">
      <c r="A462" t="s">
        <v>1888</v>
      </c>
      <c r="B462" s="2">
        <v>45450</v>
      </c>
      <c r="C462" t="s">
        <v>175</v>
      </c>
      <c r="D462" t="s">
        <v>1011</v>
      </c>
      <c r="E462">
        <v>7</v>
      </c>
      <c r="F462">
        <v>12</v>
      </c>
      <c r="G462">
        <v>4.5599999999999996</v>
      </c>
      <c r="H462" t="s">
        <v>1061</v>
      </c>
      <c r="I462" t="s">
        <v>1260</v>
      </c>
      <c r="J462" t="s">
        <v>1414</v>
      </c>
      <c r="K462" t="s">
        <v>1422</v>
      </c>
    </row>
    <row r="463" spans="1:11" x14ac:dyDescent="0.25">
      <c r="A463" t="s">
        <v>1889</v>
      </c>
      <c r="B463" s="2">
        <v>45450</v>
      </c>
      <c r="C463" t="s">
        <v>825</v>
      </c>
      <c r="D463" t="s">
        <v>1013</v>
      </c>
      <c r="E463">
        <v>3</v>
      </c>
      <c r="F463">
        <v>25</v>
      </c>
      <c r="G463">
        <v>6.29</v>
      </c>
      <c r="H463" t="s">
        <v>1037</v>
      </c>
      <c r="I463" t="s">
        <v>1236</v>
      </c>
      <c r="J463" t="s">
        <v>1414</v>
      </c>
      <c r="K463" t="s">
        <v>1419</v>
      </c>
    </row>
    <row r="464" spans="1:11" x14ac:dyDescent="0.25">
      <c r="A464" t="s">
        <v>1890</v>
      </c>
      <c r="B464" s="2">
        <v>45450</v>
      </c>
      <c r="C464" t="s">
        <v>937</v>
      </c>
      <c r="D464" t="s">
        <v>1012</v>
      </c>
      <c r="E464">
        <v>2</v>
      </c>
      <c r="F464">
        <v>40</v>
      </c>
      <c r="G464">
        <v>8.93</v>
      </c>
      <c r="H464" t="s">
        <v>1160</v>
      </c>
      <c r="I464" t="s">
        <v>1359</v>
      </c>
      <c r="J464" t="s">
        <v>1415</v>
      </c>
      <c r="K464" t="s">
        <v>1419</v>
      </c>
    </row>
    <row r="465" spans="1:11" x14ac:dyDescent="0.25">
      <c r="A465" t="s">
        <v>1891</v>
      </c>
      <c r="B465" s="2">
        <v>45451</v>
      </c>
      <c r="C465" t="s">
        <v>88</v>
      </c>
      <c r="D465" t="s">
        <v>1013</v>
      </c>
      <c r="E465">
        <v>3</v>
      </c>
      <c r="F465">
        <v>25</v>
      </c>
      <c r="G465">
        <v>9.02</v>
      </c>
      <c r="H465" t="s">
        <v>1046</v>
      </c>
      <c r="I465" t="s">
        <v>1245</v>
      </c>
      <c r="J465" t="s">
        <v>1416</v>
      </c>
      <c r="K465" t="s">
        <v>1423</v>
      </c>
    </row>
    <row r="466" spans="1:11" x14ac:dyDescent="0.25">
      <c r="A466" t="s">
        <v>1892</v>
      </c>
      <c r="B466" s="2">
        <v>45451</v>
      </c>
      <c r="C466" t="s">
        <v>89</v>
      </c>
      <c r="D466" t="s">
        <v>1011</v>
      </c>
      <c r="E466">
        <v>2</v>
      </c>
      <c r="F466">
        <v>12</v>
      </c>
      <c r="G466">
        <v>4.6100000000000003</v>
      </c>
      <c r="H466" t="s">
        <v>1076</v>
      </c>
      <c r="I466" t="s">
        <v>1275</v>
      </c>
      <c r="J466" t="s">
        <v>1416</v>
      </c>
      <c r="K466" t="s">
        <v>1425</v>
      </c>
    </row>
    <row r="467" spans="1:11" x14ac:dyDescent="0.25">
      <c r="A467" t="s">
        <v>1893</v>
      </c>
      <c r="B467" s="2">
        <v>45451</v>
      </c>
      <c r="C467" t="s">
        <v>337</v>
      </c>
      <c r="D467" t="s">
        <v>1015</v>
      </c>
      <c r="E467">
        <v>6</v>
      </c>
      <c r="F467">
        <v>10</v>
      </c>
      <c r="G467">
        <v>3.13</v>
      </c>
      <c r="H467" t="s">
        <v>1084</v>
      </c>
      <c r="I467" t="s">
        <v>1283</v>
      </c>
      <c r="J467" t="s">
        <v>1414</v>
      </c>
      <c r="K467" t="s">
        <v>1422</v>
      </c>
    </row>
    <row r="468" spans="1:11" x14ac:dyDescent="0.25">
      <c r="A468" t="s">
        <v>1894</v>
      </c>
      <c r="B468" s="2">
        <v>45451</v>
      </c>
      <c r="C468" t="s">
        <v>588</v>
      </c>
      <c r="D468" t="s">
        <v>1012</v>
      </c>
      <c r="E468">
        <v>4</v>
      </c>
      <c r="F468">
        <v>40</v>
      </c>
      <c r="G468">
        <v>10.47</v>
      </c>
      <c r="H468" t="s">
        <v>1029</v>
      </c>
      <c r="I468" t="s">
        <v>1228</v>
      </c>
      <c r="J468" t="s">
        <v>1416</v>
      </c>
      <c r="K468" t="s">
        <v>1421</v>
      </c>
    </row>
    <row r="469" spans="1:11" x14ac:dyDescent="0.25">
      <c r="A469" t="s">
        <v>1895</v>
      </c>
      <c r="B469" s="2">
        <v>45452</v>
      </c>
      <c r="C469" t="s">
        <v>993</v>
      </c>
      <c r="D469" t="s">
        <v>1014</v>
      </c>
      <c r="E469">
        <v>9</v>
      </c>
      <c r="F469">
        <v>15</v>
      </c>
      <c r="G469">
        <v>4.75</v>
      </c>
      <c r="H469" t="s">
        <v>1147</v>
      </c>
      <c r="I469" t="s">
        <v>1346</v>
      </c>
      <c r="J469" t="s">
        <v>1417</v>
      </c>
      <c r="K469" t="s">
        <v>1422</v>
      </c>
    </row>
    <row r="470" spans="1:11" x14ac:dyDescent="0.25">
      <c r="A470" t="s">
        <v>1896</v>
      </c>
      <c r="B470" s="2">
        <v>45453</v>
      </c>
      <c r="C470" t="s">
        <v>579</v>
      </c>
      <c r="D470" t="s">
        <v>1014</v>
      </c>
      <c r="E470">
        <v>5</v>
      </c>
      <c r="F470">
        <v>15</v>
      </c>
      <c r="G470">
        <v>4.28</v>
      </c>
      <c r="H470" t="s">
        <v>1164</v>
      </c>
      <c r="I470" t="s">
        <v>1363</v>
      </c>
      <c r="J470" t="s">
        <v>1414</v>
      </c>
      <c r="K470" t="s">
        <v>1424</v>
      </c>
    </row>
    <row r="471" spans="1:11" x14ac:dyDescent="0.25">
      <c r="A471" t="s">
        <v>1897</v>
      </c>
      <c r="B471" s="2">
        <v>45455</v>
      </c>
      <c r="C471" t="s">
        <v>261</v>
      </c>
      <c r="D471" t="s">
        <v>1011</v>
      </c>
      <c r="E471">
        <v>1</v>
      </c>
      <c r="F471">
        <v>12</v>
      </c>
      <c r="G471">
        <v>3.81</v>
      </c>
      <c r="H471" t="s">
        <v>1127</v>
      </c>
      <c r="I471" t="s">
        <v>1326</v>
      </c>
      <c r="J471" t="s">
        <v>1414</v>
      </c>
      <c r="K471" t="s">
        <v>1423</v>
      </c>
    </row>
    <row r="472" spans="1:11" x14ac:dyDescent="0.25">
      <c r="A472" t="s">
        <v>1898</v>
      </c>
      <c r="B472" s="2">
        <v>45455</v>
      </c>
      <c r="C472" t="s">
        <v>865</v>
      </c>
      <c r="D472" t="s">
        <v>1011</v>
      </c>
      <c r="E472">
        <v>3</v>
      </c>
      <c r="F472">
        <v>12</v>
      </c>
      <c r="G472">
        <v>4.78</v>
      </c>
      <c r="H472" t="s">
        <v>1095</v>
      </c>
      <c r="I472" t="s">
        <v>1294</v>
      </c>
      <c r="J472" t="s">
        <v>1414</v>
      </c>
      <c r="K472" t="s">
        <v>1421</v>
      </c>
    </row>
    <row r="473" spans="1:11" x14ac:dyDescent="0.25">
      <c r="A473" t="s">
        <v>1899</v>
      </c>
      <c r="B473" s="2">
        <v>45456</v>
      </c>
      <c r="C473" t="s">
        <v>1007</v>
      </c>
      <c r="D473" t="s">
        <v>1013</v>
      </c>
      <c r="E473">
        <v>5</v>
      </c>
      <c r="F473">
        <v>25</v>
      </c>
      <c r="G473">
        <v>6.67</v>
      </c>
      <c r="H473" t="s">
        <v>1062</v>
      </c>
      <c r="I473" t="s">
        <v>1261</v>
      </c>
      <c r="J473" t="s">
        <v>1416</v>
      </c>
      <c r="K473" t="s">
        <v>1424</v>
      </c>
    </row>
    <row r="474" spans="1:11" x14ac:dyDescent="0.25">
      <c r="A474" t="s">
        <v>1900</v>
      </c>
      <c r="B474" s="2">
        <v>45457</v>
      </c>
      <c r="C474" t="s">
        <v>70</v>
      </c>
      <c r="D474" t="s">
        <v>1011</v>
      </c>
      <c r="E474">
        <v>2</v>
      </c>
      <c r="G474">
        <v>3.25</v>
      </c>
      <c r="H474" t="s">
        <v>1064</v>
      </c>
      <c r="I474" t="s">
        <v>1263</v>
      </c>
      <c r="J474" t="s">
        <v>1416</v>
      </c>
      <c r="K474" t="s">
        <v>1420</v>
      </c>
    </row>
    <row r="475" spans="1:11" x14ac:dyDescent="0.25">
      <c r="A475" t="s">
        <v>1901</v>
      </c>
      <c r="B475" s="2">
        <v>45457</v>
      </c>
      <c r="C475" t="s">
        <v>283</v>
      </c>
      <c r="D475" t="s">
        <v>1014</v>
      </c>
      <c r="E475">
        <v>6</v>
      </c>
      <c r="F475">
        <v>15</v>
      </c>
      <c r="G475">
        <v>5.6</v>
      </c>
      <c r="H475" t="s">
        <v>1076</v>
      </c>
      <c r="I475" t="s">
        <v>1275</v>
      </c>
      <c r="J475" t="s">
        <v>1414</v>
      </c>
      <c r="K475" t="s">
        <v>1421</v>
      </c>
    </row>
    <row r="476" spans="1:11" x14ac:dyDescent="0.25">
      <c r="A476" t="s">
        <v>1902</v>
      </c>
      <c r="B476" s="2">
        <v>45457</v>
      </c>
      <c r="C476" t="s">
        <v>995</v>
      </c>
      <c r="D476" t="s">
        <v>1015</v>
      </c>
      <c r="E476">
        <v>8</v>
      </c>
      <c r="F476">
        <v>10</v>
      </c>
      <c r="G476">
        <v>2.0699999999999998</v>
      </c>
      <c r="H476" t="s">
        <v>1138</v>
      </c>
      <c r="I476" t="s">
        <v>1337</v>
      </c>
      <c r="J476" t="s">
        <v>1416</v>
      </c>
      <c r="K476" t="s">
        <v>1426</v>
      </c>
    </row>
    <row r="477" spans="1:11" x14ac:dyDescent="0.25">
      <c r="A477" t="s">
        <v>1903</v>
      </c>
      <c r="B477" s="2">
        <v>45458</v>
      </c>
      <c r="C477" t="s">
        <v>599</v>
      </c>
      <c r="D477" t="s">
        <v>1014</v>
      </c>
      <c r="E477">
        <v>6</v>
      </c>
      <c r="F477">
        <v>15</v>
      </c>
      <c r="G477">
        <v>4.13</v>
      </c>
      <c r="H477" t="s">
        <v>1060</v>
      </c>
      <c r="I477" t="s">
        <v>1259</v>
      </c>
      <c r="J477" t="s">
        <v>1415</v>
      </c>
      <c r="K477" t="s">
        <v>1420</v>
      </c>
    </row>
    <row r="478" spans="1:11" x14ac:dyDescent="0.25">
      <c r="A478" t="s">
        <v>1904</v>
      </c>
      <c r="B478" s="2">
        <v>45459</v>
      </c>
      <c r="C478" t="s">
        <v>116</v>
      </c>
      <c r="D478" t="s">
        <v>1014</v>
      </c>
      <c r="E478">
        <v>4</v>
      </c>
      <c r="F478">
        <v>15</v>
      </c>
      <c r="G478">
        <v>4.33</v>
      </c>
      <c r="H478" t="s">
        <v>1096</v>
      </c>
      <c r="I478" t="s">
        <v>1295</v>
      </c>
      <c r="J478" t="s">
        <v>1414</v>
      </c>
      <c r="K478" t="s">
        <v>1425</v>
      </c>
    </row>
    <row r="479" spans="1:11" x14ac:dyDescent="0.25">
      <c r="A479" t="s">
        <v>1905</v>
      </c>
      <c r="B479" s="2">
        <v>45459</v>
      </c>
      <c r="C479" t="s">
        <v>562</v>
      </c>
      <c r="D479" t="s">
        <v>1013</v>
      </c>
      <c r="E479">
        <v>5</v>
      </c>
      <c r="F479">
        <v>25</v>
      </c>
      <c r="G479">
        <v>9.07</v>
      </c>
      <c r="H479" t="s">
        <v>1208</v>
      </c>
      <c r="I479" t="s">
        <v>1407</v>
      </c>
      <c r="J479" t="s">
        <v>1414</v>
      </c>
      <c r="K479" t="s">
        <v>1420</v>
      </c>
    </row>
    <row r="480" spans="1:11" x14ac:dyDescent="0.25">
      <c r="A480" t="s">
        <v>1906</v>
      </c>
      <c r="B480" s="2">
        <v>45460</v>
      </c>
      <c r="C480" t="s">
        <v>199</v>
      </c>
      <c r="D480" t="s">
        <v>1014</v>
      </c>
      <c r="E480">
        <v>9</v>
      </c>
      <c r="F480">
        <v>15</v>
      </c>
      <c r="G480">
        <v>5.65</v>
      </c>
      <c r="H480" t="s">
        <v>1031</v>
      </c>
      <c r="I480" t="s">
        <v>1230</v>
      </c>
      <c r="J480" t="s">
        <v>1414</v>
      </c>
      <c r="K480" t="s">
        <v>1424</v>
      </c>
    </row>
    <row r="481" spans="1:11" x14ac:dyDescent="0.25">
      <c r="A481" t="s">
        <v>1907</v>
      </c>
      <c r="B481" s="2">
        <v>45460</v>
      </c>
      <c r="C481" t="s">
        <v>626</v>
      </c>
      <c r="D481" t="s">
        <v>1011</v>
      </c>
      <c r="E481">
        <v>2</v>
      </c>
      <c r="F481">
        <v>12</v>
      </c>
      <c r="G481">
        <v>3.36</v>
      </c>
      <c r="H481" t="s">
        <v>1117</v>
      </c>
      <c r="I481" t="s">
        <v>1316</v>
      </c>
      <c r="J481" t="s">
        <v>1414</v>
      </c>
      <c r="K481" t="s">
        <v>1422</v>
      </c>
    </row>
    <row r="482" spans="1:11" x14ac:dyDescent="0.25">
      <c r="A482" t="s">
        <v>1908</v>
      </c>
      <c r="B482" s="2">
        <v>45460</v>
      </c>
      <c r="C482" t="s">
        <v>761</v>
      </c>
      <c r="D482" t="s">
        <v>1015</v>
      </c>
      <c r="E482">
        <v>10</v>
      </c>
      <c r="F482">
        <v>10</v>
      </c>
      <c r="G482">
        <v>2.37</v>
      </c>
      <c r="H482" t="s">
        <v>1200</v>
      </c>
      <c r="I482" t="s">
        <v>1399</v>
      </c>
      <c r="J482" t="s">
        <v>1414</v>
      </c>
      <c r="K482" t="s">
        <v>1423</v>
      </c>
    </row>
    <row r="483" spans="1:11" x14ac:dyDescent="0.25">
      <c r="A483" t="s">
        <v>1909</v>
      </c>
      <c r="B483" s="2">
        <v>45461</v>
      </c>
      <c r="C483" t="s">
        <v>64</v>
      </c>
      <c r="D483" t="s">
        <v>1014</v>
      </c>
      <c r="E483">
        <v>9</v>
      </c>
      <c r="F483">
        <v>15</v>
      </c>
      <c r="G483">
        <v>3.76</v>
      </c>
      <c r="H483" t="s">
        <v>1060</v>
      </c>
      <c r="I483" t="s">
        <v>1259</v>
      </c>
      <c r="J483" t="s">
        <v>1416</v>
      </c>
      <c r="K483" t="s">
        <v>1421</v>
      </c>
    </row>
    <row r="484" spans="1:11" x14ac:dyDescent="0.25">
      <c r="A484" t="s">
        <v>1910</v>
      </c>
      <c r="B484" s="2">
        <v>45461</v>
      </c>
      <c r="C484" t="s">
        <v>650</v>
      </c>
      <c r="D484" t="s">
        <v>1012</v>
      </c>
      <c r="E484">
        <v>3</v>
      </c>
      <c r="F484">
        <v>40</v>
      </c>
      <c r="G484">
        <v>11.38</v>
      </c>
      <c r="H484" t="s">
        <v>1195</v>
      </c>
      <c r="I484" t="s">
        <v>1394</v>
      </c>
      <c r="J484" t="s">
        <v>1415</v>
      </c>
      <c r="K484" t="s">
        <v>1426</v>
      </c>
    </row>
    <row r="485" spans="1:11" x14ac:dyDescent="0.25">
      <c r="A485" t="s">
        <v>1911</v>
      </c>
      <c r="B485" s="2">
        <v>45461</v>
      </c>
      <c r="C485" t="s">
        <v>656</v>
      </c>
      <c r="D485" t="s">
        <v>1015</v>
      </c>
      <c r="E485">
        <v>8</v>
      </c>
      <c r="F485">
        <v>10</v>
      </c>
      <c r="G485">
        <v>3.88</v>
      </c>
      <c r="H485" t="s">
        <v>1096</v>
      </c>
      <c r="I485" t="s">
        <v>1295</v>
      </c>
      <c r="J485" t="s">
        <v>1414</v>
      </c>
      <c r="K485" t="s">
        <v>1418</v>
      </c>
    </row>
    <row r="486" spans="1:11" x14ac:dyDescent="0.25">
      <c r="A486" t="s">
        <v>1912</v>
      </c>
      <c r="B486" s="2">
        <v>45461</v>
      </c>
      <c r="C486" t="s">
        <v>994</v>
      </c>
      <c r="D486" t="s">
        <v>1012</v>
      </c>
      <c r="E486">
        <v>10</v>
      </c>
      <c r="G486">
        <v>13.77</v>
      </c>
      <c r="H486" t="s">
        <v>1075</v>
      </c>
      <c r="I486" t="s">
        <v>1274</v>
      </c>
      <c r="J486" t="s">
        <v>1415</v>
      </c>
      <c r="K486" t="s">
        <v>1423</v>
      </c>
    </row>
    <row r="487" spans="1:11" x14ac:dyDescent="0.25">
      <c r="A487" t="s">
        <v>1913</v>
      </c>
      <c r="B487" s="2">
        <v>45462</v>
      </c>
      <c r="C487" t="s">
        <v>133</v>
      </c>
      <c r="D487" t="s">
        <v>1012</v>
      </c>
      <c r="E487">
        <v>6</v>
      </c>
      <c r="F487">
        <v>40</v>
      </c>
      <c r="G487">
        <v>8.89</v>
      </c>
      <c r="H487" t="s">
        <v>1110</v>
      </c>
      <c r="I487" t="s">
        <v>1309</v>
      </c>
      <c r="J487" t="s">
        <v>1414</v>
      </c>
      <c r="K487" t="s">
        <v>1424</v>
      </c>
    </row>
    <row r="488" spans="1:11" x14ac:dyDescent="0.25">
      <c r="A488" t="s">
        <v>1914</v>
      </c>
      <c r="B488" s="2">
        <v>45462</v>
      </c>
      <c r="C488" t="s">
        <v>814</v>
      </c>
      <c r="D488" t="s">
        <v>1012</v>
      </c>
      <c r="E488">
        <v>3</v>
      </c>
      <c r="F488">
        <v>40</v>
      </c>
      <c r="G488">
        <v>11.64</v>
      </c>
      <c r="H488" t="s">
        <v>1080</v>
      </c>
      <c r="I488" t="s">
        <v>1279</v>
      </c>
      <c r="J488" t="s">
        <v>1414</v>
      </c>
      <c r="K488" t="s">
        <v>1421</v>
      </c>
    </row>
    <row r="489" spans="1:11" x14ac:dyDescent="0.25">
      <c r="A489" t="s">
        <v>1915</v>
      </c>
      <c r="B489" s="2">
        <v>45462</v>
      </c>
      <c r="C489" t="s">
        <v>890</v>
      </c>
      <c r="D489" t="s">
        <v>1014</v>
      </c>
      <c r="E489">
        <v>6</v>
      </c>
      <c r="F489">
        <v>15</v>
      </c>
      <c r="G489">
        <v>4.5599999999999996</v>
      </c>
      <c r="H489" t="s">
        <v>1099</v>
      </c>
      <c r="I489" t="s">
        <v>1298</v>
      </c>
      <c r="J489" t="s">
        <v>1417</v>
      </c>
      <c r="K489" t="s">
        <v>1423</v>
      </c>
    </row>
    <row r="490" spans="1:11" x14ac:dyDescent="0.25">
      <c r="A490" t="s">
        <v>1916</v>
      </c>
      <c r="B490" s="2">
        <v>45462</v>
      </c>
      <c r="C490" t="s">
        <v>977</v>
      </c>
      <c r="D490" t="s">
        <v>1011</v>
      </c>
      <c r="E490">
        <v>5</v>
      </c>
      <c r="F490">
        <v>12</v>
      </c>
      <c r="G490">
        <v>4.3499999999999996</v>
      </c>
      <c r="H490" t="s">
        <v>1110</v>
      </c>
      <c r="I490" t="s">
        <v>1309</v>
      </c>
      <c r="J490" t="s">
        <v>1414</v>
      </c>
      <c r="K490" t="s">
        <v>1426</v>
      </c>
    </row>
    <row r="491" spans="1:11" x14ac:dyDescent="0.25">
      <c r="A491" t="s">
        <v>1917</v>
      </c>
      <c r="B491" s="2">
        <v>45463</v>
      </c>
      <c r="C491" t="s">
        <v>364</v>
      </c>
      <c r="D491" t="s">
        <v>1013</v>
      </c>
      <c r="E491">
        <v>10</v>
      </c>
      <c r="F491">
        <v>25</v>
      </c>
      <c r="G491">
        <v>6.8</v>
      </c>
      <c r="H491" t="s">
        <v>1050</v>
      </c>
      <c r="I491" t="s">
        <v>1249</v>
      </c>
      <c r="J491" t="s">
        <v>1414</v>
      </c>
      <c r="K491" t="s">
        <v>1419</v>
      </c>
    </row>
    <row r="492" spans="1:11" x14ac:dyDescent="0.25">
      <c r="A492" t="s">
        <v>1918</v>
      </c>
      <c r="B492" s="2">
        <v>45464</v>
      </c>
      <c r="C492" t="s">
        <v>663</v>
      </c>
      <c r="D492" t="s">
        <v>1011</v>
      </c>
      <c r="E492">
        <v>4</v>
      </c>
      <c r="F492">
        <v>12</v>
      </c>
      <c r="G492">
        <v>3.38</v>
      </c>
      <c r="H492" t="s">
        <v>1058</v>
      </c>
      <c r="I492" t="s">
        <v>1257</v>
      </c>
      <c r="J492" t="s">
        <v>1417</v>
      </c>
      <c r="K492" t="s">
        <v>1427</v>
      </c>
    </row>
    <row r="493" spans="1:11" x14ac:dyDescent="0.25">
      <c r="A493" t="s">
        <v>1919</v>
      </c>
      <c r="B493" s="2">
        <v>45464</v>
      </c>
      <c r="C493" t="s">
        <v>839</v>
      </c>
      <c r="D493" t="s">
        <v>1015</v>
      </c>
      <c r="E493">
        <v>4</v>
      </c>
      <c r="F493">
        <v>10</v>
      </c>
      <c r="G493">
        <v>3.23</v>
      </c>
      <c r="H493" t="s">
        <v>1207</v>
      </c>
      <c r="I493" t="s">
        <v>1406</v>
      </c>
      <c r="J493" t="s">
        <v>1417</v>
      </c>
      <c r="K493" t="s">
        <v>1427</v>
      </c>
    </row>
    <row r="494" spans="1:11" x14ac:dyDescent="0.25">
      <c r="A494" t="s">
        <v>1920</v>
      </c>
      <c r="B494" s="2">
        <v>45465</v>
      </c>
      <c r="C494" t="s">
        <v>631</v>
      </c>
      <c r="D494" t="s">
        <v>1011</v>
      </c>
      <c r="E494">
        <v>8</v>
      </c>
      <c r="F494">
        <v>12</v>
      </c>
      <c r="G494">
        <v>4.22</v>
      </c>
      <c r="H494" t="s">
        <v>1087</v>
      </c>
      <c r="I494" t="s">
        <v>1286</v>
      </c>
      <c r="J494" t="s">
        <v>1417</v>
      </c>
      <c r="K494" t="s">
        <v>1422</v>
      </c>
    </row>
    <row r="495" spans="1:11" x14ac:dyDescent="0.25">
      <c r="A495" t="s">
        <v>1921</v>
      </c>
      <c r="B495" s="2">
        <v>45465</v>
      </c>
      <c r="C495" t="s">
        <v>896</v>
      </c>
      <c r="D495" t="s">
        <v>1011</v>
      </c>
      <c r="E495">
        <v>9</v>
      </c>
      <c r="F495">
        <v>12</v>
      </c>
      <c r="G495">
        <v>4.3</v>
      </c>
      <c r="H495" t="s">
        <v>1139</v>
      </c>
      <c r="I495" t="s">
        <v>1338</v>
      </c>
      <c r="J495" t="s">
        <v>1416</v>
      </c>
      <c r="K495" t="s">
        <v>1420</v>
      </c>
    </row>
    <row r="496" spans="1:11" x14ac:dyDescent="0.25">
      <c r="A496" t="s">
        <v>1922</v>
      </c>
      <c r="B496" s="2">
        <v>45465</v>
      </c>
      <c r="C496" t="s">
        <v>914</v>
      </c>
      <c r="D496" t="s">
        <v>1011</v>
      </c>
      <c r="E496">
        <v>7</v>
      </c>
      <c r="F496">
        <v>12</v>
      </c>
      <c r="G496">
        <v>2.96</v>
      </c>
      <c r="H496" t="s">
        <v>1204</v>
      </c>
      <c r="I496" t="s">
        <v>1403</v>
      </c>
      <c r="J496" t="s">
        <v>1414</v>
      </c>
      <c r="K496" t="s">
        <v>1427</v>
      </c>
    </row>
    <row r="497" spans="1:11" x14ac:dyDescent="0.25">
      <c r="A497" t="s">
        <v>1923</v>
      </c>
      <c r="B497" s="2">
        <v>45466</v>
      </c>
      <c r="C497" t="s">
        <v>268</v>
      </c>
      <c r="D497" t="s">
        <v>1015</v>
      </c>
      <c r="E497">
        <v>9</v>
      </c>
      <c r="F497">
        <v>10</v>
      </c>
      <c r="G497">
        <v>2.59</v>
      </c>
      <c r="H497" t="s">
        <v>1160</v>
      </c>
      <c r="I497" t="s">
        <v>1359</v>
      </c>
      <c r="J497" t="s">
        <v>1414</v>
      </c>
      <c r="K497" t="s">
        <v>1421</v>
      </c>
    </row>
    <row r="498" spans="1:11" x14ac:dyDescent="0.25">
      <c r="A498" t="s">
        <v>1924</v>
      </c>
      <c r="B498" s="2">
        <v>45466</v>
      </c>
      <c r="C498" t="s">
        <v>919</v>
      </c>
      <c r="D498" t="s">
        <v>1011</v>
      </c>
      <c r="E498">
        <v>10</v>
      </c>
      <c r="F498">
        <v>12</v>
      </c>
      <c r="G498">
        <v>4.32</v>
      </c>
      <c r="H498" t="s">
        <v>1087</v>
      </c>
      <c r="I498" t="s">
        <v>1286</v>
      </c>
      <c r="J498" t="s">
        <v>1414</v>
      </c>
      <c r="K498" t="s">
        <v>1425</v>
      </c>
    </row>
    <row r="499" spans="1:11" x14ac:dyDescent="0.25">
      <c r="A499" t="s">
        <v>1925</v>
      </c>
      <c r="B499" s="2">
        <v>45466</v>
      </c>
      <c r="C499" t="s">
        <v>923</v>
      </c>
      <c r="D499" t="s">
        <v>1012</v>
      </c>
      <c r="E499">
        <v>1</v>
      </c>
      <c r="F499">
        <v>40</v>
      </c>
      <c r="G499">
        <v>10.67</v>
      </c>
      <c r="H499" t="s">
        <v>1040</v>
      </c>
      <c r="I499" t="s">
        <v>1239</v>
      </c>
      <c r="J499" t="s">
        <v>1414</v>
      </c>
      <c r="K499" t="s">
        <v>1427</v>
      </c>
    </row>
    <row r="500" spans="1:11" x14ac:dyDescent="0.25">
      <c r="A500" t="s">
        <v>1926</v>
      </c>
      <c r="B500" s="2">
        <v>45466</v>
      </c>
      <c r="C500" t="s">
        <v>945</v>
      </c>
      <c r="D500" t="s">
        <v>1012</v>
      </c>
      <c r="E500">
        <v>3</v>
      </c>
      <c r="F500">
        <v>40</v>
      </c>
      <c r="G500">
        <v>9.52</v>
      </c>
      <c r="H500" t="s">
        <v>1048</v>
      </c>
      <c r="I500" t="s">
        <v>1247</v>
      </c>
      <c r="J500" t="s">
        <v>1414</v>
      </c>
      <c r="K500" t="s">
        <v>1425</v>
      </c>
    </row>
    <row r="501" spans="1:11" x14ac:dyDescent="0.25">
      <c r="A501" t="s">
        <v>1927</v>
      </c>
      <c r="B501" s="2">
        <v>45466</v>
      </c>
      <c r="C501" t="s">
        <v>988</v>
      </c>
      <c r="D501" t="s">
        <v>1012</v>
      </c>
      <c r="E501">
        <v>8</v>
      </c>
      <c r="F501">
        <v>40</v>
      </c>
      <c r="G501">
        <v>13.53</v>
      </c>
      <c r="H501" t="s">
        <v>1116</v>
      </c>
      <c r="I501" t="s">
        <v>1315</v>
      </c>
      <c r="J501" t="s">
        <v>1414</v>
      </c>
      <c r="K501" t="s">
        <v>1424</v>
      </c>
    </row>
    <row r="502" spans="1:11" x14ac:dyDescent="0.25">
      <c r="A502" t="s">
        <v>1928</v>
      </c>
      <c r="B502" s="2">
        <v>45467</v>
      </c>
      <c r="C502" t="s">
        <v>27</v>
      </c>
      <c r="D502" t="s">
        <v>1012</v>
      </c>
      <c r="E502">
        <v>2</v>
      </c>
      <c r="F502">
        <v>40</v>
      </c>
      <c r="G502">
        <v>11.47</v>
      </c>
      <c r="H502" t="s">
        <v>1030</v>
      </c>
      <c r="I502" t="s">
        <v>1229</v>
      </c>
      <c r="J502" t="s">
        <v>1414</v>
      </c>
      <c r="K502" t="s">
        <v>1426</v>
      </c>
    </row>
    <row r="503" spans="1:11" x14ac:dyDescent="0.25">
      <c r="A503" t="s">
        <v>1929</v>
      </c>
      <c r="B503" s="2">
        <v>45467</v>
      </c>
      <c r="C503" t="s">
        <v>706</v>
      </c>
      <c r="D503" t="s">
        <v>1013</v>
      </c>
      <c r="E503">
        <v>4</v>
      </c>
      <c r="F503">
        <v>25</v>
      </c>
      <c r="G503">
        <v>6.06</v>
      </c>
      <c r="H503" t="s">
        <v>1083</v>
      </c>
      <c r="I503" t="s">
        <v>1282</v>
      </c>
      <c r="J503" t="s">
        <v>1416</v>
      </c>
      <c r="K503" t="s">
        <v>1421</v>
      </c>
    </row>
    <row r="504" spans="1:11" x14ac:dyDescent="0.25">
      <c r="A504" t="s">
        <v>1930</v>
      </c>
      <c r="B504" s="2">
        <v>45468</v>
      </c>
      <c r="C504" t="s">
        <v>97</v>
      </c>
      <c r="D504" t="s">
        <v>1014</v>
      </c>
      <c r="E504">
        <v>5</v>
      </c>
      <c r="F504">
        <v>15</v>
      </c>
      <c r="G504">
        <v>3.29</v>
      </c>
      <c r="H504" t="s">
        <v>1082</v>
      </c>
      <c r="I504" t="s">
        <v>1281</v>
      </c>
      <c r="J504" t="s">
        <v>1414</v>
      </c>
      <c r="K504" t="s">
        <v>1426</v>
      </c>
    </row>
    <row r="505" spans="1:11" x14ac:dyDescent="0.25">
      <c r="A505" t="s">
        <v>1931</v>
      </c>
      <c r="B505" s="2">
        <v>45468</v>
      </c>
      <c r="C505" t="s">
        <v>557</v>
      </c>
      <c r="D505" t="s">
        <v>1011</v>
      </c>
      <c r="E505">
        <v>9</v>
      </c>
      <c r="F505">
        <v>12</v>
      </c>
      <c r="G505">
        <v>4.29</v>
      </c>
      <c r="H505" t="s">
        <v>1054</v>
      </c>
      <c r="I505" t="s">
        <v>1253</v>
      </c>
      <c r="J505" t="s">
        <v>1414</v>
      </c>
      <c r="K505" t="s">
        <v>1420</v>
      </c>
    </row>
    <row r="506" spans="1:11" x14ac:dyDescent="0.25">
      <c r="A506" t="s">
        <v>1932</v>
      </c>
      <c r="B506" s="2">
        <v>45468</v>
      </c>
      <c r="C506" t="s">
        <v>858</v>
      </c>
      <c r="D506" t="s">
        <v>1011</v>
      </c>
      <c r="E506">
        <v>4</v>
      </c>
      <c r="F506">
        <v>12</v>
      </c>
      <c r="G506">
        <v>3.42</v>
      </c>
      <c r="H506" t="s">
        <v>1119</v>
      </c>
      <c r="I506" t="s">
        <v>1318</v>
      </c>
      <c r="J506" t="s">
        <v>1414</v>
      </c>
      <c r="K506" t="s">
        <v>1426</v>
      </c>
    </row>
    <row r="507" spans="1:11" x14ac:dyDescent="0.25">
      <c r="A507" t="s">
        <v>1933</v>
      </c>
      <c r="B507" s="2">
        <v>45469</v>
      </c>
      <c r="C507" t="s">
        <v>129</v>
      </c>
      <c r="D507" t="s">
        <v>1014</v>
      </c>
      <c r="E507">
        <v>6</v>
      </c>
      <c r="F507">
        <v>15</v>
      </c>
      <c r="G507">
        <v>5.73</v>
      </c>
      <c r="H507" t="s">
        <v>1106</v>
      </c>
      <c r="I507" t="s">
        <v>1305</v>
      </c>
      <c r="J507" t="s">
        <v>1416</v>
      </c>
      <c r="K507" t="s">
        <v>1422</v>
      </c>
    </row>
    <row r="508" spans="1:11" x14ac:dyDescent="0.25">
      <c r="A508" t="s">
        <v>1934</v>
      </c>
      <c r="B508" s="2">
        <v>45470</v>
      </c>
      <c r="C508" t="s">
        <v>185</v>
      </c>
      <c r="D508" t="s">
        <v>1011</v>
      </c>
      <c r="E508">
        <v>7</v>
      </c>
      <c r="F508">
        <v>12</v>
      </c>
      <c r="G508">
        <v>4.74</v>
      </c>
      <c r="H508" t="s">
        <v>1132</v>
      </c>
      <c r="I508" t="s">
        <v>1331</v>
      </c>
      <c r="J508" t="s">
        <v>1414</v>
      </c>
      <c r="K508" t="s">
        <v>1419</v>
      </c>
    </row>
    <row r="509" spans="1:11" x14ac:dyDescent="0.25">
      <c r="A509" t="s">
        <v>1935</v>
      </c>
      <c r="B509" s="2">
        <v>45470</v>
      </c>
      <c r="C509" t="s">
        <v>543</v>
      </c>
      <c r="D509" t="s">
        <v>1011</v>
      </c>
      <c r="E509">
        <v>3</v>
      </c>
      <c r="F509">
        <v>12</v>
      </c>
      <c r="G509">
        <v>2.81</v>
      </c>
      <c r="H509" t="s">
        <v>1185</v>
      </c>
      <c r="I509" t="s">
        <v>1384</v>
      </c>
      <c r="J509" t="s">
        <v>1414</v>
      </c>
      <c r="K509" t="s">
        <v>1424</v>
      </c>
    </row>
    <row r="510" spans="1:11" x14ac:dyDescent="0.25">
      <c r="A510" t="s">
        <v>1936</v>
      </c>
      <c r="B510" s="2">
        <v>45470</v>
      </c>
      <c r="C510" t="s">
        <v>649</v>
      </c>
      <c r="D510" t="s">
        <v>1012</v>
      </c>
      <c r="E510">
        <v>6</v>
      </c>
      <c r="F510">
        <v>40</v>
      </c>
      <c r="G510">
        <v>12.24</v>
      </c>
      <c r="H510" t="s">
        <v>1104</v>
      </c>
      <c r="I510" t="s">
        <v>1303</v>
      </c>
      <c r="J510" t="s">
        <v>1414</v>
      </c>
      <c r="K510" t="s">
        <v>1425</v>
      </c>
    </row>
    <row r="511" spans="1:11" x14ac:dyDescent="0.25">
      <c r="A511" t="s">
        <v>1937</v>
      </c>
      <c r="B511" s="2">
        <v>45472</v>
      </c>
      <c r="C511" t="s">
        <v>634</v>
      </c>
      <c r="D511" t="s">
        <v>1011</v>
      </c>
      <c r="E511">
        <v>10</v>
      </c>
      <c r="F511">
        <v>12</v>
      </c>
      <c r="G511">
        <v>4.72</v>
      </c>
      <c r="H511" t="s">
        <v>1150</v>
      </c>
      <c r="I511" t="s">
        <v>1349</v>
      </c>
      <c r="J511" t="s">
        <v>1414</v>
      </c>
      <c r="K511" t="s">
        <v>1424</v>
      </c>
    </row>
    <row r="512" spans="1:11" x14ac:dyDescent="0.25">
      <c r="A512" t="s">
        <v>1938</v>
      </c>
      <c r="B512" s="2">
        <v>45473</v>
      </c>
      <c r="C512" t="s">
        <v>227</v>
      </c>
      <c r="D512" t="s">
        <v>1011</v>
      </c>
      <c r="E512">
        <v>4</v>
      </c>
      <c r="F512">
        <v>12</v>
      </c>
      <c r="G512">
        <v>2.85</v>
      </c>
      <c r="H512" t="s">
        <v>1148</v>
      </c>
      <c r="I512" t="s">
        <v>1347</v>
      </c>
      <c r="J512" t="s">
        <v>1414</v>
      </c>
      <c r="K512" t="s">
        <v>1424</v>
      </c>
    </row>
    <row r="513" spans="1:11" x14ac:dyDescent="0.25">
      <c r="A513" t="s">
        <v>1939</v>
      </c>
      <c r="B513" s="2">
        <v>45473</v>
      </c>
      <c r="C513" t="s">
        <v>316</v>
      </c>
      <c r="D513" t="s">
        <v>1014</v>
      </c>
      <c r="E513">
        <v>4</v>
      </c>
      <c r="F513">
        <v>15</v>
      </c>
      <c r="G513">
        <v>5.4</v>
      </c>
      <c r="H513" t="s">
        <v>1135</v>
      </c>
      <c r="I513" t="s">
        <v>1334</v>
      </c>
      <c r="J513" t="s">
        <v>1414</v>
      </c>
      <c r="K513" t="s">
        <v>1418</v>
      </c>
    </row>
    <row r="514" spans="1:11" x14ac:dyDescent="0.25">
      <c r="A514" t="s">
        <v>1940</v>
      </c>
      <c r="B514" s="2">
        <v>45473</v>
      </c>
      <c r="C514" t="s">
        <v>916</v>
      </c>
      <c r="D514" t="s">
        <v>1015</v>
      </c>
      <c r="E514">
        <v>6</v>
      </c>
      <c r="F514">
        <v>10</v>
      </c>
      <c r="G514">
        <v>3.63</v>
      </c>
      <c r="H514" t="s">
        <v>1069</v>
      </c>
      <c r="I514" t="s">
        <v>1268</v>
      </c>
      <c r="J514" t="s">
        <v>1416</v>
      </c>
      <c r="K514" t="s">
        <v>1419</v>
      </c>
    </row>
    <row r="515" spans="1:11" x14ac:dyDescent="0.25">
      <c r="A515" t="s">
        <v>1941</v>
      </c>
      <c r="B515" s="2">
        <v>45473</v>
      </c>
      <c r="C515" t="s">
        <v>926</v>
      </c>
      <c r="D515" t="s">
        <v>1012</v>
      </c>
      <c r="E515">
        <v>9</v>
      </c>
      <c r="F515">
        <v>40</v>
      </c>
      <c r="G515">
        <v>10.5</v>
      </c>
      <c r="H515" t="s">
        <v>1082</v>
      </c>
      <c r="I515" t="s">
        <v>1281</v>
      </c>
      <c r="J515" t="s">
        <v>1416</v>
      </c>
      <c r="K515" t="s">
        <v>1427</v>
      </c>
    </row>
    <row r="516" spans="1:11" x14ac:dyDescent="0.25">
      <c r="A516" t="s">
        <v>1942</v>
      </c>
      <c r="B516" s="2">
        <v>45473</v>
      </c>
      <c r="C516" t="s">
        <v>987</v>
      </c>
      <c r="D516" t="s">
        <v>1013</v>
      </c>
      <c r="E516">
        <v>10</v>
      </c>
      <c r="F516">
        <v>25</v>
      </c>
      <c r="G516">
        <v>9.86</v>
      </c>
      <c r="H516" t="s">
        <v>1045</v>
      </c>
      <c r="I516" t="s">
        <v>1244</v>
      </c>
      <c r="J516" t="s">
        <v>1414</v>
      </c>
      <c r="K516" t="s">
        <v>1427</v>
      </c>
    </row>
    <row r="517" spans="1:11" x14ac:dyDescent="0.25">
      <c r="A517" t="s">
        <v>1943</v>
      </c>
      <c r="B517" s="2">
        <v>45474</v>
      </c>
      <c r="C517" t="s">
        <v>15</v>
      </c>
      <c r="D517" t="s">
        <v>1013</v>
      </c>
      <c r="E517">
        <v>6</v>
      </c>
      <c r="F517">
        <v>25</v>
      </c>
      <c r="G517">
        <v>9.43</v>
      </c>
      <c r="H517" t="s">
        <v>1020</v>
      </c>
      <c r="I517" t="s">
        <v>1219</v>
      </c>
      <c r="J517" t="s">
        <v>1414</v>
      </c>
      <c r="K517" t="s">
        <v>1421</v>
      </c>
    </row>
    <row r="518" spans="1:11" x14ac:dyDescent="0.25">
      <c r="A518" t="s">
        <v>1944</v>
      </c>
      <c r="B518" s="2">
        <v>45474</v>
      </c>
      <c r="C518" t="s">
        <v>66</v>
      </c>
      <c r="D518" t="s">
        <v>1013</v>
      </c>
      <c r="E518">
        <v>10</v>
      </c>
      <c r="F518">
        <v>25</v>
      </c>
      <c r="G518">
        <v>6.74</v>
      </c>
      <c r="H518" t="s">
        <v>1061</v>
      </c>
      <c r="I518" t="s">
        <v>1260</v>
      </c>
      <c r="J518" t="s">
        <v>1414</v>
      </c>
      <c r="K518" t="s">
        <v>1420</v>
      </c>
    </row>
    <row r="519" spans="1:11" x14ac:dyDescent="0.25">
      <c r="A519" t="s">
        <v>1945</v>
      </c>
      <c r="B519" s="2">
        <v>45474</v>
      </c>
      <c r="C519" t="s">
        <v>362</v>
      </c>
      <c r="D519" t="s">
        <v>1015</v>
      </c>
      <c r="E519">
        <v>3</v>
      </c>
      <c r="F519">
        <v>10</v>
      </c>
      <c r="G519">
        <v>2.65</v>
      </c>
      <c r="H519" t="s">
        <v>1115</v>
      </c>
      <c r="I519" t="s">
        <v>1314</v>
      </c>
      <c r="J519" t="s">
        <v>1414</v>
      </c>
      <c r="K519" t="s">
        <v>1422</v>
      </c>
    </row>
    <row r="520" spans="1:11" x14ac:dyDescent="0.25">
      <c r="A520" t="s">
        <v>1946</v>
      </c>
      <c r="B520" s="2">
        <v>45474</v>
      </c>
      <c r="C520" t="s">
        <v>560</v>
      </c>
      <c r="D520" t="s">
        <v>1013</v>
      </c>
      <c r="E520">
        <v>4</v>
      </c>
      <c r="F520">
        <v>25</v>
      </c>
      <c r="G520">
        <v>6.09</v>
      </c>
      <c r="H520" t="s">
        <v>1172</v>
      </c>
      <c r="I520" t="s">
        <v>1371</v>
      </c>
      <c r="J520" t="s">
        <v>1414</v>
      </c>
      <c r="K520" t="s">
        <v>1423</v>
      </c>
    </row>
    <row r="521" spans="1:11" x14ac:dyDescent="0.25">
      <c r="A521" t="s">
        <v>1947</v>
      </c>
      <c r="B521" s="2">
        <v>45475</v>
      </c>
      <c r="C521" t="s">
        <v>329</v>
      </c>
      <c r="D521" t="s">
        <v>1015</v>
      </c>
      <c r="E521">
        <v>4</v>
      </c>
      <c r="F521">
        <v>10</v>
      </c>
      <c r="G521">
        <v>3.41</v>
      </c>
      <c r="H521" t="s">
        <v>1174</v>
      </c>
      <c r="I521" t="s">
        <v>1373</v>
      </c>
      <c r="J521" t="s">
        <v>1414</v>
      </c>
      <c r="K521" t="s">
        <v>1426</v>
      </c>
    </row>
    <row r="522" spans="1:11" x14ac:dyDescent="0.25">
      <c r="A522" t="s">
        <v>1948</v>
      </c>
      <c r="B522" s="2">
        <v>45475</v>
      </c>
      <c r="C522" t="s">
        <v>908</v>
      </c>
      <c r="D522" t="s">
        <v>1012</v>
      </c>
      <c r="E522">
        <v>10</v>
      </c>
      <c r="F522">
        <v>40</v>
      </c>
      <c r="G522">
        <v>14.88</v>
      </c>
      <c r="H522" t="s">
        <v>1188</v>
      </c>
      <c r="I522" t="s">
        <v>1387</v>
      </c>
      <c r="J522" t="s">
        <v>1415</v>
      </c>
      <c r="K522" t="s">
        <v>1422</v>
      </c>
    </row>
    <row r="523" spans="1:11" x14ac:dyDescent="0.25">
      <c r="A523" t="s">
        <v>1949</v>
      </c>
      <c r="B523" s="2">
        <v>45476</v>
      </c>
      <c r="C523" t="s">
        <v>138</v>
      </c>
      <c r="D523" t="s">
        <v>1012</v>
      </c>
      <c r="E523">
        <v>8</v>
      </c>
      <c r="F523">
        <v>40</v>
      </c>
      <c r="G523">
        <v>13.65</v>
      </c>
      <c r="H523" t="s">
        <v>1113</v>
      </c>
      <c r="I523" t="s">
        <v>1312</v>
      </c>
      <c r="J523" t="s">
        <v>1416</v>
      </c>
      <c r="K523" t="s">
        <v>1426</v>
      </c>
    </row>
    <row r="524" spans="1:11" x14ac:dyDescent="0.25">
      <c r="A524" t="s">
        <v>1950</v>
      </c>
      <c r="B524" s="2">
        <v>45476</v>
      </c>
      <c r="C524" t="s">
        <v>475</v>
      </c>
      <c r="D524" t="s">
        <v>1013</v>
      </c>
      <c r="E524">
        <v>6</v>
      </c>
      <c r="F524">
        <v>25</v>
      </c>
      <c r="G524">
        <v>5.28</v>
      </c>
      <c r="H524" t="s">
        <v>1055</v>
      </c>
      <c r="I524" t="s">
        <v>1254</v>
      </c>
      <c r="J524" t="s">
        <v>1415</v>
      </c>
      <c r="K524" t="s">
        <v>1427</v>
      </c>
    </row>
    <row r="525" spans="1:11" x14ac:dyDescent="0.25">
      <c r="A525" t="s">
        <v>1951</v>
      </c>
      <c r="B525" s="2">
        <v>45476</v>
      </c>
      <c r="C525" t="s">
        <v>576</v>
      </c>
      <c r="D525" t="s">
        <v>1013</v>
      </c>
      <c r="E525">
        <v>2</v>
      </c>
      <c r="F525">
        <v>25</v>
      </c>
      <c r="G525">
        <v>8.89</v>
      </c>
      <c r="H525" t="s">
        <v>1082</v>
      </c>
      <c r="I525" t="s">
        <v>1281</v>
      </c>
      <c r="J525" t="s">
        <v>1414</v>
      </c>
      <c r="K525" t="s">
        <v>1424</v>
      </c>
    </row>
    <row r="526" spans="1:11" x14ac:dyDescent="0.25">
      <c r="A526" t="s">
        <v>1952</v>
      </c>
      <c r="B526" s="2">
        <v>45476</v>
      </c>
      <c r="C526" t="s">
        <v>967</v>
      </c>
      <c r="D526" t="s">
        <v>1011</v>
      </c>
      <c r="E526">
        <v>6</v>
      </c>
      <c r="F526">
        <v>12</v>
      </c>
      <c r="G526">
        <v>4.28</v>
      </c>
      <c r="H526" t="s">
        <v>1093</v>
      </c>
      <c r="I526" t="s">
        <v>1292</v>
      </c>
      <c r="J526" t="s">
        <v>1417</v>
      </c>
      <c r="K526" t="s">
        <v>1420</v>
      </c>
    </row>
    <row r="527" spans="1:11" x14ac:dyDescent="0.25">
      <c r="A527" t="s">
        <v>1953</v>
      </c>
      <c r="B527" s="2">
        <v>45477</v>
      </c>
      <c r="C527" t="s">
        <v>304</v>
      </c>
      <c r="D527" t="s">
        <v>1015</v>
      </c>
      <c r="E527">
        <v>8</v>
      </c>
      <c r="F527">
        <v>10</v>
      </c>
      <c r="G527">
        <v>3.74</v>
      </c>
      <c r="H527" t="s">
        <v>1137</v>
      </c>
      <c r="I527" t="s">
        <v>1336</v>
      </c>
      <c r="J527" t="s">
        <v>1416</v>
      </c>
      <c r="K527" t="s">
        <v>1422</v>
      </c>
    </row>
    <row r="528" spans="1:11" x14ac:dyDescent="0.25">
      <c r="A528" t="s">
        <v>1954</v>
      </c>
      <c r="B528" s="2">
        <v>45477</v>
      </c>
      <c r="C528" t="s">
        <v>330</v>
      </c>
      <c r="D528" t="s">
        <v>1013</v>
      </c>
      <c r="E528">
        <v>3</v>
      </c>
      <c r="F528">
        <v>25</v>
      </c>
      <c r="G528">
        <v>5.52</v>
      </c>
      <c r="H528" t="s">
        <v>1017</v>
      </c>
      <c r="I528" t="s">
        <v>1216</v>
      </c>
      <c r="J528" t="s">
        <v>1414</v>
      </c>
      <c r="K528" t="s">
        <v>1425</v>
      </c>
    </row>
    <row r="529" spans="1:11" x14ac:dyDescent="0.25">
      <c r="A529" t="s">
        <v>1955</v>
      </c>
      <c r="B529" s="2">
        <v>45477</v>
      </c>
      <c r="C529" t="s">
        <v>1000</v>
      </c>
      <c r="D529" t="s">
        <v>1012</v>
      </c>
      <c r="E529">
        <v>6</v>
      </c>
      <c r="F529">
        <v>40</v>
      </c>
      <c r="G529">
        <v>11.74</v>
      </c>
      <c r="H529" t="s">
        <v>1023</v>
      </c>
      <c r="I529" t="s">
        <v>1222</v>
      </c>
      <c r="J529" t="s">
        <v>1414</v>
      </c>
      <c r="K529" t="s">
        <v>1418</v>
      </c>
    </row>
    <row r="530" spans="1:11" x14ac:dyDescent="0.25">
      <c r="A530" t="s">
        <v>1956</v>
      </c>
      <c r="B530" s="2">
        <v>45478</v>
      </c>
      <c r="C530" t="s">
        <v>131</v>
      </c>
      <c r="D530" t="s">
        <v>1014</v>
      </c>
      <c r="E530">
        <v>2</v>
      </c>
      <c r="F530">
        <v>15</v>
      </c>
      <c r="G530">
        <v>4.2699999999999996</v>
      </c>
      <c r="H530" t="s">
        <v>1108</v>
      </c>
      <c r="I530" t="s">
        <v>1307</v>
      </c>
      <c r="J530" t="s">
        <v>1416</v>
      </c>
      <c r="K530" t="s">
        <v>1425</v>
      </c>
    </row>
    <row r="531" spans="1:11" x14ac:dyDescent="0.25">
      <c r="A531" t="s">
        <v>1957</v>
      </c>
      <c r="B531" s="2">
        <v>45478</v>
      </c>
      <c r="C531" t="s">
        <v>192</v>
      </c>
      <c r="D531" t="s">
        <v>1013</v>
      </c>
      <c r="E531">
        <v>10</v>
      </c>
      <c r="F531">
        <v>25</v>
      </c>
      <c r="G531">
        <v>9.14</v>
      </c>
      <c r="H531" t="s">
        <v>1098</v>
      </c>
      <c r="I531" t="s">
        <v>1297</v>
      </c>
      <c r="J531" t="s">
        <v>1416</v>
      </c>
      <c r="K531" t="s">
        <v>1422</v>
      </c>
    </row>
    <row r="532" spans="1:11" x14ac:dyDescent="0.25">
      <c r="A532" t="s">
        <v>1958</v>
      </c>
      <c r="B532" s="2">
        <v>45478</v>
      </c>
      <c r="C532" t="s">
        <v>346</v>
      </c>
      <c r="D532" t="s">
        <v>1012</v>
      </c>
      <c r="E532">
        <v>9</v>
      </c>
      <c r="F532">
        <v>40</v>
      </c>
      <c r="G532">
        <v>15.55</v>
      </c>
      <c r="H532" t="s">
        <v>1129</v>
      </c>
      <c r="I532" t="s">
        <v>1328</v>
      </c>
      <c r="J532" t="s">
        <v>1414</v>
      </c>
      <c r="K532" t="s">
        <v>1422</v>
      </c>
    </row>
    <row r="533" spans="1:11" x14ac:dyDescent="0.25">
      <c r="A533" t="s">
        <v>1959</v>
      </c>
      <c r="B533" s="2">
        <v>45478</v>
      </c>
      <c r="C533" t="s">
        <v>874</v>
      </c>
      <c r="D533" t="s">
        <v>1012</v>
      </c>
      <c r="E533">
        <v>7</v>
      </c>
      <c r="G533">
        <v>11.99</v>
      </c>
      <c r="H533" t="s">
        <v>1077</v>
      </c>
      <c r="I533" t="s">
        <v>1276</v>
      </c>
      <c r="J533" t="s">
        <v>1414</v>
      </c>
      <c r="K533" t="s">
        <v>1425</v>
      </c>
    </row>
    <row r="534" spans="1:11" x14ac:dyDescent="0.25">
      <c r="A534" t="s">
        <v>1960</v>
      </c>
      <c r="B534" s="2">
        <v>45479</v>
      </c>
      <c r="C534" t="s">
        <v>535</v>
      </c>
      <c r="D534" t="s">
        <v>1014</v>
      </c>
      <c r="E534">
        <v>4</v>
      </c>
      <c r="F534">
        <v>15</v>
      </c>
      <c r="G534">
        <v>4.22</v>
      </c>
      <c r="H534" t="s">
        <v>1201</v>
      </c>
      <c r="I534" t="s">
        <v>1400</v>
      </c>
      <c r="J534" t="s">
        <v>1415</v>
      </c>
      <c r="K534" t="s">
        <v>1423</v>
      </c>
    </row>
    <row r="535" spans="1:11" x14ac:dyDescent="0.25">
      <c r="A535" t="s">
        <v>1961</v>
      </c>
      <c r="B535" s="2">
        <v>45480</v>
      </c>
      <c r="C535" t="s">
        <v>422</v>
      </c>
      <c r="D535" t="s">
        <v>1011</v>
      </c>
      <c r="E535">
        <v>5</v>
      </c>
      <c r="F535">
        <v>12</v>
      </c>
      <c r="G535">
        <v>4.4800000000000004</v>
      </c>
      <c r="H535" t="s">
        <v>1024</v>
      </c>
      <c r="I535" t="s">
        <v>1223</v>
      </c>
      <c r="J535" t="s">
        <v>1415</v>
      </c>
      <c r="K535" t="s">
        <v>1423</v>
      </c>
    </row>
    <row r="536" spans="1:11" x14ac:dyDescent="0.25">
      <c r="A536" t="s">
        <v>1962</v>
      </c>
      <c r="B536" s="2">
        <v>45480</v>
      </c>
      <c r="C536" t="s">
        <v>524</v>
      </c>
      <c r="D536" t="s">
        <v>1014</v>
      </c>
      <c r="E536">
        <v>2</v>
      </c>
      <c r="F536">
        <v>15</v>
      </c>
      <c r="G536">
        <v>4.96</v>
      </c>
      <c r="H536" t="s">
        <v>1057</v>
      </c>
      <c r="I536" t="s">
        <v>1256</v>
      </c>
      <c r="J536" t="s">
        <v>1416</v>
      </c>
      <c r="K536" t="s">
        <v>1423</v>
      </c>
    </row>
    <row r="537" spans="1:11" x14ac:dyDescent="0.25">
      <c r="A537" t="s">
        <v>1963</v>
      </c>
      <c r="B537" s="2">
        <v>45482</v>
      </c>
      <c r="C537" t="s">
        <v>448</v>
      </c>
      <c r="D537" t="s">
        <v>1013</v>
      </c>
      <c r="E537">
        <v>5</v>
      </c>
      <c r="F537">
        <v>25</v>
      </c>
      <c r="G537">
        <v>7.6</v>
      </c>
      <c r="H537" t="s">
        <v>1074</v>
      </c>
      <c r="I537" t="s">
        <v>1273</v>
      </c>
      <c r="J537" t="s">
        <v>1414</v>
      </c>
      <c r="K537" t="s">
        <v>1420</v>
      </c>
    </row>
    <row r="538" spans="1:11" x14ac:dyDescent="0.25">
      <c r="A538" t="s">
        <v>1964</v>
      </c>
      <c r="B538" s="2">
        <v>45483</v>
      </c>
      <c r="C538" t="s">
        <v>238</v>
      </c>
      <c r="D538" t="s">
        <v>1011</v>
      </c>
      <c r="E538">
        <v>5</v>
      </c>
      <c r="F538">
        <v>12</v>
      </c>
      <c r="G538">
        <v>3.87</v>
      </c>
      <c r="H538" t="s">
        <v>1151</v>
      </c>
      <c r="I538" t="s">
        <v>1350</v>
      </c>
      <c r="J538" t="s">
        <v>1416</v>
      </c>
      <c r="K538" t="s">
        <v>1424</v>
      </c>
    </row>
    <row r="539" spans="1:11" x14ac:dyDescent="0.25">
      <c r="A539" t="s">
        <v>1965</v>
      </c>
      <c r="B539" s="2">
        <v>45483</v>
      </c>
      <c r="C539" t="s">
        <v>352</v>
      </c>
      <c r="D539" t="s">
        <v>1014</v>
      </c>
      <c r="E539">
        <v>6</v>
      </c>
      <c r="F539">
        <v>15</v>
      </c>
      <c r="G539">
        <v>3.58</v>
      </c>
      <c r="H539" t="s">
        <v>1026</v>
      </c>
      <c r="I539" t="s">
        <v>1225</v>
      </c>
      <c r="J539" t="s">
        <v>1414</v>
      </c>
      <c r="K539" t="s">
        <v>1426</v>
      </c>
    </row>
    <row r="540" spans="1:11" x14ac:dyDescent="0.25">
      <c r="A540" t="s">
        <v>1966</v>
      </c>
      <c r="B540" s="2">
        <v>45484</v>
      </c>
      <c r="C540" t="s">
        <v>395</v>
      </c>
      <c r="D540" t="s">
        <v>1014</v>
      </c>
      <c r="E540">
        <v>10</v>
      </c>
      <c r="G540">
        <v>5.77</v>
      </c>
      <c r="H540" t="s">
        <v>1094</v>
      </c>
      <c r="I540" t="s">
        <v>1293</v>
      </c>
      <c r="J540" t="s">
        <v>1414</v>
      </c>
      <c r="K540" t="s">
        <v>1426</v>
      </c>
    </row>
    <row r="541" spans="1:11" x14ac:dyDescent="0.25">
      <c r="A541" t="s">
        <v>1967</v>
      </c>
      <c r="B541" s="2">
        <v>45485</v>
      </c>
      <c r="C541" t="s">
        <v>155</v>
      </c>
      <c r="D541" t="s">
        <v>1012</v>
      </c>
      <c r="E541">
        <v>3</v>
      </c>
      <c r="F541">
        <v>40</v>
      </c>
      <c r="G541">
        <v>12.58</v>
      </c>
      <c r="H541" t="s">
        <v>1065</v>
      </c>
      <c r="I541" t="s">
        <v>1264</v>
      </c>
      <c r="J541" t="s">
        <v>1414</v>
      </c>
      <c r="K541" t="s">
        <v>1418</v>
      </c>
    </row>
    <row r="542" spans="1:11" x14ac:dyDescent="0.25">
      <c r="A542" t="s">
        <v>1968</v>
      </c>
      <c r="B542" s="2">
        <v>45485</v>
      </c>
      <c r="C542" t="s">
        <v>806</v>
      </c>
      <c r="D542" t="s">
        <v>1014</v>
      </c>
      <c r="E542">
        <v>9</v>
      </c>
      <c r="F542">
        <v>15</v>
      </c>
      <c r="G542">
        <v>5.0599999999999996</v>
      </c>
      <c r="H542" t="s">
        <v>1144</v>
      </c>
      <c r="I542" t="s">
        <v>1343</v>
      </c>
      <c r="J542" t="s">
        <v>1415</v>
      </c>
      <c r="K542" t="s">
        <v>1418</v>
      </c>
    </row>
    <row r="543" spans="1:11" x14ac:dyDescent="0.25">
      <c r="A543" t="s">
        <v>1969</v>
      </c>
      <c r="B543" s="2">
        <v>45485</v>
      </c>
      <c r="C543" t="s">
        <v>891</v>
      </c>
      <c r="D543" t="s">
        <v>1014</v>
      </c>
      <c r="E543">
        <v>9</v>
      </c>
      <c r="F543">
        <v>15</v>
      </c>
      <c r="G543">
        <v>4.67</v>
      </c>
      <c r="H543" t="s">
        <v>1055</v>
      </c>
      <c r="I543" t="s">
        <v>1254</v>
      </c>
      <c r="J543" t="s">
        <v>1414</v>
      </c>
      <c r="K543" t="s">
        <v>1427</v>
      </c>
    </row>
    <row r="544" spans="1:11" x14ac:dyDescent="0.25">
      <c r="A544" t="s">
        <v>1970</v>
      </c>
      <c r="B544" s="2">
        <v>45486</v>
      </c>
      <c r="C544" t="s">
        <v>373</v>
      </c>
      <c r="D544" t="s">
        <v>1015</v>
      </c>
      <c r="E544">
        <v>10</v>
      </c>
      <c r="F544">
        <v>10</v>
      </c>
      <c r="G544">
        <v>2.2200000000000002</v>
      </c>
      <c r="H544" t="s">
        <v>1180</v>
      </c>
      <c r="I544" t="s">
        <v>1379</v>
      </c>
      <c r="J544" t="s">
        <v>1417</v>
      </c>
      <c r="K544" t="s">
        <v>1423</v>
      </c>
    </row>
    <row r="545" spans="1:11" x14ac:dyDescent="0.25">
      <c r="A545" t="s">
        <v>1971</v>
      </c>
      <c r="B545" s="2">
        <v>45487</v>
      </c>
      <c r="C545" t="s">
        <v>177</v>
      </c>
      <c r="D545" t="s">
        <v>1015</v>
      </c>
      <c r="E545">
        <v>2</v>
      </c>
      <c r="F545">
        <v>10</v>
      </c>
      <c r="G545">
        <v>2.02</v>
      </c>
      <c r="H545" t="s">
        <v>1130</v>
      </c>
      <c r="I545" t="s">
        <v>1329</v>
      </c>
      <c r="J545" t="s">
        <v>1416</v>
      </c>
      <c r="K545" t="s">
        <v>1421</v>
      </c>
    </row>
    <row r="546" spans="1:11" x14ac:dyDescent="0.25">
      <c r="A546" t="s">
        <v>1972</v>
      </c>
      <c r="B546" s="2">
        <v>45487</v>
      </c>
      <c r="C546" t="s">
        <v>296</v>
      </c>
      <c r="D546" t="s">
        <v>1011</v>
      </c>
      <c r="E546">
        <v>5</v>
      </c>
      <c r="F546">
        <v>12</v>
      </c>
      <c r="G546">
        <v>2.5099999999999998</v>
      </c>
      <c r="H546" t="s">
        <v>1034</v>
      </c>
      <c r="I546" t="s">
        <v>1233</v>
      </c>
      <c r="J546" t="s">
        <v>1414</v>
      </c>
      <c r="K546" t="s">
        <v>1425</v>
      </c>
    </row>
    <row r="547" spans="1:11" x14ac:dyDescent="0.25">
      <c r="A547" t="s">
        <v>1973</v>
      </c>
      <c r="B547" s="2">
        <v>45487</v>
      </c>
      <c r="C547" t="s">
        <v>789</v>
      </c>
      <c r="D547" t="s">
        <v>1015</v>
      </c>
      <c r="E547">
        <v>4</v>
      </c>
      <c r="F547">
        <v>10</v>
      </c>
      <c r="G547">
        <v>3.9</v>
      </c>
      <c r="H547" t="s">
        <v>1089</v>
      </c>
      <c r="I547" t="s">
        <v>1288</v>
      </c>
      <c r="J547" t="s">
        <v>1416</v>
      </c>
      <c r="K547" t="s">
        <v>1423</v>
      </c>
    </row>
    <row r="548" spans="1:11" x14ac:dyDescent="0.25">
      <c r="A548" t="s">
        <v>1974</v>
      </c>
      <c r="B548" s="2">
        <v>45487</v>
      </c>
      <c r="C548" t="s">
        <v>893</v>
      </c>
      <c r="D548" t="s">
        <v>1012</v>
      </c>
      <c r="E548">
        <v>10</v>
      </c>
      <c r="F548">
        <v>40</v>
      </c>
      <c r="G548">
        <v>14.94</v>
      </c>
      <c r="H548" t="s">
        <v>1146</v>
      </c>
      <c r="I548" t="s">
        <v>1345</v>
      </c>
      <c r="J548" t="s">
        <v>1416</v>
      </c>
      <c r="K548" t="s">
        <v>1424</v>
      </c>
    </row>
    <row r="549" spans="1:11" x14ac:dyDescent="0.25">
      <c r="A549" t="s">
        <v>1975</v>
      </c>
      <c r="B549" s="2">
        <v>45488</v>
      </c>
      <c r="C549" t="s">
        <v>28</v>
      </c>
      <c r="D549" t="s">
        <v>1014</v>
      </c>
      <c r="E549">
        <v>6</v>
      </c>
      <c r="F549">
        <v>15</v>
      </c>
      <c r="G549">
        <v>3.49</v>
      </c>
      <c r="H549" t="s">
        <v>1031</v>
      </c>
      <c r="I549" t="s">
        <v>1230</v>
      </c>
      <c r="J549" t="s">
        <v>1415</v>
      </c>
      <c r="K549" t="s">
        <v>1419</v>
      </c>
    </row>
    <row r="550" spans="1:11" x14ac:dyDescent="0.25">
      <c r="A550" t="s">
        <v>1976</v>
      </c>
      <c r="B550" s="2">
        <v>45488</v>
      </c>
      <c r="C550" t="s">
        <v>216</v>
      </c>
      <c r="D550" t="s">
        <v>1012</v>
      </c>
      <c r="E550">
        <v>1</v>
      </c>
      <c r="F550">
        <v>40</v>
      </c>
      <c r="G550">
        <v>10.89</v>
      </c>
      <c r="H550" t="s">
        <v>1080</v>
      </c>
      <c r="I550" t="s">
        <v>1279</v>
      </c>
      <c r="J550" t="s">
        <v>1414</v>
      </c>
      <c r="K550" t="s">
        <v>1425</v>
      </c>
    </row>
    <row r="551" spans="1:11" x14ac:dyDescent="0.25">
      <c r="A551" t="s">
        <v>1977</v>
      </c>
      <c r="B551" s="2">
        <v>45488</v>
      </c>
      <c r="C551" t="s">
        <v>411</v>
      </c>
      <c r="D551" t="s">
        <v>1013</v>
      </c>
      <c r="E551">
        <v>3</v>
      </c>
      <c r="F551">
        <v>25</v>
      </c>
      <c r="G551">
        <v>6.64</v>
      </c>
      <c r="H551" t="s">
        <v>1182</v>
      </c>
      <c r="I551" t="s">
        <v>1381</v>
      </c>
      <c r="J551" t="s">
        <v>1414</v>
      </c>
      <c r="K551" t="s">
        <v>1422</v>
      </c>
    </row>
    <row r="552" spans="1:11" x14ac:dyDescent="0.25">
      <c r="A552" t="s">
        <v>1978</v>
      </c>
      <c r="B552" s="2">
        <v>45488</v>
      </c>
      <c r="C552" t="s">
        <v>612</v>
      </c>
      <c r="D552" t="s">
        <v>1013</v>
      </c>
      <c r="E552">
        <v>5</v>
      </c>
      <c r="F552">
        <v>25</v>
      </c>
      <c r="G552">
        <v>5.76</v>
      </c>
      <c r="H552" t="s">
        <v>1078</v>
      </c>
      <c r="I552" t="s">
        <v>1277</v>
      </c>
      <c r="J552" t="s">
        <v>1414</v>
      </c>
      <c r="K552" t="s">
        <v>1422</v>
      </c>
    </row>
    <row r="553" spans="1:11" x14ac:dyDescent="0.25">
      <c r="A553" t="s">
        <v>1979</v>
      </c>
      <c r="B553" s="2">
        <v>45488</v>
      </c>
      <c r="C553" t="s">
        <v>767</v>
      </c>
      <c r="D553" t="s">
        <v>1014</v>
      </c>
      <c r="E553">
        <v>2</v>
      </c>
      <c r="F553">
        <v>15</v>
      </c>
      <c r="G553">
        <v>5.21</v>
      </c>
      <c r="H553" t="s">
        <v>1151</v>
      </c>
      <c r="I553" t="s">
        <v>1350</v>
      </c>
      <c r="J553" t="s">
        <v>1414</v>
      </c>
      <c r="K553" t="s">
        <v>1420</v>
      </c>
    </row>
    <row r="554" spans="1:11" x14ac:dyDescent="0.25">
      <c r="A554" t="s">
        <v>1980</v>
      </c>
      <c r="B554" s="2">
        <v>45489</v>
      </c>
      <c r="C554" t="s">
        <v>190</v>
      </c>
      <c r="D554" t="s">
        <v>1015</v>
      </c>
      <c r="E554">
        <v>3</v>
      </c>
      <c r="F554">
        <v>10</v>
      </c>
      <c r="G554">
        <v>3.27</v>
      </c>
      <c r="H554" t="s">
        <v>1109</v>
      </c>
      <c r="I554" t="s">
        <v>1308</v>
      </c>
      <c r="J554" t="s">
        <v>1416</v>
      </c>
      <c r="K554" t="s">
        <v>1421</v>
      </c>
    </row>
    <row r="555" spans="1:11" x14ac:dyDescent="0.25">
      <c r="A555" t="s">
        <v>1981</v>
      </c>
      <c r="B555" s="2">
        <v>45489</v>
      </c>
      <c r="C555" t="s">
        <v>486</v>
      </c>
      <c r="D555" t="s">
        <v>1014</v>
      </c>
      <c r="E555">
        <v>4</v>
      </c>
      <c r="F555">
        <v>15</v>
      </c>
      <c r="G555">
        <v>5.98</v>
      </c>
      <c r="H555" t="s">
        <v>1146</v>
      </c>
      <c r="I555" t="s">
        <v>1345</v>
      </c>
      <c r="J555" t="s">
        <v>1414</v>
      </c>
      <c r="K555" t="s">
        <v>1422</v>
      </c>
    </row>
    <row r="556" spans="1:11" x14ac:dyDescent="0.25">
      <c r="A556" t="s">
        <v>1982</v>
      </c>
      <c r="B556" s="2">
        <v>45490</v>
      </c>
      <c r="C556" t="s">
        <v>345</v>
      </c>
      <c r="D556" t="s">
        <v>1015</v>
      </c>
      <c r="E556">
        <v>4</v>
      </c>
      <c r="F556">
        <v>10</v>
      </c>
      <c r="G556">
        <v>2.38</v>
      </c>
      <c r="H556" t="s">
        <v>1042</v>
      </c>
      <c r="I556" t="s">
        <v>1241</v>
      </c>
      <c r="J556" t="s">
        <v>1417</v>
      </c>
      <c r="K556" t="s">
        <v>1420</v>
      </c>
    </row>
    <row r="557" spans="1:11" x14ac:dyDescent="0.25">
      <c r="A557" t="s">
        <v>1983</v>
      </c>
      <c r="B557" s="2">
        <v>45490</v>
      </c>
      <c r="C557" t="s">
        <v>500</v>
      </c>
      <c r="D557" t="s">
        <v>1014</v>
      </c>
      <c r="E557">
        <v>7</v>
      </c>
      <c r="F557">
        <v>15</v>
      </c>
      <c r="G557">
        <v>4.13</v>
      </c>
      <c r="H557" t="s">
        <v>1165</v>
      </c>
      <c r="I557" t="s">
        <v>1364</v>
      </c>
      <c r="J557" t="s">
        <v>1414</v>
      </c>
      <c r="K557" t="s">
        <v>1427</v>
      </c>
    </row>
    <row r="558" spans="1:11" x14ac:dyDescent="0.25">
      <c r="A558" t="s">
        <v>1984</v>
      </c>
      <c r="B558" s="2">
        <v>45490</v>
      </c>
      <c r="C558" t="s">
        <v>775</v>
      </c>
      <c r="D558" t="s">
        <v>1013</v>
      </c>
      <c r="E558">
        <v>5</v>
      </c>
      <c r="F558">
        <v>25</v>
      </c>
      <c r="G558">
        <v>9.35</v>
      </c>
      <c r="H558" t="s">
        <v>1143</v>
      </c>
      <c r="I558" t="s">
        <v>1342</v>
      </c>
      <c r="J558" t="s">
        <v>1414</v>
      </c>
      <c r="K558" t="s">
        <v>1426</v>
      </c>
    </row>
    <row r="559" spans="1:11" x14ac:dyDescent="0.25">
      <c r="A559" t="s">
        <v>1985</v>
      </c>
      <c r="B559" s="2">
        <v>45490</v>
      </c>
      <c r="C559" t="s">
        <v>947</v>
      </c>
      <c r="D559" t="s">
        <v>1014</v>
      </c>
      <c r="E559">
        <v>8</v>
      </c>
      <c r="F559">
        <v>15</v>
      </c>
      <c r="G559">
        <v>3.62</v>
      </c>
      <c r="H559" t="s">
        <v>1120</v>
      </c>
      <c r="I559" t="s">
        <v>1319</v>
      </c>
      <c r="J559" t="s">
        <v>1417</v>
      </c>
      <c r="K559" t="s">
        <v>1421</v>
      </c>
    </row>
    <row r="560" spans="1:11" x14ac:dyDescent="0.25">
      <c r="A560" t="s">
        <v>1986</v>
      </c>
      <c r="B560" s="2">
        <v>45491</v>
      </c>
      <c r="C560" t="s">
        <v>359</v>
      </c>
      <c r="D560" t="s">
        <v>1013</v>
      </c>
      <c r="E560">
        <v>5</v>
      </c>
      <c r="F560">
        <v>25</v>
      </c>
      <c r="G560">
        <v>8.68</v>
      </c>
      <c r="H560" t="s">
        <v>1042</v>
      </c>
      <c r="I560" t="s">
        <v>1241</v>
      </c>
      <c r="J560" t="s">
        <v>1414</v>
      </c>
      <c r="K560" t="s">
        <v>1418</v>
      </c>
    </row>
    <row r="561" spans="1:11" x14ac:dyDescent="0.25">
      <c r="A561" t="s">
        <v>1987</v>
      </c>
      <c r="B561" s="2">
        <v>45491</v>
      </c>
      <c r="C561" t="s">
        <v>425</v>
      </c>
      <c r="D561" t="s">
        <v>1014</v>
      </c>
      <c r="E561">
        <v>10</v>
      </c>
      <c r="F561">
        <v>15</v>
      </c>
      <c r="G561">
        <v>3.4</v>
      </c>
      <c r="H561" t="s">
        <v>1092</v>
      </c>
      <c r="I561" t="s">
        <v>1291</v>
      </c>
      <c r="J561" t="s">
        <v>1415</v>
      </c>
      <c r="K561" t="s">
        <v>1420</v>
      </c>
    </row>
    <row r="562" spans="1:11" x14ac:dyDescent="0.25">
      <c r="A562" t="s">
        <v>1988</v>
      </c>
      <c r="B562" s="2">
        <v>45491</v>
      </c>
      <c r="C562" t="s">
        <v>555</v>
      </c>
      <c r="D562" t="s">
        <v>1012</v>
      </c>
      <c r="E562">
        <v>2</v>
      </c>
      <c r="F562">
        <v>40</v>
      </c>
      <c r="G562">
        <v>9.3000000000000007</v>
      </c>
      <c r="H562" t="s">
        <v>1016</v>
      </c>
      <c r="I562" t="s">
        <v>1215</v>
      </c>
      <c r="J562" t="s">
        <v>1414</v>
      </c>
      <c r="K562" t="s">
        <v>1427</v>
      </c>
    </row>
    <row r="563" spans="1:11" x14ac:dyDescent="0.25">
      <c r="A563" t="s">
        <v>1989</v>
      </c>
      <c r="B563" s="2">
        <v>45491</v>
      </c>
      <c r="C563" t="s">
        <v>694</v>
      </c>
      <c r="D563" t="s">
        <v>1014</v>
      </c>
      <c r="E563">
        <v>7</v>
      </c>
      <c r="F563">
        <v>15</v>
      </c>
      <c r="G563">
        <v>3.65</v>
      </c>
      <c r="H563" t="s">
        <v>1063</v>
      </c>
      <c r="I563" t="s">
        <v>1262</v>
      </c>
      <c r="J563" t="s">
        <v>1417</v>
      </c>
      <c r="K563" t="s">
        <v>1418</v>
      </c>
    </row>
    <row r="564" spans="1:11" x14ac:dyDescent="0.25">
      <c r="A564" t="s">
        <v>1990</v>
      </c>
      <c r="B564" s="2">
        <v>45491</v>
      </c>
      <c r="C564" t="s">
        <v>776</v>
      </c>
      <c r="D564" t="s">
        <v>1012</v>
      </c>
      <c r="E564">
        <v>2</v>
      </c>
      <c r="F564">
        <v>40</v>
      </c>
      <c r="G564">
        <v>14.04</v>
      </c>
      <c r="H564" t="s">
        <v>1077</v>
      </c>
      <c r="I564" t="s">
        <v>1276</v>
      </c>
      <c r="J564" t="s">
        <v>1416</v>
      </c>
      <c r="K564" t="s">
        <v>1419</v>
      </c>
    </row>
    <row r="565" spans="1:11" x14ac:dyDescent="0.25">
      <c r="A565" t="s">
        <v>1991</v>
      </c>
      <c r="B565" s="2">
        <v>45492</v>
      </c>
      <c r="C565" t="s">
        <v>627</v>
      </c>
      <c r="D565" t="s">
        <v>1013</v>
      </c>
      <c r="E565">
        <v>2</v>
      </c>
      <c r="F565">
        <v>25</v>
      </c>
      <c r="G565">
        <v>9.57</v>
      </c>
      <c r="H565" t="s">
        <v>1176</v>
      </c>
      <c r="I565" t="s">
        <v>1375</v>
      </c>
      <c r="J565" t="s">
        <v>1414</v>
      </c>
      <c r="K565" t="s">
        <v>1425</v>
      </c>
    </row>
    <row r="566" spans="1:11" x14ac:dyDescent="0.25">
      <c r="A566" t="s">
        <v>1992</v>
      </c>
      <c r="B566" s="2">
        <v>45493</v>
      </c>
      <c r="C566" t="s">
        <v>513</v>
      </c>
      <c r="D566" t="s">
        <v>1012</v>
      </c>
      <c r="E566">
        <v>3</v>
      </c>
      <c r="F566">
        <v>40</v>
      </c>
      <c r="G566">
        <v>12.77</v>
      </c>
      <c r="H566" t="s">
        <v>1062</v>
      </c>
      <c r="I566" t="s">
        <v>1261</v>
      </c>
      <c r="J566" t="s">
        <v>1414</v>
      </c>
      <c r="K566" t="s">
        <v>1421</v>
      </c>
    </row>
    <row r="567" spans="1:11" x14ac:dyDescent="0.25">
      <c r="A567" t="s">
        <v>1993</v>
      </c>
      <c r="B567" s="2">
        <v>45494</v>
      </c>
      <c r="C567" t="s">
        <v>144</v>
      </c>
      <c r="D567" t="s">
        <v>1014</v>
      </c>
      <c r="E567">
        <v>8</v>
      </c>
      <c r="F567">
        <v>15</v>
      </c>
      <c r="G567">
        <v>4.2699999999999996</v>
      </c>
      <c r="H567" t="s">
        <v>1052</v>
      </c>
      <c r="I567" t="s">
        <v>1251</v>
      </c>
      <c r="J567" t="s">
        <v>1416</v>
      </c>
      <c r="K567" t="s">
        <v>1424</v>
      </c>
    </row>
    <row r="568" spans="1:11" x14ac:dyDescent="0.25">
      <c r="A568" t="s">
        <v>1994</v>
      </c>
      <c r="B568" s="2">
        <v>45494</v>
      </c>
      <c r="C568" t="s">
        <v>276</v>
      </c>
      <c r="D568" t="s">
        <v>1013</v>
      </c>
      <c r="E568">
        <v>4</v>
      </c>
      <c r="G568">
        <v>8.75</v>
      </c>
      <c r="H568" t="s">
        <v>1162</v>
      </c>
      <c r="I568" t="s">
        <v>1361</v>
      </c>
      <c r="J568" t="s">
        <v>1414</v>
      </c>
      <c r="K568" t="s">
        <v>1424</v>
      </c>
    </row>
    <row r="569" spans="1:11" x14ac:dyDescent="0.25">
      <c r="A569" t="s">
        <v>1995</v>
      </c>
      <c r="B569" s="2">
        <v>45494</v>
      </c>
      <c r="C569" t="s">
        <v>892</v>
      </c>
      <c r="D569" t="s">
        <v>1012</v>
      </c>
      <c r="E569">
        <v>3</v>
      </c>
      <c r="F569">
        <v>40</v>
      </c>
      <c r="G569">
        <v>9.3699999999999992</v>
      </c>
      <c r="H569" t="s">
        <v>1175</v>
      </c>
      <c r="I569" t="s">
        <v>1374</v>
      </c>
      <c r="J569" t="s">
        <v>1414</v>
      </c>
      <c r="K569" t="s">
        <v>1418</v>
      </c>
    </row>
    <row r="570" spans="1:11" x14ac:dyDescent="0.25">
      <c r="A570" t="s">
        <v>1996</v>
      </c>
      <c r="B570" s="2">
        <v>45495</v>
      </c>
      <c r="C570" t="s">
        <v>183</v>
      </c>
      <c r="D570" t="s">
        <v>1012</v>
      </c>
      <c r="E570">
        <v>5</v>
      </c>
      <c r="F570">
        <v>40</v>
      </c>
      <c r="G570">
        <v>11</v>
      </c>
      <c r="H570" t="s">
        <v>1133</v>
      </c>
      <c r="I570" t="s">
        <v>1332</v>
      </c>
      <c r="J570" t="s">
        <v>1414</v>
      </c>
      <c r="K570" t="s">
        <v>1421</v>
      </c>
    </row>
    <row r="571" spans="1:11" x14ac:dyDescent="0.25">
      <c r="A571" t="s">
        <v>1997</v>
      </c>
      <c r="B571" s="2">
        <v>45495</v>
      </c>
      <c r="C571" t="s">
        <v>496</v>
      </c>
      <c r="D571" t="s">
        <v>1013</v>
      </c>
      <c r="E571">
        <v>10</v>
      </c>
      <c r="F571">
        <v>25</v>
      </c>
      <c r="G571">
        <v>5.0999999999999996</v>
      </c>
      <c r="H571" t="s">
        <v>1126</v>
      </c>
      <c r="I571" t="s">
        <v>1325</v>
      </c>
      <c r="J571" t="s">
        <v>1414</v>
      </c>
      <c r="K571" t="s">
        <v>1426</v>
      </c>
    </row>
    <row r="572" spans="1:11" x14ac:dyDescent="0.25">
      <c r="A572" t="s">
        <v>1998</v>
      </c>
      <c r="B572" s="2">
        <v>45495</v>
      </c>
      <c r="C572" t="s">
        <v>533</v>
      </c>
      <c r="D572" t="s">
        <v>1012</v>
      </c>
      <c r="E572">
        <v>8</v>
      </c>
      <c r="F572">
        <v>40</v>
      </c>
      <c r="G572">
        <v>10.119999999999999</v>
      </c>
      <c r="H572" t="s">
        <v>1206</v>
      </c>
      <c r="I572" t="s">
        <v>1405</v>
      </c>
      <c r="J572" t="s">
        <v>1414</v>
      </c>
      <c r="K572" t="s">
        <v>1427</v>
      </c>
    </row>
    <row r="573" spans="1:11" x14ac:dyDescent="0.25">
      <c r="A573" t="s">
        <v>1999</v>
      </c>
      <c r="B573" s="2">
        <v>45496</v>
      </c>
      <c r="C573" t="s">
        <v>248</v>
      </c>
      <c r="D573" t="s">
        <v>1014</v>
      </c>
      <c r="E573">
        <v>7</v>
      </c>
      <c r="F573">
        <v>15</v>
      </c>
      <c r="G573">
        <v>5.88</v>
      </c>
      <c r="H573" t="s">
        <v>1157</v>
      </c>
      <c r="I573" t="s">
        <v>1356</v>
      </c>
      <c r="J573" t="s">
        <v>1415</v>
      </c>
      <c r="K573" t="s">
        <v>1418</v>
      </c>
    </row>
    <row r="574" spans="1:11" x14ac:dyDescent="0.25">
      <c r="A574" t="s">
        <v>2000</v>
      </c>
      <c r="B574" s="2">
        <v>45496</v>
      </c>
      <c r="C574" t="s">
        <v>356</v>
      </c>
      <c r="D574" t="s">
        <v>1015</v>
      </c>
      <c r="E574">
        <v>1</v>
      </c>
      <c r="F574">
        <v>10</v>
      </c>
      <c r="G574">
        <v>2.21</v>
      </c>
      <c r="H574" t="s">
        <v>1062</v>
      </c>
      <c r="I574" t="s">
        <v>1261</v>
      </c>
      <c r="J574" t="s">
        <v>1414</v>
      </c>
      <c r="K574" t="s">
        <v>1420</v>
      </c>
    </row>
    <row r="575" spans="1:11" x14ac:dyDescent="0.25">
      <c r="A575" t="s">
        <v>2001</v>
      </c>
      <c r="B575" s="2">
        <v>45496</v>
      </c>
      <c r="C575" t="s">
        <v>795</v>
      </c>
      <c r="D575" t="s">
        <v>1012</v>
      </c>
      <c r="E575">
        <v>3</v>
      </c>
      <c r="F575">
        <v>40</v>
      </c>
      <c r="G575">
        <v>8.3800000000000008</v>
      </c>
      <c r="H575" t="s">
        <v>1149</v>
      </c>
      <c r="I575" t="s">
        <v>1348</v>
      </c>
      <c r="J575" t="s">
        <v>1414</v>
      </c>
      <c r="K575" t="s">
        <v>1422</v>
      </c>
    </row>
    <row r="576" spans="1:11" x14ac:dyDescent="0.25">
      <c r="A576" t="s">
        <v>2002</v>
      </c>
      <c r="B576" s="2">
        <v>45496</v>
      </c>
      <c r="C576" t="s">
        <v>818</v>
      </c>
      <c r="D576" t="s">
        <v>1011</v>
      </c>
      <c r="E576">
        <v>6</v>
      </c>
      <c r="F576">
        <v>12</v>
      </c>
      <c r="G576">
        <v>2.68</v>
      </c>
      <c r="H576" t="s">
        <v>1159</v>
      </c>
      <c r="I576" t="s">
        <v>1358</v>
      </c>
      <c r="J576" t="s">
        <v>1414</v>
      </c>
      <c r="K576" t="s">
        <v>1418</v>
      </c>
    </row>
    <row r="577" spans="1:11" x14ac:dyDescent="0.25">
      <c r="A577" t="s">
        <v>2003</v>
      </c>
      <c r="B577" s="2">
        <v>45498</v>
      </c>
      <c r="C577" t="s">
        <v>21</v>
      </c>
      <c r="D577" t="s">
        <v>1013</v>
      </c>
      <c r="E577">
        <v>8</v>
      </c>
      <c r="F577">
        <v>25</v>
      </c>
      <c r="G577">
        <v>6.6</v>
      </c>
      <c r="H577" t="s">
        <v>1024</v>
      </c>
      <c r="I577" t="s">
        <v>1223</v>
      </c>
      <c r="J577" t="s">
        <v>1414</v>
      </c>
      <c r="K577" t="s">
        <v>1423</v>
      </c>
    </row>
    <row r="578" spans="1:11" x14ac:dyDescent="0.25">
      <c r="A578" t="s">
        <v>2004</v>
      </c>
      <c r="B578" s="2">
        <v>45498</v>
      </c>
      <c r="C578" t="s">
        <v>172</v>
      </c>
      <c r="D578" t="s">
        <v>1012</v>
      </c>
      <c r="E578">
        <v>4</v>
      </c>
      <c r="F578">
        <v>40</v>
      </c>
      <c r="G578">
        <v>14.82</v>
      </c>
      <c r="H578" t="s">
        <v>1041</v>
      </c>
      <c r="I578" t="s">
        <v>1240</v>
      </c>
      <c r="J578" t="s">
        <v>1414</v>
      </c>
      <c r="K578" t="s">
        <v>1420</v>
      </c>
    </row>
    <row r="579" spans="1:11" x14ac:dyDescent="0.25">
      <c r="A579" t="s">
        <v>2005</v>
      </c>
      <c r="B579" s="2">
        <v>45498</v>
      </c>
      <c r="C579" t="s">
        <v>242</v>
      </c>
      <c r="D579" t="s">
        <v>1013</v>
      </c>
      <c r="E579">
        <v>7</v>
      </c>
      <c r="F579">
        <v>25</v>
      </c>
      <c r="G579">
        <v>8.67</v>
      </c>
      <c r="H579" t="s">
        <v>1142</v>
      </c>
      <c r="I579" t="s">
        <v>1341</v>
      </c>
      <c r="J579" t="s">
        <v>1416</v>
      </c>
      <c r="K579" t="s">
        <v>1419</v>
      </c>
    </row>
    <row r="580" spans="1:11" x14ac:dyDescent="0.25">
      <c r="A580" t="s">
        <v>2006</v>
      </c>
      <c r="B580" s="2">
        <v>45498</v>
      </c>
      <c r="C580" t="s">
        <v>254</v>
      </c>
      <c r="D580" t="s">
        <v>1014</v>
      </c>
      <c r="E580">
        <v>8</v>
      </c>
      <c r="F580">
        <v>15</v>
      </c>
      <c r="G580">
        <v>5.97</v>
      </c>
      <c r="H580" t="s">
        <v>1046</v>
      </c>
      <c r="I580" t="s">
        <v>1245</v>
      </c>
      <c r="J580" t="s">
        <v>1414</v>
      </c>
      <c r="K580" t="s">
        <v>1419</v>
      </c>
    </row>
    <row r="581" spans="1:11" x14ac:dyDescent="0.25">
      <c r="A581" t="s">
        <v>2007</v>
      </c>
      <c r="B581" s="2">
        <v>45498</v>
      </c>
      <c r="C581" t="s">
        <v>444</v>
      </c>
      <c r="D581" t="s">
        <v>1011</v>
      </c>
      <c r="E581">
        <v>4</v>
      </c>
      <c r="F581">
        <v>12</v>
      </c>
      <c r="G581">
        <v>3.9</v>
      </c>
      <c r="H581" t="s">
        <v>1192</v>
      </c>
      <c r="I581" t="s">
        <v>1391</v>
      </c>
      <c r="J581" t="s">
        <v>1414</v>
      </c>
      <c r="K581" t="s">
        <v>1420</v>
      </c>
    </row>
    <row r="582" spans="1:11" x14ac:dyDescent="0.25">
      <c r="A582" t="s">
        <v>2008</v>
      </c>
      <c r="B582" s="2">
        <v>45498</v>
      </c>
      <c r="C582" t="s">
        <v>689</v>
      </c>
      <c r="D582" t="s">
        <v>1015</v>
      </c>
      <c r="E582">
        <v>6</v>
      </c>
      <c r="F582">
        <v>10</v>
      </c>
      <c r="G582">
        <v>3.16</v>
      </c>
      <c r="H582" t="s">
        <v>1182</v>
      </c>
      <c r="I582" t="s">
        <v>1381</v>
      </c>
      <c r="J582" t="s">
        <v>1414</v>
      </c>
      <c r="K582" t="s">
        <v>1422</v>
      </c>
    </row>
    <row r="583" spans="1:11" x14ac:dyDescent="0.25">
      <c r="A583" t="s">
        <v>2009</v>
      </c>
      <c r="B583" s="2">
        <v>45498</v>
      </c>
      <c r="C583" t="s">
        <v>930</v>
      </c>
      <c r="D583" t="s">
        <v>1012</v>
      </c>
      <c r="E583">
        <v>3</v>
      </c>
      <c r="F583">
        <v>40</v>
      </c>
      <c r="G583">
        <v>11.05</v>
      </c>
      <c r="H583" t="s">
        <v>1180</v>
      </c>
      <c r="I583" t="s">
        <v>1379</v>
      </c>
      <c r="J583" t="s">
        <v>1416</v>
      </c>
      <c r="K583" t="s">
        <v>1421</v>
      </c>
    </row>
    <row r="584" spans="1:11" x14ac:dyDescent="0.25">
      <c r="A584" t="s">
        <v>2010</v>
      </c>
      <c r="B584" s="2">
        <v>45499</v>
      </c>
      <c r="C584" t="s">
        <v>115</v>
      </c>
      <c r="D584" t="s">
        <v>1012</v>
      </c>
      <c r="E584">
        <v>5</v>
      </c>
      <c r="G584">
        <v>12.94</v>
      </c>
      <c r="H584" t="s">
        <v>1095</v>
      </c>
      <c r="I584" t="s">
        <v>1294</v>
      </c>
      <c r="J584" t="s">
        <v>1414</v>
      </c>
      <c r="K584" t="s">
        <v>1423</v>
      </c>
    </row>
    <row r="585" spans="1:11" x14ac:dyDescent="0.25">
      <c r="A585" t="s">
        <v>2011</v>
      </c>
      <c r="B585" s="2">
        <v>45499</v>
      </c>
      <c r="C585" t="s">
        <v>700</v>
      </c>
      <c r="D585" t="s">
        <v>1015</v>
      </c>
      <c r="E585">
        <v>3</v>
      </c>
      <c r="F585">
        <v>10</v>
      </c>
      <c r="G585">
        <v>2.02</v>
      </c>
      <c r="H585" t="s">
        <v>1161</v>
      </c>
      <c r="I585" t="s">
        <v>1360</v>
      </c>
      <c r="J585" t="s">
        <v>1416</v>
      </c>
      <c r="K585" t="s">
        <v>1418</v>
      </c>
    </row>
    <row r="586" spans="1:11" x14ac:dyDescent="0.25">
      <c r="A586" t="s">
        <v>2012</v>
      </c>
      <c r="B586" s="2">
        <v>45500</v>
      </c>
      <c r="C586" t="s">
        <v>335</v>
      </c>
      <c r="D586" t="s">
        <v>1012</v>
      </c>
      <c r="E586">
        <v>6</v>
      </c>
      <c r="F586">
        <v>40</v>
      </c>
      <c r="G586">
        <v>13.06</v>
      </c>
      <c r="H586" t="s">
        <v>1160</v>
      </c>
      <c r="I586" t="s">
        <v>1359</v>
      </c>
      <c r="J586" t="s">
        <v>1414</v>
      </c>
      <c r="K586" t="s">
        <v>1423</v>
      </c>
    </row>
    <row r="587" spans="1:11" x14ac:dyDescent="0.25">
      <c r="A587" t="s">
        <v>2013</v>
      </c>
      <c r="B587" s="2">
        <v>45500</v>
      </c>
      <c r="C587" t="s">
        <v>517</v>
      </c>
      <c r="D587" t="s">
        <v>1013</v>
      </c>
      <c r="E587">
        <v>3</v>
      </c>
      <c r="F587">
        <v>25</v>
      </c>
      <c r="G587">
        <v>5.33</v>
      </c>
      <c r="H587" t="s">
        <v>1097</v>
      </c>
      <c r="I587" t="s">
        <v>1296</v>
      </c>
      <c r="J587" t="s">
        <v>1414</v>
      </c>
      <c r="K587" t="s">
        <v>1419</v>
      </c>
    </row>
    <row r="588" spans="1:11" x14ac:dyDescent="0.25">
      <c r="A588" t="s">
        <v>2014</v>
      </c>
      <c r="B588" s="2">
        <v>45500</v>
      </c>
      <c r="C588" t="s">
        <v>804</v>
      </c>
      <c r="D588" t="s">
        <v>1014</v>
      </c>
      <c r="E588">
        <v>6</v>
      </c>
      <c r="F588">
        <v>15</v>
      </c>
      <c r="G588">
        <v>5.32</v>
      </c>
      <c r="H588" t="s">
        <v>1089</v>
      </c>
      <c r="I588" t="s">
        <v>1288</v>
      </c>
      <c r="J588" t="s">
        <v>1414</v>
      </c>
      <c r="K588" t="s">
        <v>1423</v>
      </c>
    </row>
    <row r="589" spans="1:11" x14ac:dyDescent="0.25">
      <c r="A589" t="s">
        <v>2015</v>
      </c>
      <c r="B589" s="2">
        <v>45501</v>
      </c>
      <c r="C589" t="s">
        <v>959</v>
      </c>
      <c r="D589" t="s">
        <v>1013</v>
      </c>
      <c r="E589">
        <v>8</v>
      </c>
      <c r="F589">
        <v>25</v>
      </c>
      <c r="G589">
        <v>7.98</v>
      </c>
      <c r="H589" t="s">
        <v>1049</v>
      </c>
      <c r="I589" t="s">
        <v>1248</v>
      </c>
      <c r="J589" t="s">
        <v>1414</v>
      </c>
      <c r="K589" t="s">
        <v>1418</v>
      </c>
    </row>
    <row r="590" spans="1:11" x14ac:dyDescent="0.25">
      <c r="A590" t="s">
        <v>2016</v>
      </c>
      <c r="B590" s="2">
        <v>45503</v>
      </c>
      <c r="C590" t="s">
        <v>494</v>
      </c>
      <c r="D590" t="s">
        <v>1014</v>
      </c>
      <c r="E590">
        <v>9</v>
      </c>
      <c r="F590">
        <v>15</v>
      </c>
      <c r="G590">
        <v>5.59</v>
      </c>
      <c r="H590" t="s">
        <v>1202</v>
      </c>
      <c r="I590" t="s">
        <v>1401</v>
      </c>
      <c r="J590" t="s">
        <v>1414</v>
      </c>
      <c r="K590" t="s">
        <v>1422</v>
      </c>
    </row>
    <row r="591" spans="1:11" x14ac:dyDescent="0.25">
      <c r="A591" t="s">
        <v>2017</v>
      </c>
      <c r="B591" s="2">
        <v>45503</v>
      </c>
      <c r="C591" t="s">
        <v>729</v>
      </c>
      <c r="D591" t="s">
        <v>1012</v>
      </c>
      <c r="E591">
        <v>10</v>
      </c>
      <c r="F591">
        <v>40</v>
      </c>
      <c r="G591">
        <v>15.91</v>
      </c>
      <c r="H591" t="s">
        <v>1114</v>
      </c>
      <c r="I591" t="s">
        <v>1313</v>
      </c>
      <c r="J591" t="s">
        <v>1414</v>
      </c>
      <c r="K591" t="s">
        <v>1425</v>
      </c>
    </row>
    <row r="592" spans="1:11" x14ac:dyDescent="0.25">
      <c r="A592" t="s">
        <v>2018</v>
      </c>
      <c r="B592" s="2">
        <v>45504</v>
      </c>
      <c r="C592" t="s">
        <v>36</v>
      </c>
      <c r="D592" t="s">
        <v>1014</v>
      </c>
      <c r="E592">
        <v>9</v>
      </c>
      <c r="F592">
        <v>15</v>
      </c>
      <c r="G592">
        <v>5.14</v>
      </c>
      <c r="H592" t="s">
        <v>1038</v>
      </c>
      <c r="I592" t="s">
        <v>1237</v>
      </c>
      <c r="J592" t="s">
        <v>1414</v>
      </c>
      <c r="K592" t="s">
        <v>1419</v>
      </c>
    </row>
    <row r="593" spans="1:11" x14ac:dyDescent="0.25">
      <c r="A593" t="s">
        <v>2019</v>
      </c>
      <c r="B593" s="2">
        <v>45505</v>
      </c>
      <c r="C593" t="s">
        <v>644</v>
      </c>
      <c r="D593" t="s">
        <v>1013</v>
      </c>
      <c r="E593">
        <v>2</v>
      </c>
      <c r="F593">
        <v>25</v>
      </c>
      <c r="G593">
        <v>8.4</v>
      </c>
      <c r="H593" t="s">
        <v>1056</v>
      </c>
      <c r="I593" t="s">
        <v>1255</v>
      </c>
      <c r="J593" t="s">
        <v>1414</v>
      </c>
      <c r="K593" t="s">
        <v>1422</v>
      </c>
    </row>
    <row r="594" spans="1:11" x14ac:dyDescent="0.25">
      <c r="A594" t="s">
        <v>2020</v>
      </c>
      <c r="B594" s="2">
        <v>45505</v>
      </c>
      <c r="C594" t="s">
        <v>816</v>
      </c>
      <c r="D594" t="s">
        <v>1014</v>
      </c>
      <c r="E594">
        <v>2</v>
      </c>
      <c r="F594">
        <v>15</v>
      </c>
      <c r="G594">
        <v>4.3099999999999996</v>
      </c>
      <c r="H594" t="s">
        <v>1211</v>
      </c>
      <c r="I594" t="s">
        <v>1410</v>
      </c>
      <c r="J594" t="s">
        <v>1417</v>
      </c>
      <c r="K594" t="s">
        <v>1423</v>
      </c>
    </row>
    <row r="595" spans="1:11" x14ac:dyDescent="0.25">
      <c r="A595" t="s">
        <v>2021</v>
      </c>
      <c r="B595" s="2">
        <v>45505</v>
      </c>
      <c r="C595" t="s">
        <v>1001</v>
      </c>
      <c r="D595" t="s">
        <v>1012</v>
      </c>
      <c r="E595">
        <v>9</v>
      </c>
      <c r="F595">
        <v>40</v>
      </c>
      <c r="G595">
        <v>11.09</v>
      </c>
      <c r="H595" t="s">
        <v>1159</v>
      </c>
      <c r="I595" t="s">
        <v>1358</v>
      </c>
      <c r="J595" t="s">
        <v>1414</v>
      </c>
      <c r="K595" t="s">
        <v>1423</v>
      </c>
    </row>
    <row r="596" spans="1:11" x14ac:dyDescent="0.25">
      <c r="A596" t="s">
        <v>2022</v>
      </c>
      <c r="B596" s="2">
        <v>45507</v>
      </c>
      <c r="C596" t="s">
        <v>59</v>
      </c>
      <c r="D596" t="s">
        <v>1011</v>
      </c>
      <c r="E596">
        <v>2</v>
      </c>
      <c r="F596">
        <v>12</v>
      </c>
      <c r="G596">
        <v>3.35</v>
      </c>
      <c r="H596" t="s">
        <v>1057</v>
      </c>
      <c r="I596" t="s">
        <v>1256</v>
      </c>
      <c r="J596" t="s">
        <v>1415</v>
      </c>
      <c r="K596" t="s">
        <v>1426</v>
      </c>
    </row>
    <row r="597" spans="1:11" x14ac:dyDescent="0.25">
      <c r="A597" t="s">
        <v>2023</v>
      </c>
      <c r="B597" s="2">
        <v>45508</v>
      </c>
      <c r="C597" t="s">
        <v>51</v>
      </c>
      <c r="D597" t="s">
        <v>1011</v>
      </c>
      <c r="E597">
        <v>9</v>
      </c>
      <c r="F597">
        <v>12</v>
      </c>
      <c r="G597">
        <v>4.04</v>
      </c>
      <c r="H597" t="s">
        <v>1050</v>
      </c>
      <c r="I597" t="s">
        <v>1249</v>
      </c>
      <c r="J597" t="s">
        <v>1416</v>
      </c>
      <c r="K597" t="s">
        <v>1427</v>
      </c>
    </row>
    <row r="598" spans="1:11" x14ac:dyDescent="0.25">
      <c r="A598" t="s">
        <v>2024</v>
      </c>
      <c r="B598" s="2">
        <v>45508</v>
      </c>
      <c r="C598" t="s">
        <v>186</v>
      </c>
      <c r="D598" t="s">
        <v>1013</v>
      </c>
      <c r="E598">
        <v>2</v>
      </c>
      <c r="F598">
        <v>25</v>
      </c>
      <c r="G598">
        <v>7.09</v>
      </c>
      <c r="H598" t="s">
        <v>1096</v>
      </c>
      <c r="I598" t="s">
        <v>1295</v>
      </c>
      <c r="J598" t="s">
        <v>1414</v>
      </c>
      <c r="K598" t="s">
        <v>1422</v>
      </c>
    </row>
    <row r="599" spans="1:11" x14ac:dyDescent="0.25">
      <c r="A599" t="s">
        <v>2025</v>
      </c>
      <c r="B599" s="2">
        <v>45508</v>
      </c>
      <c r="C599" t="s">
        <v>219</v>
      </c>
      <c r="D599" t="s">
        <v>1013</v>
      </c>
      <c r="E599">
        <v>7</v>
      </c>
      <c r="F599">
        <v>25</v>
      </c>
      <c r="G599">
        <v>5.54</v>
      </c>
      <c r="H599" t="s">
        <v>1145</v>
      </c>
      <c r="I599" t="s">
        <v>1344</v>
      </c>
      <c r="J599" t="s">
        <v>1414</v>
      </c>
      <c r="K599" t="s">
        <v>1421</v>
      </c>
    </row>
    <row r="600" spans="1:11" x14ac:dyDescent="0.25">
      <c r="A600" t="s">
        <v>2026</v>
      </c>
      <c r="B600" s="2">
        <v>45508</v>
      </c>
      <c r="C600" t="s">
        <v>885</v>
      </c>
      <c r="D600" t="s">
        <v>1012</v>
      </c>
      <c r="E600">
        <v>5</v>
      </c>
      <c r="F600">
        <v>40</v>
      </c>
      <c r="G600">
        <v>8.2799999999999994</v>
      </c>
      <c r="H600" t="s">
        <v>1092</v>
      </c>
      <c r="I600" t="s">
        <v>1291</v>
      </c>
      <c r="J600" t="s">
        <v>1416</v>
      </c>
      <c r="K600" t="s">
        <v>1421</v>
      </c>
    </row>
    <row r="601" spans="1:11" x14ac:dyDescent="0.25">
      <c r="A601" t="s">
        <v>2027</v>
      </c>
      <c r="B601" s="2">
        <v>45509</v>
      </c>
      <c r="C601" t="s">
        <v>284</v>
      </c>
      <c r="D601" t="s">
        <v>1013</v>
      </c>
      <c r="E601">
        <v>8</v>
      </c>
      <c r="F601">
        <v>25</v>
      </c>
      <c r="G601">
        <v>9.98</v>
      </c>
      <c r="H601" t="s">
        <v>1166</v>
      </c>
      <c r="I601" t="s">
        <v>1365</v>
      </c>
      <c r="J601" t="s">
        <v>1416</v>
      </c>
      <c r="K601" t="s">
        <v>1427</v>
      </c>
    </row>
    <row r="602" spans="1:11" x14ac:dyDescent="0.25">
      <c r="A602" t="s">
        <v>2028</v>
      </c>
      <c r="B602" s="2">
        <v>45509</v>
      </c>
      <c r="C602" t="s">
        <v>385</v>
      </c>
      <c r="D602" t="s">
        <v>1014</v>
      </c>
      <c r="E602">
        <v>3</v>
      </c>
      <c r="F602">
        <v>15</v>
      </c>
      <c r="G602">
        <v>3.84</v>
      </c>
      <c r="H602" t="s">
        <v>1097</v>
      </c>
      <c r="I602" t="s">
        <v>1296</v>
      </c>
      <c r="J602" t="s">
        <v>1416</v>
      </c>
      <c r="K602" t="s">
        <v>1425</v>
      </c>
    </row>
    <row r="603" spans="1:11" x14ac:dyDescent="0.25">
      <c r="A603" t="s">
        <v>2029</v>
      </c>
      <c r="B603" s="2">
        <v>45509</v>
      </c>
      <c r="C603" t="s">
        <v>684</v>
      </c>
      <c r="D603" t="s">
        <v>1014</v>
      </c>
      <c r="E603">
        <v>1</v>
      </c>
      <c r="F603">
        <v>15</v>
      </c>
      <c r="G603">
        <v>4.22</v>
      </c>
      <c r="H603" t="s">
        <v>1193</v>
      </c>
      <c r="I603" t="s">
        <v>1392</v>
      </c>
      <c r="J603" t="s">
        <v>1414</v>
      </c>
      <c r="K603" t="s">
        <v>1425</v>
      </c>
    </row>
    <row r="604" spans="1:11" x14ac:dyDescent="0.25">
      <c r="A604" t="s">
        <v>2030</v>
      </c>
      <c r="B604" s="2">
        <v>45509</v>
      </c>
      <c r="C604" t="s">
        <v>900</v>
      </c>
      <c r="D604" t="s">
        <v>1011</v>
      </c>
      <c r="E604">
        <v>6</v>
      </c>
      <c r="F604">
        <v>12</v>
      </c>
      <c r="G604">
        <v>3.28</v>
      </c>
      <c r="H604" t="s">
        <v>1124</v>
      </c>
      <c r="I604" t="s">
        <v>1323</v>
      </c>
      <c r="J604" t="s">
        <v>1414</v>
      </c>
      <c r="K604" t="s">
        <v>1421</v>
      </c>
    </row>
    <row r="605" spans="1:11" x14ac:dyDescent="0.25">
      <c r="A605" t="s">
        <v>2031</v>
      </c>
      <c r="B605" s="2">
        <v>45510</v>
      </c>
      <c r="C605" t="s">
        <v>206</v>
      </c>
      <c r="D605" t="s">
        <v>1014</v>
      </c>
      <c r="E605">
        <v>1</v>
      </c>
      <c r="F605">
        <v>15</v>
      </c>
      <c r="G605">
        <v>3.96</v>
      </c>
      <c r="H605" t="s">
        <v>1141</v>
      </c>
      <c r="I605" t="s">
        <v>1340</v>
      </c>
      <c r="J605" t="s">
        <v>1414</v>
      </c>
      <c r="K605" t="s">
        <v>1420</v>
      </c>
    </row>
    <row r="606" spans="1:11" x14ac:dyDescent="0.25">
      <c r="A606" t="s">
        <v>2032</v>
      </c>
      <c r="B606" s="2">
        <v>45510</v>
      </c>
      <c r="C606" t="s">
        <v>313</v>
      </c>
      <c r="D606" t="s">
        <v>1012</v>
      </c>
      <c r="E606">
        <v>10</v>
      </c>
      <c r="F606">
        <v>40</v>
      </c>
      <c r="G606">
        <v>12.88</v>
      </c>
      <c r="H606" t="s">
        <v>1037</v>
      </c>
      <c r="I606" t="s">
        <v>1236</v>
      </c>
      <c r="J606" t="s">
        <v>1414</v>
      </c>
      <c r="K606" t="s">
        <v>1422</v>
      </c>
    </row>
    <row r="607" spans="1:11" x14ac:dyDescent="0.25">
      <c r="A607" t="s">
        <v>2033</v>
      </c>
      <c r="B607" s="2">
        <v>45510</v>
      </c>
      <c r="C607" t="s">
        <v>392</v>
      </c>
      <c r="D607" t="s">
        <v>1011</v>
      </c>
      <c r="E607">
        <v>9</v>
      </c>
      <c r="F607">
        <v>12</v>
      </c>
      <c r="G607">
        <v>4.04</v>
      </c>
      <c r="H607" t="s">
        <v>1120</v>
      </c>
      <c r="I607" t="s">
        <v>1319</v>
      </c>
      <c r="J607" t="s">
        <v>1414</v>
      </c>
      <c r="K607" t="s">
        <v>1425</v>
      </c>
    </row>
    <row r="608" spans="1:11" x14ac:dyDescent="0.25">
      <c r="A608" t="s">
        <v>2034</v>
      </c>
      <c r="B608" s="2">
        <v>45510</v>
      </c>
      <c r="C608" t="s">
        <v>605</v>
      </c>
      <c r="D608" t="s">
        <v>1011</v>
      </c>
      <c r="E608">
        <v>3</v>
      </c>
      <c r="G608">
        <v>2.83</v>
      </c>
      <c r="H608" t="s">
        <v>1186</v>
      </c>
      <c r="I608" t="s">
        <v>1385</v>
      </c>
      <c r="J608" t="s">
        <v>1417</v>
      </c>
      <c r="K608" t="s">
        <v>1420</v>
      </c>
    </row>
    <row r="609" spans="1:11" x14ac:dyDescent="0.25">
      <c r="A609" t="s">
        <v>2035</v>
      </c>
      <c r="B609" s="2">
        <v>45510</v>
      </c>
      <c r="C609" t="s">
        <v>718</v>
      </c>
      <c r="D609" t="s">
        <v>1013</v>
      </c>
      <c r="E609">
        <v>9</v>
      </c>
      <c r="F609">
        <v>25</v>
      </c>
      <c r="G609">
        <v>9.89</v>
      </c>
      <c r="H609" t="s">
        <v>1070</v>
      </c>
      <c r="I609" t="s">
        <v>1269</v>
      </c>
      <c r="J609" t="s">
        <v>1414</v>
      </c>
      <c r="K609" t="s">
        <v>1426</v>
      </c>
    </row>
    <row r="610" spans="1:11" x14ac:dyDescent="0.25">
      <c r="A610" t="s">
        <v>2036</v>
      </c>
      <c r="B610" s="2">
        <v>45510</v>
      </c>
      <c r="C610" t="s">
        <v>957</v>
      </c>
      <c r="D610" t="s">
        <v>1015</v>
      </c>
      <c r="E610">
        <v>6</v>
      </c>
      <c r="F610">
        <v>10</v>
      </c>
      <c r="G610">
        <v>3.93</v>
      </c>
      <c r="H610" t="s">
        <v>1198</v>
      </c>
      <c r="I610" t="s">
        <v>1397</v>
      </c>
      <c r="J610" t="s">
        <v>1416</v>
      </c>
      <c r="K610" t="s">
        <v>1422</v>
      </c>
    </row>
    <row r="611" spans="1:11" x14ac:dyDescent="0.25">
      <c r="A611" t="s">
        <v>2037</v>
      </c>
      <c r="B611" s="2">
        <v>45511</v>
      </c>
      <c r="C611" t="s">
        <v>763</v>
      </c>
      <c r="D611" t="s">
        <v>1015</v>
      </c>
      <c r="E611">
        <v>5</v>
      </c>
      <c r="F611">
        <v>10</v>
      </c>
      <c r="G611">
        <v>3.41</v>
      </c>
      <c r="H611" t="s">
        <v>1198</v>
      </c>
      <c r="I611" t="s">
        <v>1397</v>
      </c>
      <c r="J611" t="s">
        <v>1416</v>
      </c>
      <c r="K611" t="s">
        <v>1424</v>
      </c>
    </row>
    <row r="612" spans="1:11" x14ac:dyDescent="0.25">
      <c r="A612" t="s">
        <v>2038</v>
      </c>
      <c r="B612" s="2">
        <v>45512</v>
      </c>
      <c r="C612" t="s">
        <v>126</v>
      </c>
      <c r="D612" t="s">
        <v>1014</v>
      </c>
      <c r="E612">
        <v>10</v>
      </c>
      <c r="F612">
        <v>15</v>
      </c>
      <c r="G612">
        <v>5.3</v>
      </c>
      <c r="H612" t="s">
        <v>1104</v>
      </c>
      <c r="I612" t="s">
        <v>1303</v>
      </c>
      <c r="J612" t="s">
        <v>1414</v>
      </c>
      <c r="K612" t="s">
        <v>1427</v>
      </c>
    </row>
    <row r="613" spans="1:11" x14ac:dyDescent="0.25">
      <c r="A613" t="s">
        <v>2039</v>
      </c>
      <c r="B613" s="2">
        <v>45512</v>
      </c>
      <c r="C613" t="s">
        <v>603</v>
      </c>
      <c r="D613" t="s">
        <v>1011</v>
      </c>
      <c r="E613">
        <v>10</v>
      </c>
      <c r="F613">
        <v>12</v>
      </c>
      <c r="G613">
        <v>3.43</v>
      </c>
      <c r="H613" t="s">
        <v>1190</v>
      </c>
      <c r="I613" t="s">
        <v>1389</v>
      </c>
      <c r="J613" t="s">
        <v>1414</v>
      </c>
      <c r="K613" t="s">
        <v>1421</v>
      </c>
    </row>
    <row r="614" spans="1:11" x14ac:dyDescent="0.25">
      <c r="A614" t="s">
        <v>2040</v>
      </c>
      <c r="B614" s="2">
        <v>45512</v>
      </c>
      <c r="C614" t="s">
        <v>724</v>
      </c>
      <c r="D614" t="s">
        <v>1011</v>
      </c>
      <c r="E614">
        <v>4</v>
      </c>
      <c r="F614">
        <v>12</v>
      </c>
      <c r="G614">
        <v>4.12</v>
      </c>
      <c r="H614" t="s">
        <v>1183</v>
      </c>
      <c r="I614" t="s">
        <v>1382</v>
      </c>
      <c r="J614" t="s">
        <v>1417</v>
      </c>
      <c r="K614" t="s">
        <v>1426</v>
      </c>
    </row>
    <row r="615" spans="1:11" x14ac:dyDescent="0.25">
      <c r="A615" t="s">
        <v>2041</v>
      </c>
      <c r="B615" s="2">
        <v>45512</v>
      </c>
      <c r="C615" t="s">
        <v>859</v>
      </c>
      <c r="D615" t="s">
        <v>1014</v>
      </c>
      <c r="E615">
        <v>8</v>
      </c>
      <c r="F615">
        <v>15</v>
      </c>
      <c r="G615">
        <v>4.28</v>
      </c>
      <c r="H615" t="s">
        <v>1119</v>
      </c>
      <c r="I615" t="s">
        <v>1318</v>
      </c>
      <c r="J615" t="s">
        <v>1414</v>
      </c>
      <c r="K615" t="s">
        <v>1425</v>
      </c>
    </row>
    <row r="616" spans="1:11" x14ac:dyDescent="0.25">
      <c r="A616" t="s">
        <v>2042</v>
      </c>
      <c r="B616" s="2">
        <v>45513</v>
      </c>
      <c r="C616" t="s">
        <v>246</v>
      </c>
      <c r="D616" t="s">
        <v>1012</v>
      </c>
      <c r="E616">
        <v>1</v>
      </c>
      <c r="F616">
        <v>40</v>
      </c>
      <c r="G616">
        <v>14.6</v>
      </c>
      <c r="H616" t="s">
        <v>1155</v>
      </c>
      <c r="I616" t="s">
        <v>1354</v>
      </c>
      <c r="J616" t="s">
        <v>1415</v>
      </c>
      <c r="K616" t="s">
        <v>1425</v>
      </c>
    </row>
    <row r="617" spans="1:11" x14ac:dyDescent="0.25">
      <c r="A617" t="s">
        <v>2043</v>
      </c>
      <c r="B617" s="2">
        <v>45513</v>
      </c>
      <c r="C617" t="s">
        <v>770</v>
      </c>
      <c r="D617" t="s">
        <v>1011</v>
      </c>
      <c r="E617">
        <v>1</v>
      </c>
      <c r="F617">
        <v>12</v>
      </c>
      <c r="G617">
        <v>3.32</v>
      </c>
      <c r="H617" t="s">
        <v>1175</v>
      </c>
      <c r="I617" t="s">
        <v>1374</v>
      </c>
      <c r="J617" t="s">
        <v>1416</v>
      </c>
      <c r="K617" t="s">
        <v>1420</v>
      </c>
    </row>
    <row r="618" spans="1:11" x14ac:dyDescent="0.25">
      <c r="A618" t="s">
        <v>2044</v>
      </c>
      <c r="B618" s="2">
        <v>45513</v>
      </c>
      <c r="C618" t="s">
        <v>925</v>
      </c>
      <c r="D618" t="s">
        <v>1011</v>
      </c>
      <c r="E618">
        <v>8</v>
      </c>
      <c r="F618">
        <v>12</v>
      </c>
      <c r="G618">
        <v>2.92</v>
      </c>
      <c r="H618" t="s">
        <v>1197</v>
      </c>
      <c r="I618" t="s">
        <v>1396</v>
      </c>
      <c r="J618" t="s">
        <v>1416</v>
      </c>
      <c r="K618" t="s">
        <v>1418</v>
      </c>
    </row>
    <row r="619" spans="1:11" x14ac:dyDescent="0.25">
      <c r="A619" t="s">
        <v>2045</v>
      </c>
      <c r="B619" s="2">
        <v>45514</v>
      </c>
      <c r="C619" t="s">
        <v>620</v>
      </c>
      <c r="D619" t="s">
        <v>1015</v>
      </c>
      <c r="E619">
        <v>6</v>
      </c>
      <c r="F619">
        <v>10</v>
      </c>
      <c r="G619">
        <v>2.2000000000000002</v>
      </c>
      <c r="H619" t="s">
        <v>1068</v>
      </c>
      <c r="I619" t="s">
        <v>1267</v>
      </c>
      <c r="J619" t="s">
        <v>1414</v>
      </c>
      <c r="K619" t="s">
        <v>1423</v>
      </c>
    </row>
    <row r="620" spans="1:11" x14ac:dyDescent="0.25">
      <c r="A620" t="s">
        <v>2046</v>
      </c>
      <c r="B620" s="2">
        <v>45515</v>
      </c>
      <c r="C620" t="s">
        <v>62</v>
      </c>
      <c r="D620" t="s">
        <v>1012</v>
      </c>
      <c r="E620">
        <v>5</v>
      </c>
      <c r="F620">
        <v>40</v>
      </c>
      <c r="G620">
        <v>11.64</v>
      </c>
      <c r="H620" t="s">
        <v>1059</v>
      </c>
      <c r="I620" t="s">
        <v>1258</v>
      </c>
      <c r="J620" t="s">
        <v>1416</v>
      </c>
      <c r="K620" t="s">
        <v>1420</v>
      </c>
    </row>
    <row r="621" spans="1:11" x14ac:dyDescent="0.25">
      <c r="A621" t="s">
        <v>2047</v>
      </c>
      <c r="B621" s="2">
        <v>45515</v>
      </c>
      <c r="C621" t="s">
        <v>558</v>
      </c>
      <c r="D621" t="s">
        <v>1015</v>
      </c>
      <c r="E621">
        <v>3</v>
      </c>
      <c r="F621">
        <v>10</v>
      </c>
      <c r="G621">
        <v>2.54</v>
      </c>
      <c r="H621" t="s">
        <v>1016</v>
      </c>
      <c r="I621" t="s">
        <v>1215</v>
      </c>
      <c r="J621" t="s">
        <v>1414</v>
      </c>
      <c r="K621" t="s">
        <v>1419</v>
      </c>
    </row>
    <row r="622" spans="1:11" x14ac:dyDescent="0.25">
      <c r="A622" t="s">
        <v>2048</v>
      </c>
      <c r="B622" s="2">
        <v>45516</v>
      </c>
      <c r="C622" t="s">
        <v>312</v>
      </c>
      <c r="D622" t="s">
        <v>1013</v>
      </c>
      <c r="E622">
        <v>5</v>
      </c>
      <c r="F622">
        <v>25</v>
      </c>
      <c r="G622">
        <v>9.66</v>
      </c>
      <c r="H622" t="s">
        <v>1064</v>
      </c>
      <c r="I622" t="s">
        <v>1263</v>
      </c>
      <c r="J622" t="s">
        <v>1416</v>
      </c>
      <c r="K622" t="s">
        <v>1422</v>
      </c>
    </row>
    <row r="623" spans="1:11" x14ac:dyDescent="0.25">
      <c r="A623" t="s">
        <v>2049</v>
      </c>
      <c r="B623" s="2">
        <v>45516</v>
      </c>
      <c r="C623" t="s">
        <v>454</v>
      </c>
      <c r="D623" t="s">
        <v>1014</v>
      </c>
      <c r="E623">
        <v>1</v>
      </c>
      <c r="F623">
        <v>15</v>
      </c>
      <c r="G623">
        <v>4.66</v>
      </c>
      <c r="H623" t="s">
        <v>1133</v>
      </c>
      <c r="I623" t="s">
        <v>1332</v>
      </c>
      <c r="J623" t="s">
        <v>1414</v>
      </c>
      <c r="K623" t="s">
        <v>1426</v>
      </c>
    </row>
    <row r="624" spans="1:11" x14ac:dyDescent="0.25">
      <c r="A624" t="s">
        <v>2050</v>
      </c>
      <c r="B624" s="2">
        <v>45517</v>
      </c>
      <c r="C624" t="s">
        <v>349</v>
      </c>
      <c r="D624" t="s">
        <v>1011</v>
      </c>
      <c r="E624">
        <v>10</v>
      </c>
      <c r="F624">
        <v>12</v>
      </c>
      <c r="G624">
        <v>3.4</v>
      </c>
      <c r="H624" t="s">
        <v>1094</v>
      </c>
      <c r="I624" t="s">
        <v>1293</v>
      </c>
      <c r="J624" t="s">
        <v>1414</v>
      </c>
      <c r="K624" t="s">
        <v>1425</v>
      </c>
    </row>
    <row r="625" spans="1:11" x14ac:dyDescent="0.25">
      <c r="A625" t="s">
        <v>2051</v>
      </c>
      <c r="B625" s="2">
        <v>45517</v>
      </c>
      <c r="C625" t="s">
        <v>667</v>
      </c>
      <c r="D625" t="s">
        <v>1012</v>
      </c>
      <c r="E625">
        <v>9</v>
      </c>
      <c r="F625">
        <v>40</v>
      </c>
      <c r="G625">
        <v>10.210000000000001</v>
      </c>
      <c r="H625" t="s">
        <v>1046</v>
      </c>
      <c r="I625" t="s">
        <v>1245</v>
      </c>
      <c r="J625" t="s">
        <v>1414</v>
      </c>
      <c r="K625" t="s">
        <v>1419</v>
      </c>
    </row>
    <row r="626" spans="1:11" x14ac:dyDescent="0.25">
      <c r="A626" t="s">
        <v>2052</v>
      </c>
      <c r="B626" s="2">
        <v>45517</v>
      </c>
      <c r="C626" t="s">
        <v>746</v>
      </c>
      <c r="D626" t="s">
        <v>1013</v>
      </c>
      <c r="E626">
        <v>3</v>
      </c>
      <c r="F626">
        <v>25</v>
      </c>
      <c r="G626">
        <v>8.93</v>
      </c>
      <c r="H626" t="s">
        <v>1196</v>
      </c>
      <c r="I626" t="s">
        <v>1395</v>
      </c>
      <c r="J626" t="s">
        <v>1416</v>
      </c>
      <c r="K626" t="s">
        <v>1425</v>
      </c>
    </row>
    <row r="627" spans="1:11" x14ac:dyDescent="0.25">
      <c r="A627" t="s">
        <v>2053</v>
      </c>
      <c r="B627" s="2">
        <v>45517</v>
      </c>
      <c r="C627" t="s">
        <v>755</v>
      </c>
      <c r="D627" t="s">
        <v>1011</v>
      </c>
      <c r="E627">
        <v>3</v>
      </c>
      <c r="F627">
        <v>12</v>
      </c>
      <c r="G627">
        <v>2.89</v>
      </c>
      <c r="H627" t="s">
        <v>1213</v>
      </c>
      <c r="I627" t="s">
        <v>1412</v>
      </c>
      <c r="J627" t="s">
        <v>1415</v>
      </c>
      <c r="K627" t="s">
        <v>1423</v>
      </c>
    </row>
    <row r="628" spans="1:11" x14ac:dyDescent="0.25">
      <c r="A628" t="s">
        <v>2054</v>
      </c>
      <c r="B628" s="2">
        <v>45517</v>
      </c>
      <c r="C628" t="s">
        <v>971</v>
      </c>
      <c r="D628" t="s">
        <v>1011</v>
      </c>
      <c r="E628">
        <v>9</v>
      </c>
      <c r="F628">
        <v>12</v>
      </c>
      <c r="G628">
        <v>3.61</v>
      </c>
      <c r="H628" t="s">
        <v>1175</v>
      </c>
      <c r="I628" t="s">
        <v>1374</v>
      </c>
      <c r="J628" t="s">
        <v>1414</v>
      </c>
      <c r="K628" t="s">
        <v>1425</v>
      </c>
    </row>
    <row r="629" spans="1:11" x14ac:dyDescent="0.25">
      <c r="A629" t="s">
        <v>2055</v>
      </c>
      <c r="B629" s="2">
        <v>45518</v>
      </c>
      <c r="C629" t="s">
        <v>590</v>
      </c>
      <c r="D629" t="s">
        <v>1012</v>
      </c>
      <c r="E629">
        <v>3</v>
      </c>
      <c r="F629">
        <v>40</v>
      </c>
      <c r="G629">
        <v>10.51</v>
      </c>
      <c r="H629" t="s">
        <v>1130</v>
      </c>
      <c r="I629" t="s">
        <v>1329</v>
      </c>
      <c r="J629" t="s">
        <v>1414</v>
      </c>
      <c r="K629" t="s">
        <v>1425</v>
      </c>
    </row>
    <row r="630" spans="1:11" x14ac:dyDescent="0.25">
      <c r="A630" t="s">
        <v>2056</v>
      </c>
      <c r="B630" s="2">
        <v>45518</v>
      </c>
      <c r="C630" t="s">
        <v>830</v>
      </c>
      <c r="D630" t="s">
        <v>1015</v>
      </c>
      <c r="E630">
        <v>4</v>
      </c>
      <c r="F630">
        <v>10</v>
      </c>
      <c r="G630">
        <v>3.97</v>
      </c>
      <c r="H630" t="s">
        <v>1152</v>
      </c>
      <c r="I630" t="s">
        <v>1351</v>
      </c>
      <c r="J630" t="s">
        <v>1414</v>
      </c>
      <c r="K630" t="s">
        <v>1424</v>
      </c>
    </row>
    <row r="631" spans="1:11" x14ac:dyDescent="0.25">
      <c r="A631" t="s">
        <v>2057</v>
      </c>
      <c r="B631" s="2">
        <v>45519</v>
      </c>
      <c r="C631" t="s">
        <v>253</v>
      </c>
      <c r="D631" t="s">
        <v>1014</v>
      </c>
      <c r="E631">
        <v>3</v>
      </c>
      <c r="F631">
        <v>15</v>
      </c>
      <c r="G631">
        <v>4.7699999999999996</v>
      </c>
      <c r="H631" t="s">
        <v>1159</v>
      </c>
      <c r="I631" t="s">
        <v>1358</v>
      </c>
      <c r="J631" t="s">
        <v>1414</v>
      </c>
      <c r="K631" t="s">
        <v>1420</v>
      </c>
    </row>
    <row r="632" spans="1:11" x14ac:dyDescent="0.25">
      <c r="A632" t="s">
        <v>2058</v>
      </c>
      <c r="B632" s="2">
        <v>45519</v>
      </c>
      <c r="C632" t="s">
        <v>802</v>
      </c>
      <c r="D632" t="s">
        <v>1014</v>
      </c>
      <c r="E632">
        <v>4</v>
      </c>
      <c r="F632">
        <v>15</v>
      </c>
      <c r="G632">
        <v>4.16</v>
      </c>
      <c r="H632" t="s">
        <v>1091</v>
      </c>
      <c r="I632" t="s">
        <v>1290</v>
      </c>
      <c r="J632" t="s">
        <v>1416</v>
      </c>
      <c r="K632" t="s">
        <v>1421</v>
      </c>
    </row>
    <row r="633" spans="1:11" x14ac:dyDescent="0.25">
      <c r="A633" t="s">
        <v>2059</v>
      </c>
      <c r="B633" s="2">
        <v>45520</v>
      </c>
      <c r="C633" t="s">
        <v>16</v>
      </c>
      <c r="D633" t="s">
        <v>1014</v>
      </c>
      <c r="E633">
        <v>6</v>
      </c>
      <c r="F633">
        <v>15</v>
      </c>
      <c r="G633">
        <v>3.31</v>
      </c>
      <c r="H633" t="s">
        <v>1021</v>
      </c>
      <c r="I633" t="s">
        <v>1220</v>
      </c>
      <c r="J633" t="s">
        <v>1416</v>
      </c>
      <c r="K633" t="s">
        <v>1422</v>
      </c>
    </row>
    <row r="634" spans="1:11" x14ac:dyDescent="0.25">
      <c r="A634" t="s">
        <v>2060</v>
      </c>
      <c r="B634" s="2">
        <v>45521</v>
      </c>
      <c r="C634" t="s">
        <v>437</v>
      </c>
      <c r="D634" t="s">
        <v>1014</v>
      </c>
      <c r="E634">
        <v>9</v>
      </c>
      <c r="F634">
        <v>15</v>
      </c>
      <c r="G634">
        <v>3.56</v>
      </c>
      <c r="H634" t="s">
        <v>1102</v>
      </c>
      <c r="I634" t="s">
        <v>1301</v>
      </c>
      <c r="J634" t="s">
        <v>1414</v>
      </c>
      <c r="K634" t="s">
        <v>1423</v>
      </c>
    </row>
    <row r="635" spans="1:11" x14ac:dyDescent="0.25">
      <c r="A635" t="s">
        <v>2061</v>
      </c>
      <c r="B635" s="2">
        <v>45521</v>
      </c>
      <c r="C635" t="s">
        <v>446</v>
      </c>
      <c r="D635" t="s">
        <v>1015</v>
      </c>
      <c r="E635">
        <v>7</v>
      </c>
      <c r="F635">
        <v>10</v>
      </c>
      <c r="G635">
        <v>2.65</v>
      </c>
      <c r="H635" t="s">
        <v>1065</v>
      </c>
      <c r="I635" t="s">
        <v>1264</v>
      </c>
      <c r="J635" t="s">
        <v>1414</v>
      </c>
      <c r="K635" t="s">
        <v>1422</v>
      </c>
    </row>
    <row r="636" spans="1:11" x14ac:dyDescent="0.25">
      <c r="A636" t="s">
        <v>2062</v>
      </c>
      <c r="B636" s="2">
        <v>45521</v>
      </c>
      <c r="C636" t="s">
        <v>495</v>
      </c>
      <c r="D636" t="s">
        <v>1013</v>
      </c>
      <c r="E636">
        <v>1</v>
      </c>
      <c r="F636">
        <v>25</v>
      </c>
      <c r="G636">
        <v>7.24</v>
      </c>
      <c r="H636" t="s">
        <v>1149</v>
      </c>
      <c r="I636" t="s">
        <v>1348</v>
      </c>
      <c r="J636" t="s">
        <v>1414</v>
      </c>
      <c r="K636" t="s">
        <v>1421</v>
      </c>
    </row>
    <row r="637" spans="1:11" x14ac:dyDescent="0.25">
      <c r="A637" t="s">
        <v>2063</v>
      </c>
      <c r="B637" s="2">
        <v>45521</v>
      </c>
      <c r="C637" t="s">
        <v>836</v>
      </c>
      <c r="D637" t="s">
        <v>1013</v>
      </c>
      <c r="E637">
        <v>10</v>
      </c>
      <c r="F637">
        <v>25</v>
      </c>
      <c r="G637">
        <v>7.06</v>
      </c>
      <c r="H637" t="s">
        <v>1132</v>
      </c>
      <c r="I637" t="s">
        <v>1331</v>
      </c>
      <c r="J637" t="s">
        <v>1416</v>
      </c>
      <c r="K637" t="s">
        <v>1426</v>
      </c>
    </row>
    <row r="638" spans="1:11" x14ac:dyDescent="0.25">
      <c r="A638" t="s">
        <v>2064</v>
      </c>
      <c r="B638" s="2">
        <v>45522</v>
      </c>
      <c r="C638" t="s">
        <v>288</v>
      </c>
      <c r="D638" t="s">
        <v>1013</v>
      </c>
      <c r="E638">
        <v>8</v>
      </c>
      <c r="F638">
        <v>25</v>
      </c>
      <c r="G638">
        <v>7.93</v>
      </c>
      <c r="H638" t="s">
        <v>1054</v>
      </c>
      <c r="I638" t="s">
        <v>1253</v>
      </c>
      <c r="J638" t="s">
        <v>1414</v>
      </c>
      <c r="K638" t="s">
        <v>1420</v>
      </c>
    </row>
    <row r="639" spans="1:11" x14ac:dyDescent="0.25">
      <c r="A639" t="s">
        <v>2065</v>
      </c>
      <c r="B639" s="2">
        <v>45522</v>
      </c>
      <c r="C639" t="s">
        <v>389</v>
      </c>
      <c r="D639" t="s">
        <v>1011</v>
      </c>
      <c r="E639">
        <v>5</v>
      </c>
      <c r="F639">
        <v>12</v>
      </c>
      <c r="G639">
        <v>3.24</v>
      </c>
      <c r="H639" t="s">
        <v>1184</v>
      </c>
      <c r="I639" t="s">
        <v>1383</v>
      </c>
      <c r="J639" t="s">
        <v>1414</v>
      </c>
      <c r="K639" t="s">
        <v>1422</v>
      </c>
    </row>
    <row r="640" spans="1:11" x14ac:dyDescent="0.25">
      <c r="A640" t="s">
        <v>2066</v>
      </c>
      <c r="B640" s="2">
        <v>45522</v>
      </c>
      <c r="C640" t="s">
        <v>447</v>
      </c>
      <c r="D640" t="s">
        <v>1011</v>
      </c>
      <c r="E640">
        <v>3</v>
      </c>
      <c r="F640">
        <v>12</v>
      </c>
      <c r="G640">
        <v>2.42</v>
      </c>
      <c r="H640" t="s">
        <v>1194</v>
      </c>
      <c r="I640" t="s">
        <v>1393</v>
      </c>
      <c r="J640" t="s">
        <v>1415</v>
      </c>
      <c r="K640" t="s">
        <v>1425</v>
      </c>
    </row>
    <row r="641" spans="1:11" x14ac:dyDescent="0.25">
      <c r="A641" t="s">
        <v>2067</v>
      </c>
      <c r="B641" s="2">
        <v>45522</v>
      </c>
      <c r="C641" t="s">
        <v>788</v>
      </c>
      <c r="D641" t="s">
        <v>1012</v>
      </c>
      <c r="E641">
        <v>4</v>
      </c>
      <c r="F641">
        <v>40</v>
      </c>
      <c r="G641">
        <v>11.94</v>
      </c>
      <c r="H641" t="s">
        <v>1078</v>
      </c>
      <c r="I641" t="s">
        <v>1277</v>
      </c>
      <c r="J641" t="s">
        <v>1417</v>
      </c>
      <c r="K641" t="s">
        <v>1426</v>
      </c>
    </row>
    <row r="642" spans="1:11" x14ac:dyDescent="0.25">
      <c r="A642" t="s">
        <v>2068</v>
      </c>
      <c r="B642" s="2">
        <v>45522</v>
      </c>
      <c r="C642" t="s">
        <v>897</v>
      </c>
      <c r="D642" t="s">
        <v>1012</v>
      </c>
      <c r="E642">
        <v>5</v>
      </c>
      <c r="F642">
        <v>40</v>
      </c>
      <c r="G642">
        <v>10.23</v>
      </c>
      <c r="H642" t="s">
        <v>1205</v>
      </c>
      <c r="I642" t="s">
        <v>1404</v>
      </c>
      <c r="J642" t="s">
        <v>1417</v>
      </c>
      <c r="K642" t="s">
        <v>1425</v>
      </c>
    </row>
    <row r="643" spans="1:11" x14ac:dyDescent="0.25">
      <c r="A643" t="s">
        <v>2069</v>
      </c>
      <c r="B643" s="2">
        <v>45523</v>
      </c>
      <c r="C643" t="s">
        <v>441</v>
      </c>
      <c r="D643" t="s">
        <v>1011</v>
      </c>
      <c r="E643">
        <v>7</v>
      </c>
      <c r="F643">
        <v>12</v>
      </c>
      <c r="G643">
        <v>4.46</v>
      </c>
      <c r="H643" t="s">
        <v>1171</v>
      </c>
      <c r="I643" t="s">
        <v>1370</v>
      </c>
      <c r="J643" t="s">
        <v>1414</v>
      </c>
      <c r="K643" t="s">
        <v>1418</v>
      </c>
    </row>
    <row r="644" spans="1:11" x14ac:dyDescent="0.25">
      <c r="A644" t="s">
        <v>2070</v>
      </c>
      <c r="B644" s="2">
        <v>45523</v>
      </c>
      <c r="C644" t="s">
        <v>539</v>
      </c>
      <c r="D644" t="s">
        <v>1011</v>
      </c>
      <c r="E644">
        <v>6</v>
      </c>
      <c r="F644">
        <v>12</v>
      </c>
      <c r="G644">
        <v>4.7300000000000004</v>
      </c>
      <c r="H644" t="s">
        <v>1207</v>
      </c>
      <c r="I644" t="s">
        <v>1406</v>
      </c>
      <c r="J644" t="s">
        <v>1416</v>
      </c>
      <c r="K644" t="s">
        <v>1421</v>
      </c>
    </row>
    <row r="645" spans="1:11" x14ac:dyDescent="0.25">
      <c r="A645" t="s">
        <v>2071</v>
      </c>
      <c r="B645" s="2">
        <v>45523</v>
      </c>
      <c r="C645" t="s">
        <v>609</v>
      </c>
      <c r="D645" t="s">
        <v>1014</v>
      </c>
      <c r="E645">
        <v>6</v>
      </c>
      <c r="F645">
        <v>15</v>
      </c>
      <c r="G645">
        <v>3.74</v>
      </c>
      <c r="H645" t="s">
        <v>1087</v>
      </c>
      <c r="I645" t="s">
        <v>1286</v>
      </c>
      <c r="J645" t="s">
        <v>1415</v>
      </c>
      <c r="K645" t="s">
        <v>1424</v>
      </c>
    </row>
    <row r="646" spans="1:11" x14ac:dyDescent="0.25">
      <c r="A646" t="s">
        <v>2072</v>
      </c>
      <c r="B646" s="2">
        <v>45523</v>
      </c>
      <c r="C646" t="s">
        <v>758</v>
      </c>
      <c r="D646" t="s">
        <v>1013</v>
      </c>
      <c r="E646">
        <v>10</v>
      </c>
      <c r="F646">
        <v>25</v>
      </c>
      <c r="G646">
        <v>6.58</v>
      </c>
      <c r="H646" t="s">
        <v>1208</v>
      </c>
      <c r="I646" t="s">
        <v>1407</v>
      </c>
      <c r="J646" t="s">
        <v>1416</v>
      </c>
      <c r="K646" t="s">
        <v>1423</v>
      </c>
    </row>
    <row r="647" spans="1:11" x14ac:dyDescent="0.25">
      <c r="A647" t="s">
        <v>2073</v>
      </c>
      <c r="B647" s="2">
        <v>45524</v>
      </c>
      <c r="C647" t="s">
        <v>81</v>
      </c>
      <c r="D647" t="s">
        <v>1014</v>
      </c>
      <c r="E647">
        <v>2</v>
      </c>
      <c r="F647">
        <v>15</v>
      </c>
      <c r="G647">
        <v>5.88</v>
      </c>
      <c r="H647" t="s">
        <v>1073</v>
      </c>
      <c r="I647" t="s">
        <v>1272</v>
      </c>
      <c r="J647" t="s">
        <v>1414</v>
      </c>
      <c r="K647" t="s">
        <v>1425</v>
      </c>
    </row>
    <row r="648" spans="1:11" x14ac:dyDescent="0.25">
      <c r="A648" t="s">
        <v>2074</v>
      </c>
      <c r="B648" s="2">
        <v>45524</v>
      </c>
      <c r="C648" t="s">
        <v>212</v>
      </c>
      <c r="D648" t="s">
        <v>1012</v>
      </c>
      <c r="E648">
        <v>2</v>
      </c>
      <c r="F648">
        <v>40</v>
      </c>
      <c r="G648">
        <v>14.55</v>
      </c>
      <c r="H648" t="s">
        <v>1093</v>
      </c>
      <c r="I648" t="s">
        <v>1292</v>
      </c>
      <c r="J648" t="s">
        <v>1416</v>
      </c>
      <c r="K648" t="s">
        <v>1424</v>
      </c>
    </row>
    <row r="649" spans="1:11" x14ac:dyDescent="0.25">
      <c r="A649" t="s">
        <v>2075</v>
      </c>
      <c r="B649" s="2">
        <v>45524</v>
      </c>
      <c r="C649" t="s">
        <v>361</v>
      </c>
      <c r="D649" t="s">
        <v>1015</v>
      </c>
      <c r="E649">
        <v>3</v>
      </c>
      <c r="F649">
        <v>10</v>
      </c>
      <c r="G649">
        <v>2.33</v>
      </c>
      <c r="H649" t="s">
        <v>1069</v>
      </c>
      <c r="I649" t="s">
        <v>1268</v>
      </c>
      <c r="J649" t="s">
        <v>1416</v>
      </c>
      <c r="K649" t="s">
        <v>1421</v>
      </c>
    </row>
    <row r="650" spans="1:11" x14ac:dyDescent="0.25">
      <c r="A650" t="s">
        <v>2076</v>
      </c>
      <c r="B650" s="2">
        <v>45524</v>
      </c>
      <c r="C650" t="s">
        <v>673</v>
      </c>
      <c r="D650" t="s">
        <v>1014</v>
      </c>
      <c r="E650">
        <v>1</v>
      </c>
      <c r="F650">
        <v>15</v>
      </c>
      <c r="G650">
        <v>4.93</v>
      </c>
      <c r="H650" t="s">
        <v>1193</v>
      </c>
      <c r="I650" t="s">
        <v>1392</v>
      </c>
      <c r="J650" t="s">
        <v>1414</v>
      </c>
      <c r="K650" t="s">
        <v>1420</v>
      </c>
    </row>
    <row r="651" spans="1:11" x14ac:dyDescent="0.25">
      <c r="A651" t="s">
        <v>2077</v>
      </c>
      <c r="B651" s="2">
        <v>45524</v>
      </c>
      <c r="C651" t="s">
        <v>845</v>
      </c>
      <c r="D651" t="s">
        <v>1015</v>
      </c>
      <c r="E651">
        <v>2</v>
      </c>
      <c r="F651">
        <v>10</v>
      </c>
      <c r="G651">
        <v>3.11</v>
      </c>
      <c r="H651" t="s">
        <v>1174</v>
      </c>
      <c r="I651" t="s">
        <v>1373</v>
      </c>
      <c r="J651" t="s">
        <v>1414</v>
      </c>
      <c r="K651" t="s">
        <v>1422</v>
      </c>
    </row>
    <row r="652" spans="1:11" x14ac:dyDescent="0.25">
      <c r="A652" t="s">
        <v>2078</v>
      </c>
      <c r="B652" s="2">
        <v>45524</v>
      </c>
      <c r="C652" t="s">
        <v>856</v>
      </c>
      <c r="D652" t="s">
        <v>1014</v>
      </c>
      <c r="E652">
        <v>1</v>
      </c>
      <c r="F652">
        <v>15</v>
      </c>
      <c r="G652">
        <v>4.5599999999999996</v>
      </c>
      <c r="H652" t="s">
        <v>1062</v>
      </c>
      <c r="I652" t="s">
        <v>1261</v>
      </c>
      <c r="J652" t="s">
        <v>1414</v>
      </c>
      <c r="K652" t="s">
        <v>1426</v>
      </c>
    </row>
    <row r="653" spans="1:11" x14ac:dyDescent="0.25">
      <c r="A653" t="s">
        <v>2079</v>
      </c>
      <c r="B653" s="2">
        <v>45524</v>
      </c>
      <c r="C653" t="s">
        <v>878</v>
      </c>
      <c r="D653" t="s">
        <v>1014</v>
      </c>
      <c r="E653">
        <v>1</v>
      </c>
      <c r="F653">
        <v>15</v>
      </c>
      <c r="G653">
        <v>4.25</v>
      </c>
      <c r="H653" t="s">
        <v>1142</v>
      </c>
      <c r="I653" t="s">
        <v>1341</v>
      </c>
      <c r="J653" t="s">
        <v>1414</v>
      </c>
      <c r="K653" t="s">
        <v>1422</v>
      </c>
    </row>
    <row r="654" spans="1:11" x14ac:dyDescent="0.25">
      <c r="A654" t="s">
        <v>2080</v>
      </c>
      <c r="B654" s="2">
        <v>45524</v>
      </c>
      <c r="C654" t="s">
        <v>946</v>
      </c>
      <c r="D654" t="s">
        <v>1012</v>
      </c>
      <c r="E654">
        <v>3</v>
      </c>
      <c r="F654">
        <v>40</v>
      </c>
      <c r="G654">
        <v>15.7</v>
      </c>
      <c r="H654" t="s">
        <v>1136</v>
      </c>
      <c r="I654" t="s">
        <v>1335</v>
      </c>
      <c r="J654" t="s">
        <v>1416</v>
      </c>
      <c r="K654" t="s">
        <v>1426</v>
      </c>
    </row>
    <row r="655" spans="1:11" x14ac:dyDescent="0.25">
      <c r="A655" t="s">
        <v>2081</v>
      </c>
      <c r="B655" s="2">
        <v>45525</v>
      </c>
      <c r="C655" t="s">
        <v>981</v>
      </c>
      <c r="D655" t="s">
        <v>1011</v>
      </c>
      <c r="E655">
        <v>1</v>
      </c>
      <c r="F655">
        <v>12</v>
      </c>
      <c r="G655">
        <v>3.08</v>
      </c>
      <c r="H655" t="s">
        <v>1128</v>
      </c>
      <c r="I655" t="s">
        <v>1327</v>
      </c>
      <c r="J655" t="s">
        <v>1414</v>
      </c>
      <c r="K655" t="s">
        <v>1419</v>
      </c>
    </row>
    <row r="656" spans="1:11" x14ac:dyDescent="0.25">
      <c r="A656" t="s">
        <v>2082</v>
      </c>
      <c r="B656" s="2">
        <v>45526</v>
      </c>
      <c r="C656" t="s">
        <v>229</v>
      </c>
      <c r="D656" t="s">
        <v>1012</v>
      </c>
      <c r="E656">
        <v>8</v>
      </c>
      <c r="F656">
        <v>40</v>
      </c>
      <c r="G656">
        <v>14.45</v>
      </c>
      <c r="H656" t="s">
        <v>1150</v>
      </c>
      <c r="I656" t="s">
        <v>1349</v>
      </c>
      <c r="J656" t="s">
        <v>1416</v>
      </c>
      <c r="K656" t="s">
        <v>1422</v>
      </c>
    </row>
    <row r="657" spans="1:11" x14ac:dyDescent="0.25">
      <c r="A657" t="s">
        <v>2083</v>
      </c>
      <c r="B657" s="2">
        <v>45526</v>
      </c>
      <c r="C657" t="s">
        <v>554</v>
      </c>
      <c r="D657" t="s">
        <v>1014</v>
      </c>
      <c r="E657">
        <v>6</v>
      </c>
      <c r="F657">
        <v>15</v>
      </c>
      <c r="G657">
        <v>3.14</v>
      </c>
      <c r="H657" t="s">
        <v>1027</v>
      </c>
      <c r="I657" t="s">
        <v>1226</v>
      </c>
      <c r="J657" t="s">
        <v>1415</v>
      </c>
      <c r="K657" t="s">
        <v>1421</v>
      </c>
    </row>
    <row r="658" spans="1:11" x14ac:dyDescent="0.25">
      <c r="A658" t="s">
        <v>2084</v>
      </c>
      <c r="B658" s="2">
        <v>45526</v>
      </c>
      <c r="C658" t="s">
        <v>912</v>
      </c>
      <c r="D658" t="s">
        <v>1015</v>
      </c>
      <c r="E658">
        <v>2</v>
      </c>
      <c r="F658">
        <v>10</v>
      </c>
      <c r="G658">
        <v>3.83</v>
      </c>
      <c r="H658" t="s">
        <v>1026</v>
      </c>
      <c r="I658" t="s">
        <v>1225</v>
      </c>
      <c r="J658" t="s">
        <v>1414</v>
      </c>
      <c r="K658" t="s">
        <v>1423</v>
      </c>
    </row>
    <row r="659" spans="1:11" x14ac:dyDescent="0.25">
      <c r="A659" t="s">
        <v>2085</v>
      </c>
      <c r="B659" s="2">
        <v>45527</v>
      </c>
      <c r="C659" t="s">
        <v>34</v>
      </c>
      <c r="D659" t="s">
        <v>1012</v>
      </c>
      <c r="E659">
        <v>6</v>
      </c>
      <c r="F659">
        <v>40</v>
      </c>
      <c r="G659">
        <v>8.43</v>
      </c>
      <c r="H659" t="s">
        <v>1036</v>
      </c>
      <c r="I659" t="s">
        <v>1235</v>
      </c>
      <c r="J659" t="s">
        <v>1414</v>
      </c>
      <c r="K659" t="s">
        <v>1421</v>
      </c>
    </row>
    <row r="660" spans="1:11" x14ac:dyDescent="0.25">
      <c r="A660" t="s">
        <v>2086</v>
      </c>
      <c r="B660" s="2">
        <v>45527</v>
      </c>
      <c r="C660" t="s">
        <v>217</v>
      </c>
      <c r="D660" t="s">
        <v>1013</v>
      </c>
      <c r="E660">
        <v>6</v>
      </c>
      <c r="F660">
        <v>25</v>
      </c>
      <c r="G660">
        <v>6.23</v>
      </c>
      <c r="H660" t="s">
        <v>1102</v>
      </c>
      <c r="I660" t="s">
        <v>1301</v>
      </c>
      <c r="J660" t="s">
        <v>1414</v>
      </c>
      <c r="K660" t="s">
        <v>1422</v>
      </c>
    </row>
    <row r="661" spans="1:11" x14ac:dyDescent="0.25">
      <c r="A661" t="s">
        <v>2087</v>
      </c>
      <c r="B661" s="2">
        <v>45527</v>
      </c>
      <c r="C661" t="s">
        <v>333</v>
      </c>
      <c r="D661" t="s">
        <v>1011</v>
      </c>
      <c r="E661">
        <v>8</v>
      </c>
      <c r="F661">
        <v>12</v>
      </c>
      <c r="G661">
        <v>4.07</v>
      </c>
      <c r="H661" t="s">
        <v>1075</v>
      </c>
      <c r="I661" t="s">
        <v>1274</v>
      </c>
      <c r="J661" t="s">
        <v>1414</v>
      </c>
      <c r="K661" t="s">
        <v>1420</v>
      </c>
    </row>
    <row r="662" spans="1:11" x14ac:dyDescent="0.25">
      <c r="A662" t="s">
        <v>2088</v>
      </c>
      <c r="B662" s="2">
        <v>45527</v>
      </c>
      <c r="C662" t="s">
        <v>743</v>
      </c>
      <c r="D662" t="s">
        <v>1015</v>
      </c>
      <c r="E662">
        <v>6</v>
      </c>
      <c r="F662">
        <v>10</v>
      </c>
      <c r="G662">
        <v>2.44</v>
      </c>
      <c r="H662" t="s">
        <v>1212</v>
      </c>
      <c r="I662" t="s">
        <v>1411</v>
      </c>
      <c r="J662" t="s">
        <v>1414</v>
      </c>
      <c r="K662" t="s">
        <v>1422</v>
      </c>
    </row>
    <row r="663" spans="1:11" x14ac:dyDescent="0.25">
      <c r="A663" t="s">
        <v>2089</v>
      </c>
      <c r="B663" s="2">
        <v>45527</v>
      </c>
      <c r="C663" t="s">
        <v>853</v>
      </c>
      <c r="D663" t="s">
        <v>1013</v>
      </c>
      <c r="E663">
        <v>1</v>
      </c>
      <c r="F663">
        <v>25</v>
      </c>
      <c r="G663">
        <v>6.31</v>
      </c>
      <c r="H663" t="s">
        <v>1155</v>
      </c>
      <c r="I663" t="s">
        <v>1354</v>
      </c>
      <c r="J663" t="s">
        <v>1414</v>
      </c>
      <c r="K663" t="s">
        <v>1426</v>
      </c>
    </row>
    <row r="664" spans="1:11" x14ac:dyDescent="0.25">
      <c r="A664" t="s">
        <v>2090</v>
      </c>
      <c r="B664" s="2">
        <v>45528</v>
      </c>
      <c r="C664" t="s">
        <v>135</v>
      </c>
      <c r="D664" t="s">
        <v>1013</v>
      </c>
      <c r="E664">
        <v>5</v>
      </c>
      <c r="F664">
        <v>25</v>
      </c>
      <c r="G664">
        <v>7.47</v>
      </c>
      <c r="H664" t="s">
        <v>1040</v>
      </c>
      <c r="I664" t="s">
        <v>1239</v>
      </c>
      <c r="J664" t="s">
        <v>1414</v>
      </c>
      <c r="K664" t="s">
        <v>1419</v>
      </c>
    </row>
    <row r="665" spans="1:11" x14ac:dyDescent="0.25">
      <c r="A665" t="s">
        <v>2091</v>
      </c>
      <c r="B665" s="2">
        <v>45528</v>
      </c>
      <c r="C665" t="s">
        <v>264</v>
      </c>
      <c r="D665" t="s">
        <v>1014</v>
      </c>
      <c r="E665">
        <v>3</v>
      </c>
      <c r="F665">
        <v>15</v>
      </c>
      <c r="G665">
        <v>5.58</v>
      </c>
      <c r="H665" t="s">
        <v>1159</v>
      </c>
      <c r="I665" t="s">
        <v>1358</v>
      </c>
      <c r="J665" t="s">
        <v>1414</v>
      </c>
      <c r="K665" t="s">
        <v>1418</v>
      </c>
    </row>
    <row r="666" spans="1:11" x14ac:dyDescent="0.25">
      <c r="A666" t="s">
        <v>2092</v>
      </c>
      <c r="B666" s="2">
        <v>45528</v>
      </c>
      <c r="C666" t="s">
        <v>538</v>
      </c>
      <c r="D666" t="s">
        <v>1014</v>
      </c>
      <c r="E666">
        <v>9</v>
      </c>
      <c r="F666">
        <v>15</v>
      </c>
      <c r="G666">
        <v>3.44</v>
      </c>
      <c r="H666" t="s">
        <v>1110</v>
      </c>
      <c r="I666" t="s">
        <v>1309</v>
      </c>
      <c r="J666" t="s">
        <v>1414</v>
      </c>
      <c r="K666" t="s">
        <v>1419</v>
      </c>
    </row>
    <row r="667" spans="1:11" x14ac:dyDescent="0.25">
      <c r="A667" t="s">
        <v>2093</v>
      </c>
      <c r="B667" s="2">
        <v>45528</v>
      </c>
      <c r="C667" t="s">
        <v>600</v>
      </c>
      <c r="D667" t="s">
        <v>1013</v>
      </c>
      <c r="E667">
        <v>8</v>
      </c>
      <c r="F667">
        <v>25</v>
      </c>
      <c r="G667">
        <v>9.1300000000000008</v>
      </c>
      <c r="H667" t="s">
        <v>1157</v>
      </c>
      <c r="I667" t="s">
        <v>1356</v>
      </c>
      <c r="J667" t="s">
        <v>1416</v>
      </c>
      <c r="K667" t="s">
        <v>1422</v>
      </c>
    </row>
    <row r="668" spans="1:11" x14ac:dyDescent="0.25">
      <c r="A668" t="s">
        <v>2094</v>
      </c>
      <c r="B668" s="2">
        <v>45528</v>
      </c>
      <c r="C668" t="s">
        <v>901</v>
      </c>
      <c r="D668" t="s">
        <v>1011</v>
      </c>
      <c r="E668">
        <v>3</v>
      </c>
      <c r="F668">
        <v>12</v>
      </c>
      <c r="G668">
        <v>2.71</v>
      </c>
      <c r="H668" t="s">
        <v>1175</v>
      </c>
      <c r="I668" t="s">
        <v>1374</v>
      </c>
      <c r="J668" t="s">
        <v>1414</v>
      </c>
      <c r="K668" t="s">
        <v>1424</v>
      </c>
    </row>
    <row r="669" spans="1:11" x14ac:dyDescent="0.25">
      <c r="A669" t="s">
        <v>2095</v>
      </c>
      <c r="B669" s="2">
        <v>45528</v>
      </c>
      <c r="C669" t="s">
        <v>909</v>
      </c>
      <c r="D669" t="s">
        <v>1014</v>
      </c>
      <c r="E669">
        <v>5</v>
      </c>
      <c r="F669">
        <v>15</v>
      </c>
      <c r="G669">
        <v>3.09</v>
      </c>
      <c r="H669" t="s">
        <v>1143</v>
      </c>
      <c r="I669" t="s">
        <v>1342</v>
      </c>
      <c r="J669" t="s">
        <v>1414</v>
      </c>
      <c r="K669" t="s">
        <v>1418</v>
      </c>
    </row>
    <row r="670" spans="1:11" x14ac:dyDescent="0.25">
      <c r="A670" t="s">
        <v>2096</v>
      </c>
      <c r="B670" s="2">
        <v>45529</v>
      </c>
      <c r="C670" t="s">
        <v>92</v>
      </c>
      <c r="D670" t="s">
        <v>1015</v>
      </c>
      <c r="E670">
        <v>2</v>
      </c>
      <c r="F670">
        <v>10</v>
      </c>
      <c r="G670">
        <v>3.22</v>
      </c>
      <c r="H670" t="s">
        <v>1078</v>
      </c>
      <c r="I670" t="s">
        <v>1277</v>
      </c>
      <c r="J670" t="s">
        <v>1414</v>
      </c>
      <c r="K670" t="s">
        <v>1424</v>
      </c>
    </row>
    <row r="671" spans="1:11" x14ac:dyDescent="0.25">
      <c r="A671" t="s">
        <v>2097</v>
      </c>
      <c r="B671" s="2">
        <v>45529</v>
      </c>
      <c r="C671" t="s">
        <v>708</v>
      </c>
      <c r="D671" t="s">
        <v>1011</v>
      </c>
      <c r="E671">
        <v>1</v>
      </c>
      <c r="F671">
        <v>12</v>
      </c>
      <c r="G671">
        <v>2.5099999999999998</v>
      </c>
      <c r="H671" t="s">
        <v>1057</v>
      </c>
      <c r="I671" t="s">
        <v>1256</v>
      </c>
      <c r="J671" t="s">
        <v>1414</v>
      </c>
      <c r="K671" t="s">
        <v>1427</v>
      </c>
    </row>
    <row r="672" spans="1:11" x14ac:dyDescent="0.25">
      <c r="A672" t="s">
        <v>2098</v>
      </c>
      <c r="B672" s="2">
        <v>45529</v>
      </c>
      <c r="C672" t="s">
        <v>863</v>
      </c>
      <c r="D672" t="s">
        <v>1014</v>
      </c>
      <c r="E672">
        <v>2</v>
      </c>
      <c r="F672">
        <v>15</v>
      </c>
      <c r="G672">
        <v>3.49</v>
      </c>
      <c r="H672" t="s">
        <v>1126</v>
      </c>
      <c r="I672" t="s">
        <v>1325</v>
      </c>
      <c r="J672" t="s">
        <v>1414</v>
      </c>
      <c r="K672" t="s">
        <v>1419</v>
      </c>
    </row>
    <row r="673" spans="1:11" x14ac:dyDescent="0.25">
      <c r="A673" t="s">
        <v>2099</v>
      </c>
      <c r="B673" s="2">
        <v>45529</v>
      </c>
      <c r="C673" t="s">
        <v>867</v>
      </c>
      <c r="D673" t="s">
        <v>1014</v>
      </c>
      <c r="E673">
        <v>8</v>
      </c>
      <c r="F673">
        <v>15</v>
      </c>
      <c r="G673">
        <v>5.72</v>
      </c>
      <c r="H673" t="s">
        <v>1126</v>
      </c>
      <c r="I673" t="s">
        <v>1325</v>
      </c>
      <c r="J673" t="s">
        <v>1414</v>
      </c>
      <c r="K673" t="s">
        <v>1427</v>
      </c>
    </row>
    <row r="674" spans="1:11" x14ac:dyDescent="0.25">
      <c r="A674" t="s">
        <v>2100</v>
      </c>
      <c r="B674" s="2">
        <v>45530</v>
      </c>
      <c r="C674" t="s">
        <v>963</v>
      </c>
      <c r="D674" t="s">
        <v>1012</v>
      </c>
      <c r="E674">
        <v>4</v>
      </c>
      <c r="F674">
        <v>40</v>
      </c>
      <c r="G674">
        <v>15.33</v>
      </c>
      <c r="H674" t="s">
        <v>1186</v>
      </c>
      <c r="I674" t="s">
        <v>1385</v>
      </c>
      <c r="J674" t="s">
        <v>1416</v>
      </c>
      <c r="K674" t="s">
        <v>1426</v>
      </c>
    </row>
    <row r="675" spans="1:11" x14ac:dyDescent="0.25">
      <c r="A675" t="s">
        <v>2101</v>
      </c>
      <c r="B675" s="2">
        <v>45531</v>
      </c>
      <c r="C675" t="s">
        <v>240</v>
      </c>
      <c r="D675" t="s">
        <v>1012</v>
      </c>
      <c r="E675">
        <v>4</v>
      </c>
      <c r="F675">
        <v>40</v>
      </c>
      <c r="G675">
        <v>11.38</v>
      </c>
      <c r="H675" t="s">
        <v>1139</v>
      </c>
      <c r="I675" t="s">
        <v>1338</v>
      </c>
      <c r="J675" t="s">
        <v>1416</v>
      </c>
      <c r="K675" t="s">
        <v>1420</v>
      </c>
    </row>
    <row r="676" spans="1:11" x14ac:dyDescent="0.25">
      <c r="A676" t="s">
        <v>2102</v>
      </c>
      <c r="B676" s="2">
        <v>45532</v>
      </c>
      <c r="C676" t="s">
        <v>407</v>
      </c>
      <c r="D676" t="s">
        <v>1013</v>
      </c>
      <c r="E676">
        <v>10</v>
      </c>
      <c r="F676">
        <v>25</v>
      </c>
      <c r="G676">
        <v>6.25</v>
      </c>
      <c r="H676" t="s">
        <v>1155</v>
      </c>
      <c r="I676" t="s">
        <v>1354</v>
      </c>
      <c r="J676" t="s">
        <v>1414</v>
      </c>
      <c r="K676" t="s">
        <v>1425</v>
      </c>
    </row>
    <row r="677" spans="1:11" x14ac:dyDescent="0.25">
      <c r="A677" t="s">
        <v>2103</v>
      </c>
      <c r="B677" s="2">
        <v>45532</v>
      </c>
      <c r="C677" t="s">
        <v>423</v>
      </c>
      <c r="D677" t="s">
        <v>1012</v>
      </c>
      <c r="E677">
        <v>5</v>
      </c>
      <c r="F677">
        <v>40</v>
      </c>
      <c r="G677">
        <v>8.4600000000000009</v>
      </c>
      <c r="H677" t="s">
        <v>1081</v>
      </c>
      <c r="I677" t="s">
        <v>1280</v>
      </c>
      <c r="J677" t="s">
        <v>1416</v>
      </c>
      <c r="K677" t="s">
        <v>1419</v>
      </c>
    </row>
    <row r="678" spans="1:11" x14ac:dyDescent="0.25">
      <c r="A678" t="s">
        <v>2104</v>
      </c>
      <c r="B678" s="2">
        <v>45532</v>
      </c>
      <c r="C678" t="s">
        <v>488</v>
      </c>
      <c r="D678" t="s">
        <v>1014</v>
      </c>
      <c r="E678">
        <v>2</v>
      </c>
      <c r="F678">
        <v>15</v>
      </c>
      <c r="G678">
        <v>5.69</v>
      </c>
      <c r="H678" t="s">
        <v>1140</v>
      </c>
      <c r="I678" t="s">
        <v>1339</v>
      </c>
      <c r="J678" t="s">
        <v>1414</v>
      </c>
      <c r="K678" t="s">
        <v>1419</v>
      </c>
    </row>
    <row r="679" spans="1:11" x14ac:dyDescent="0.25">
      <c r="A679" t="s">
        <v>2105</v>
      </c>
      <c r="B679" s="2">
        <v>45532</v>
      </c>
      <c r="C679" t="s">
        <v>637</v>
      </c>
      <c r="D679" t="s">
        <v>1013</v>
      </c>
      <c r="E679">
        <v>7</v>
      </c>
      <c r="F679">
        <v>25</v>
      </c>
      <c r="G679">
        <v>9</v>
      </c>
      <c r="H679" t="s">
        <v>1185</v>
      </c>
      <c r="I679" t="s">
        <v>1384</v>
      </c>
      <c r="J679" t="s">
        <v>1417</v>
      </c>
      <c r="K679" t="s">
        <v>1418</v>
      </c>
    </row>
    <row r="680" spans="1:11" x14ac:dyDescent="0.25">
      <c r="A680" t="s">
        <v>2106</v>
      </c>
      <c r="B680" s="2">
        <v>45532</v>
      </c>
      <c r="C680" t="s">
        <v>725</v>
      </c>
      <c r="D680" t="s">
        <v>1012</v>
      </c>
      <c r="E680">
        <v>3</v>
      </c>
      <c r="F680">
        <v>40</v>
      </c>
      <c r="G680">
        <v>10.23</v>
      </c>
      <c r="H680" t="s">
        <v>1042</v>
      </c>
      <c r="I680" t="s">
        <v>1241</v>
      </c>
      <c r="J680" t="s">
        <v>1416</v>
      </c>
      <c r="K680" t="s">
        <v>1425</v>
      </c>
    </row>
    <row r="681" spans="1:11" x14ac:dyDescent="0.25">
      <c r="A681" t="s">
        <v>2107</v>
      </c>
      <c r="B681" s="2">
        <v>45533</v>
      </c>
      <c r="C681" t="s">
        <v>1009</v>
      </c>
      <c r="D681" t="s">
        <v>1014</v>
      </c>
      <c r="E681">
        <v>9</v>
      </c>
      <c r="G681">
        <v>4.82</v>
      </c>
      <c r="H681" t="s">
        <v>1113</v>
      </c>
      <c r="I681" t="s">
        <v>1312</v>
      </c>
      <c r="J681" t="s">
        <v>1416</v>
      </c>
      <c r="K681" t="s">
        <v>1423</v>
      </c>
    </row>
    <row r="682" spans="1:11" x14ac:dyDescent="0.25">
      <c r="A682" t="s">
        <v>2108</v>
      </c>
      <c r="B682" s="2">
        <v>45534</v>
      </c>
      <c r="C682" t="s">
        <v>469</v>
      </c>
      <c r="D682" t="s">
        <v>1015</v>
      </c>
      <c r="E682">
        <v>2</v>
      </c>
      <c r="F682">
        <v>10</v>
      </c>
      <c r="G682">
        <v>2.09</v>
      </c>
      <c r="H682" t="s">
        <v>1038</v>
      </c>
      <c r="I682" t="s">
        <v>1237</v>
      </c>
      <c r="J682" t="s">
        <v>1414</v>
      </c>
      <c r="K682" t="s">
        <v>1424</v>
      </c>
    </row>
    <row r="683" spans="1:11" x14ac:dyDescent="0.25">
      <c r="A683" t="s">
        <v>2109</v>
      </c>
      <c r="B683" s="2">
        <v>45534</v>
      </c>
      <c r="C683" t="s">
        <v>884</v>
      </c>
      <c r="D683" t="s">
        <v>1015</v>
      </c>
      <c r="E683">
        <v>4</v>
      </c>
      <c r="F683">
        <v>10</v>
      </c>
      <c r="G683">
        <v>3.56</v>
      </c>
      <c r="H683" t="s">
        <v>1071</v>
      </c>
      <c r="I683" t="s">
        <v>1270</v>
      </c>
      <c r="J683" t="s">
        <v>1414</v>
      </c>
      <c r="K683" t="s">
        <v>1426</v>
      </c>
    </row>
    <row r="684" spans="1:11" x14ac:dyDescent="0.25">
      <c r="A684" t="s">
        <v>2110</v>
      </c>
      <c r="B684" s="2">
        <v>45535</v>
      </c>
      <c r="C684" t="s">
        <v>55</v>
      </c>
      <c r="D684" t="s">
        <v>1015</v>
      </c>
      <c r="E684">
        <v>3</v>
      </c>
      <c r="F684">
        <v>10</v>
      </c>
      <c r="G684">
        <v>3.83</v>
      </c>
      <c r="H684" t="s">
        <v>1053</v>
      </c>
      <c r="I684" t="s">
        <v>1252</v>
      </c>
      <c r="J684" t="s">
        <v>1414</v>
      </c>
      <c r="K684" t="s">
        <v>1420</v>
      </c>
    </row>
    <row r="685" spans="1:11" x14ac:dyDescent="0.25">
      <c r="A685" t="s">
        <v>2111</v>
      </c>
      <c r="B685" s="2">
        <v>45535</v>
      </c>
      <c r="C685" t="s">
        <v>307</v>
      </c>
      <c r="D685" t="s">
        <v>1013</v>
      </c>
      <c r="E685">
        <v>5</v>
      </c>
      <c r="F685">
        <v>25</v>
      </c>
      <c r="G685">
        <v>7.66</v>
      </c>
      <c r="H685" t="s">
        <v>1021</v>
      </c>
      <c r="I685" t="s">
        <v>1220</v>
      </c>
      <c r="J685" t="s">
        <v>1416</v>
      </c>
      <c r="K685" t="s">
        <v>1418</v>
      </c>
    </row>
    <row r="686" spans="1:11" x14ac:dyDescent="0.25">
      <c r="A686" t="s">
        <v>2112</v>
      </c>
      <c r="B686" s="2">
        <v>45536</v>
      </c>
      <c r="C686" t="s">
        <v>320</v>
      </c>
      <c r="D686" t="s">
        <v>1012</v>
      </c>
      <c r="E686">
        <v>8</v>
      </c>
      <c r="F686">
        <v>40</v>
      </c>
      <c r="G686">
        <v>12.16</v>
      </c>
      <c r="H686" t="s">
        <v>1171</v>
      </c>
      <c r="I686" t="s">
        <v>1370</v>
      </c>
      <c r="J686" t="s">
        <v>1417</v>
      </c>
      <c r="K686" t="s">
        <v>1425</v>
      </c>
    </row>
    <row r="687" spans="1:11" x14ac:dyDescent="0.25">
      <c r="A687" t="s">
        <v>2113</v>
      </c>
      <c r="B687" s="2">
        <v>45537</v>
      </c>
      <c r="C687" t="s">
        <v>213</v>
      </c>
      <c r="D687" t="s">
        <v>1011</v>
      </c>
      <c r="E687">
        <v>7</v>
      </c>
      <c r="F687">
        <v>12</v>
      </c>
      <c r="G687">
        <v>3.97</v>
      </c>
      <c r="H687" t="s">
        <v>1036</v>
      </c>
      <c r="I687" t="s">
        <v>1235</v>
      </c>
      <c r="J687" t="s">
        <v>1414</v>
      </c>
      <c r="K687" t="s">
        <v>1422</v>
      </c>
    </row>
    <row r="688" spans="1:11" x14ac:dyDescent="0.25">
      <c r="A688" t="s">
        <v>2114</v>
      </c>
      <c r="B688" s="2">
        <v>45537</v>
      </c>
      <c r="C688" t="s">
        <v>546</v>
      </c>
      <c r="D688" t="s">
        <v>1013</v>
      </c>
      <c r="E688">
        <v>4</v>
      </c>
      <c r="F688">
        <v>25</v>
      </c>
      <c r="G688">
        <v>6.53</v>
      </c>
      <c r="H688" t="s">
        <v>1107</v>
      </c>
      <c r="I688" t="s">
        <v>1306</v>
      </c>
      <c r="J688" t="s">
        <v>1415</v>
      </c>
      <c r="K688" t="s">
        <v>1424</v>
      </c>
    </row>
    <row r="689" spans="1:11" x14ac:dyDescent="0.25">
      <c r="A689" t="s">
        <v>2115</v>
      </c>
      <c r="B689" s="2">
        <v>45537</v>
      </c>
      <c r="C689" t="s">
        <v>686</v>
      </c>
      <c r="D689" t="s">
        <v>1014</v>
      </c>
      <c r="E689">
        <v>3</v>
      </c>
      <c r="F689">
        <v>15</v>
      </c>
      <c r="G689">
        <v>3.29</v>
      </c>
      <c r="H689" t="s">
        <v>1175</v>
      </c>
      <c r="I689" t="s">
        <v>1374</v>
      </c>
      <c r="J689" t="s">
        <v>1414</v>
      </c>
      <c r="K689" t="s">
        <v>1427</v>
      </c>
    </row>
    <row r="690" spans="1:11" x14ac:dyDescent="0.25">
      <c r="A690" t="s">
        <v>2116</v>
      </c>
      <c r="B690" s="2">
        <v>45538</v>
      </c>
      <c r="C690" t="s">
        <v>61</v>
      </c>
      <c r="D690" t="s">
        <v>1011</v>
      </c>
      <c r="E690">
        <v>10</v>
      </c>
      <c r="F690">
        <v>12</v>
      </c>
      <c r="G690">
        <v>2.42</v>
      </c>
      <c r="H690" t="s">
        <v>1054</v>
      </c>
      <c r="I690" t="s">
        <v>1253</v>
      </c>
      <c r="J690" t="s">
        <v>1416</v>
      </c>
      <c r="K690" t="s">
        <v>1418</v>
      </c>
    </row>
    <row r="691" spans="1:11" x14ac:dyDescent="0.25">
      <c r="A691" t="s">
        <v>2117</v>
      </c>
      <c r="B691" s="2">
        <v>45538</v>
      </c>
      <c r="C691" t="s">
        <v>616</v>
      </c>
      <c r="D691" t="s">
        <v>1013</v>
      </c>
      <c r="E691">
        <v>5</v>
      </c>
      <c r="F691">
        <v>25</v>
      </c>
      <c r="G691">
        <v>7.76</v>
      </c>
      <c r="H691" t="s">
        <v>1037</v>
      </c>
      <c r="I691" t="s">
        <v>1236</v>
      </c>
      <c r="J691" t="s">
        <v>1414</v>
      </c>
      <c r="K691" t="s">
        <v>1425</v>
      </c>
    </row>
    <row r="692" spans="1:11" x14ac:dyDescent="0.25">
      <c r="A692" t="s">
        <v>2118</v>
      </c>
      <c r="B692" s="2">
        <v>45539</v>
      </c>
      <c r="C692" t="s">
        <v>46</v>
      </c>
      <c r="D692" t="s">
        <v>1015</v>
      </c>
      <c r="E692">
        <v>9</v>
      </c>
      <c r="F692">
        <v>10</v>
      </c>
      <c r="G692">
        <v>3.63</v>
      </c>
      <c r="H692" t="s">
        <v>1045</v>
      </c>
      <c r="I692" t="s">
        <v>1244</v>
      </c>
      <c r="J692" t="s">
        <v>1414</v>
      </c>
      <c r="K692" t="s">
        <v>1426</v>
      </c>
    </row>
    <row r="693" spans="1:11" x14ac:dyDescent="0.25">
      <c r="A693" t="s">
        <v>2119</v>
      </c>
      <c r="B693" s="2">
        <v>45539</v>
      </c>
      <c r="C693" t="s">
        <v>114</v>
      </c>
      <c r="D693" t="s">
        <v>1015</v>
      </c>
      <c r="E693">
        <v>8</v>
      </c>
      <c r="F693">
        <v>10</v>
      </c>
      <c r="G693">
        <v>2.33</v>
      </c>
      <c r="H693" t="s">
        <v>1075</v>
      </c>
      <c r="I693" t="s">
        <v>1274</v>
      </c>
      <c r="J693" t="s">
        <v>1416</v>
      </c>
      <c r="K693" t="s">
        <v>1427</v>
      </c>
    </row>
    <row r="694" spans="1:11" x14ac:dyDescent="0.25">
      <c r="A694" t="s">
        <v>2120</v>
      </c>
      <c r="B694" s="2">
        <v>45539</v>
      </c>
      <c r="C694" t="s">
        <v>245</v>
      </c>
      <c r="D694" t="s">
        <v>1014</v>
      </c>
      <c r="E694">
        <v>4</v>
      </c>
      <c r="G694">
        <v>4.5599999999999996</v>
      </c>
      <c r="H694" t="s">
        <v>1021</v>
      </c>
      <c r="I694" t="s">
        <v>1220</v>
      </c>
      <c r="J694" t="s">
        <v>1414</v>
      </c>
      <c r="K694" t="s">
        <v>1423</v>
      </c>
    </row>
    <row r="695" spans="1:11" x14ac:dyDescent="0.25">
      <c r="A695" t="s">
        <v>2121</v>
      </c>
      <c r="B695" s="2">
        <v>45539</v>
      </c>
      <c r="C695" t="s">
        <v>757</v>
      </c>
      <c r="D695" t="s">
        <v>1014</v>
      </c>
      <c r="E695">
        <v>7</v>
      </c>
      <c r="F695">
        <v>15</v>
      </c>
      <c r="G695">
        <v>5.0599999999999996</v>
      </c>
      <c r="H695" t="s">
        <v>1159</v>
      </c>
      <c r="I695" t="s">
        <v>1358</v>
      </c>
      <c r="J695" t="s">
        <v>1416</v>
      </c>
      <c r="K695" t="s">
        <v>1418</v>
      </c>
    </row>
    <row r="696" spans="1:11" x14ac:dyDescent="0.25">
      <c r="A696" t="s">
        <v>2122</v>
      </c>
      <c r="B696" s="2">
        <v>45540</v>
      </c>
      <c r="C696" t="s">
        <v>225</v>
      </c>
      <c r="D696" t="s">
        <v>1013</v>
      </c>
      <c r="E696">
        <v>1</v>
      </c>
      <c r="F696">
        <v>25</v>
      </c>
      <c r="G696">
        <v>8.42</v>
      </c>
      <c r="H696" t="s">
        <v>1130</v>
      </c>
      <c r="I696" t="s">
        <v>1329</v>
      </c>
      <c r="J696" t="s">
        <v>1416</v>
      </c>
      <c r="K696" t="s">
        <v>1424</v>
      </c>
    </row>
    <row r="697" spans="1:11" x14ac:dyDescent="0.25">
      <c r="A697" t="s">
        <v>2123</v>
      </c>
      <c r="B697" s="2">
        <v>45541</v>
      </c>
      <c r="C697" t="s">
        <v>470</v>
      </c>
      <c r="D697" t="s">
        <v>1015</v>
      </c>
      <c r="E697">
        <v>7</v>
      </c>
      <c r="F697">
        <v>10</v>
      </c>
      <c r="G697">
        <v>3.96</v>
      </c>
      <c r="H697" t="s">
        <v>1085</v>
      </c>
      <c r="I697" t="s">
        <v>1284</v>
      </c>
      <c r="J697" t="s">
        <v>1414</v>
      </c>
      <c r="K697" t="s">
        <v>1419</v>
      </c>
    </row>
    <row r="698" spans="1:11" x14ac:dyDescent="0.25">
      <c r="A698" t="s">
        <v>2124</v>
      </c>
      <c r="B698" s="2">
        <v>45542</v>
      </c>
      <c r="C698" t="s">
        <v>174</v>
      </c>
      <c r="D698" t="s">
        <v>1014</v>
      </c>
      <c r="E698">
        <v>5</v>
      </c>
      <c r="F698">
        <v>15</v>
      </c>
      <c r="G698">
        <v>5.13</v>
      </c>
      <c r="H698" t="s">
        <v>1025</v>
      </c>
      <c r="I698" t="s">
        <v>1224</v>
      </c>
      <c r="J698" t="s">
        <v>1416</v>
      </c>
      <c r="K698" t="s">
        <v>1420</v>
      </c>
    </row>
    <row r="699" spans="1:11" x14ac:dyDescent="0.25">
      <c r="A699" t="s">
        <v>2125</v>
      </c>
      <c r="B699" s="2">
        <v>45542</v>
      </c>
      <c r="C699" t="s">
        <v>726</v>
      </c>
      <c r="D699" t="s">
        <v>1013</v>
      </c>
      <c r="E699">
        <v>1</v>
      </c>
      <c r="F699">
        <v>25</v>
      </c>
      <c r="G699">
        <v>8.6199999999999992</v>
      </c>
      <c r="H699" t="s">
        <v>1162</v>
      </c>
      <c r="I699" t="s">
        <v>1361</v>
      </c>
      <c r="J699" t="s">
        <v>1414</v>
      </c>
      <c r="K699" t="s">
        <v>1419</v>
      </c>
    </row>
    <row r="700" spans="1:11" x14ac:dyDescent="0.25">
      <c r="A700" t="s">
        <v>2126</v>
      </c>
      <c r="B700" s="2">
        <v>45542</v>
      </c>
      <c r="C700" t="s">
        <v>920</v>
      </c>
      <c r="D700" t="s">
        <v>1013</v>
      </c>
      <c r="E700">
        <v>2</v>
      </c>
      <c r="F700">
        <v>25</v>
      </c>
      <c r="G700">
        <v>8.64</v>
      </c>
      <c r="H700" t="s">
        <v>1200</v>
      </c>
      <c r="I700" t="s">
        <v>1399</v>
      </c>
      <c r="J700" t="s">
        <v>1414</v>
      </c>
      <c r="K700" t="s">
        <v>1418</v>
      </c>
    </row>
    <row r="701" spans="1:11" x14ac:dyDescent="0.25">
      <c r="A701" t="s">
        <v>2127</v>
      </c>
      <c r="B701" s="2">
        <v>45543</v>
      </c>
      <c r="C701" t="s">
        <v>63</v>
      </c>
      <c r="D701" t="s">
        <v>1013</v>
      </c>
      <c r="E701">
        <v>7</v>
      </c>
      <c r="F701">
        <v>25</v>
      </c>
      <c r="G701">
        <v>9</v>
      </c>
      <c r="H701" t="s">
        <v>1054</v>
      </c>
      <c r="I701" t="s">
        <v>1253</v>
      </c>
      <c r="J701" t="s">
        <v>1414</v>
      </c>
      <c r="K701" t="s">
        <v>1427</v>
      </c>
    </row>
    <row r="702" spans="1:11" x14ac:dyDescent="0.25">
      <c r="A702" t="s">
        <v>2128</v>
      </c>
      <c r="B702" s="2">
        <v>45543</v>
      </c>
      <c r="C702" t="s">
        <v>438</v>
      </c>
      <c r="D702" t="s">
        <v>1011</v>
      </c>
      <c r="E702">
        <v>8</v>
      </c>
      <c r="F702">
        <v>12</v>
      </c>
      <c r="G702">
        <v>3.81</v>
      </c>
      <c r="H702" t="s">
        <v>1079</v>
      </c>
      <c r="I702" t="s">
        <v>1278</v>
      </c>
      <c r="J702" t="s">
        <v>1414</v>
      </c>
      <c r="K702" t="s">
        <v>1422</v>
      </c>
    </row>
    <row r="703" spans="1:11" x14ac:dyDescent="0.25">
      <c r="A703" t="s">
        <v>2129</v>
      </c>
      <c r="B703" s="2">
        <v>45543</v>
      </c>
      <c r="C703" t="s">
        <v>840</v>
      </c>
      <c r="D703" t="s">
        <v>1015</v>
      </c>
      <c r="E703">
        <v>5</v>
      </c>
      <c r="G703">
        <v>2.76</v>
      </c>
      <c r="H703" t="s">
        <v>1076</v>
      </c>
      <c r="I703" t="s">
        <v>1275</v>
      </c>
      <c r="J703" t="s">
        <v>1414</v>
      </c>
      <c r="K703" t="s">
        <v>1423</v>
      </c>
    </row>
    <row r="704" spans="1:11" x14ac:dyDescent="0.25">
      <c r="A704" t="s">
        <v>2130</v>
      </c>
      <c r="B704" s="2">
        <v>45543</v>
      </c>
      <c r="C704" t="s">
        <v>910</v>
      </c>
      <c r="D704" t="s">
        <v>1015</v>
      </c>
      <c r="E704">
        <v>9</v>
      </c>
      <c r="F704">
        <v>10</v>
      </c>
      <c r="G704">
        <v>2.41</v>
      </c>
      <c r="H704" t="s">
        <v>1093</v>
      </c>
      <c r="I704" t="s">
        <v>1292</v>
      </c>
      <c r="J704" t="s">
        <v>1414</v>
      </c>
      <c r="K704" t="s">
        <v>1422</v>
      </c>
    </row>
    <row r="705" spans="1:11" x14ac:dyDescent="0.25">
      <c r="A705" t="s">
        <v>2131</v>
      </c>
      <c r="B705" s="2">
        <v>45545</v>
      </c>
      <c r="C705" t="s">
        <v>209</v>
      </c>
      <c r="D705" t="s">
        <v>1011</v>
      </c>
      <c r="E705">
        <v>1</v>
      </c>
      <c r="F705">
        <v>12</v>
      </c>
      <c r="G705">
        <v>3.1</v>
      </c>
      <c r="H705" t="s">
        <v>1060</v>
      </c>
      <c r="I705" t="s">
        <v>1259</v>
      </c>
      <c r="J705" t="s">
        <v>1416</v>
      </c>
      <c r="K705" t="s">
        <v>1425</v>
      </c>
    </row>
    <row r="706" spans="1:11" x14ac:dyDescent="0.25">
      <c r="A706" t="s">
        <v>2132</v>
      </c>
      <c r="B706" s="2">
        <v>45545</v>
      </c>
      <c r="C706" t="s">
        <v>621</v>
      </c>
      <c r="D706" t="s">
        <v>1011</v>
      </c>
      <c r="E706">
        <v>10</v>
      </c>
      <c r="F706">
        <v>12</v>
      </c>
      <c r="G706">
        <v>3.77</v>
      </c>
      <c r="H706" t="s">
        <v>1032</v>
      </c>
      <c r="I706" t="s">
        <v>1231</v>
      </c>
      <c r="J706" t="s">
        <v>1416</v>
      </c>
      <c r="K706" t="s">
        <v>1425</v>
      </c>
    </row>
    <row r="707" spans="1:11" x14ac:dyDescent="0.25">
      <c r="A707" t="s">
        <v>2133</v>
      </c>
      <c r="B707" s="2">
        <v>45546</v>
      </c>
      <c r="C707" t="s">
        <v>171</v>
      </c>
      <c r="D707" t="s">
        <v>1015</v>
      </c>
      <c r="E707">
        <v>9</v>
      </c>
      <c r="F707">
        <v>10</v>
      </c>
      <c r="G707">
        <v>2.02</v>
      </c>
      <c r="H707" t="s">
        <v>1127</v>
      </c>
      <c r="I707" t="s">
        <v>1326</v>
      </c>
      <c r="J707" t="s">
        <v>1416</v>
      </c>
      <c r="K707" t="s">
        <v>1421</v>
      </c>
    </row>
    <row r="708" spans="1:11" x14ac:dyDescent="0.25">
      <c r="A708" t="s">
        <v>2134</v>
      </c>
      <c r="B708" s="2">
        <v>45546</v>
      </c>
      <c r="C708" t="s">
        <v>278</v>
      </c>
      <c r="D708" t="s">
        <v>1012</v>
      </c>
      <c r="E708">
        <v>4</v>
      </c>
      <c r="F708">
        <v>40</v>
      </c>
      <c r="G708">
        <v>11.92</v>
      </c>
      <c r="H708" t="s">
        <v>1110</v>
      </c>
      <c r="I708" t="s">
        <v>1309</v>
      </c>
      <c r="J708" t="s">
        <v>1416</v>
      </c>
      <c r="K708" t="s">
        <v>1422</v>
      </c>
    </row>
    <row r="709" spans="1:11" x14ac:dyDescent="0.25">
      <c r="A709" t="s">
        <v>2135</v>
      </c>
      <c r="B709" s="2">
        <v>45546</v>
      </c>
      <c r="C709" t="s">
        <v>375</v>
      </c>
      <c r="D709" t="s">
        <v>1015</v>
      </c>
      <c r="E709">
        <v>8</v>
      </c>
      <c r="F709">
        <v>10</v>
      </c>
      <c r="G709">
        <v>3.58</v>
      </c>
      <c r="H709" t="s">
        <v>1097</v>
      </c>
      <c r="I709" t="s">
        <v>1296</v>
      </c>
      <c r="J709" t="s">
        <v>1414</v>
      </c>
      <c r="K709" t="s">
        <v>1423</v>
      </c>
    </row>
    <row r="710" spans="1:11" x14ac:dyDescent="0.25">
      <c r="A710" t="s">
        <v>2136</v>
      </c>
      <c r="B710" s="2">
        <v>45546</v>
      </c>
      <c r="C710" t="s">
        <v>442</v>
      </c>
      <c r="D710" t="s">
        <v>1013</v>
      </c>
      <c r="E710">
        <v>10</v>
      </c>
      <c r="G710">
        <v>8.3699999999999992</v>
      </c>
      <c r="H710" t="s">
        <v>1183</v>
      </c>
      <c r="I710" t="s">
        <v>1382</v>
      </c>
      <c r="J710" t="s">
        <v>1416</v>
      </c>
      <c r="K710" t="s">
        <v>1418</v>
      </c>
    </row>
    <row r="711" spans="1:11" x14ac:dyDescent="0.25">
      <c r="A711" t="s">
        <v>2137</v>
      </c>
      <c r="B711" s="2">
        <v>45546</v>
      </c>
      <c r="C711" t="s">
        <v>461</v>
      </c>
      <c r="D711" t="s">
        <v>1011</v>
      </c>
      <c r="E711">
        <v>1</v>
      </c>
      <c r="F711">
        <v>12</v>
      </c>
      <c r="G711">
        <v>4.25</v>
      </c>
      <c r="H711" t="s">
        <v>1164</v>
      </c>
      <c r="I711" t="s">
        <v>1363</v>
      </c>
      <c r="J711" t="s">
        <v>1416</v>
      </c>
      <c r="K711" t="s">
        <v>1419</v>
      </c>
    </row>
    <row r="712" spans="1:11" x14ac:dyDescent="0.25">
      <c r="A712" t="s">
        <v>2138</v>
      </c>
      <c r="B712" s="2">
        <v>45548</v>
      </c>
      <c r="C712" t="s">
        <v>205</v>
      </c>
      <c r="D712" t="s">
        <v>1014</v>
      </c>
      <c r="E712">
        <v>4</v>
      </c>
      <c r="F712">
        <v>15</v>
      </c>
      <c r="G712">
        <v>4.2</v>
      </c>
      <c r="H712" t="s">
        <v>1134</v>
      </c>
      <c r="I712" t="s">
        <v>1333</v>
      </c>
      <c r="J712" t="s">
        <v>1417</v>
      </c>
      <c r="K712" t="s">
        <v>1424</v>
      </c>
    </row>
    <row r="713" spans="1:11" x14ac:dyDescent="0.25">
      <c r="A713" t="s">
        <v>2139</v>
      </c>
      <c r="B713" s="2">
        <v>45548</v>
      </c>
      <c r="C713" t="s">
        <v>509</v>
      </c>
      <c r="D713" t="s">
        <v>1014</v>
      </c>
      <c r="E713">
        <v>4</v>
      </c>
      <c r="F713">
        <v>15</v>
      </c>
      <c r="G713">
        <v>4.03</v>
      </c>
      <c r="H713" t="s">
        <v>1075</v>
      </c>
      <c r="I713" t="s">
        <v>1274</v>
      </c>
      <c r="J713" t="s">
        <v>1414</v>
      </c>
      <c r="K713" t="s">
        <v>1422</v>
      </c>
    </row>
    <row r="714" spans="1:11" x14ac:dyDescent="0.25">
      <c r="A714" t="s">
        <v>2140</v>
      </c>
      <c r="B714" s="2">
        <v>45548</v>
      </c>
      <c r="C714" t="s">
        <v>592</v>
      </c>
      <c r="D714" t="s">
        <v>1011</v>
      </c>
      <c r="E714">
        <v>4</v>
      </c>
      <c r="F714">
        <v>12</v>
      </c>
      <c r="G714">
        <v>2.68</v>
      </c>
      <c r="H714" t="s">
        <v>1034</v>
      </c>
      <c r="I714" t="s">
        <v>1233</v>
      </c>
      <c r="J714" t="s">
        <v>1415</v>
      </c>
      <c r="K714" t="s">
        <v>1420</v>
      </c>
    </row>
    <row r="715" spans="1:11" x14ac:dyDescent="0.25">
      <c r="A715" t="s">
        <v>2141</v>
      </c>
      <c r="B715" s="2">
        <v>45549</v>
      </c>
      <c r="C715" t="s">
        <v>308</v>
      </c>
      <c r="D715" t="s">
        <v>1015</v>
      </c>
      <c r="E715">
        <v>10</v>
      </c>
      <c r="F715">
        <v>10</v>
      </c>
      <c r="G715">
        <v>2.65</v>
      </c>
      <c r="H715" t="s">
        <v>1042</v>
      </c>
      <c r="I715" t="s">
        <v>1241</v>
      </c>
      <c r="J715" t="s">
        <v>1414</v>
      </c>
      <c r="K715" t="s">
        <v>1424</v>
      </c>
    </row>
    <row r="716" spans="1:11" x14ac:dyDescent="0.25">
      <c r="A716" t="s">
        <v>2142</v>
      </c>
      <c r="B716" s="2">
        <v>45549</v>
      </c>
      <c r="C716" t="s">
        <v>886</v>
      </c>
      <c r="D716" t="s">
        <v>1012</v>
      </c>
      <c r="E716">
        <v>8</v>
      </c>
      <c r="F716">
        <v>40</v>
      </c>
      <c r="G716">
        <v>8.8699999999999992</v>
      </c>
      <c r="H716" t="s">
        <v>1052</v>
      </c>
      <c r="I716" t="s">
        <v>1251</v>
      </c>
      <c r="J716" t="s">
        <v>1416</v>
      </c>
      <c r="K716" t="s">
        <v>1427</v>
      </c>
    </row>
    <row r="717" spans="1:11" x14ac:dyDescent="0.25">
      <c r="A717" t="s">
        <v>2143</v>
      </c>
      <c r="B717" s="2">
        <v>45550</v>
      </c>
      <c r="C717" t="s">
        <v>23</v>
      </c>
      <c r="D717" t="s">
        <v>1012</v>
      </c>
      <c r="E717">
        <v>3</v>
      </c>
      <c r="F717">
        <v>40</v>
      </c>
      <c r="G717">
        <v>14.24</v>
      </c>
      <c r="H717" t="s">
        <v>1027</v>
      </c>
      <c r="I717" t="s">
        <v>1226</v>
      </c>
      <c r="J717" t="s">
        <v>1414</v>
      </c>
      <c r="K717" t="s">
        <v>1419</v>
      </c>
    </row>
    <row r="718" spans="1:11" x14ac:dyDescent="0.25">
      <c r="A718" t="s">
        <v>2144</v>
      </c>
      <c r="B718" s="2">
        <v>45550</v>
      </c>
      <c r="C718" t="s">
        <v>419</v>
      </c>
      <c r="D718" t="s">
        <v>1015</v>
      </c>
      <c r="E718">
        <v>2</v>
      </c>
      <c r="F718">
        <v>10</v>
      </c>
      <c r="G718">
        <v>3.03</v>
      </c>
      <c r="H718" t="s">
        <v>1105</v>
      </c>
      <c r="I718" t="s">
        <v>1304</v>
      </c>
      <c r="J718" t="s">
        <v>1416</v>
      </c>
      <c r="K718" t="s">
        <v>1422</v>
      </c>
    </row>
    <row r="719" spans="1:11" x14ac:dyDescent="0.25">
      <c r="A719" t="s">
        <v>2145</v>
      </c>
      <c r="B719" s="2">
        <v>45551</v>
      </c>
      <c r="C719" t="s">
        <v>26</v>
      </c>
      <c r="D719" t="s">
        <v>1015</v>
      </c>
      <c r="E719">
        <v>9</v>
      </c>
      <c r="F719">
        <v>10</v>
      </c>
      <c r="G719">
        <v>2.11</v>
      </c>
      <c r="H719" t="s">
        <v>1029</v>
      </c>
      <c r="I719" t="s">
        <v>1228</v>
      </c>
      <c r="J719" t="s">
        <v>1416</v>
      </c>
      <c r="K719" t="s">
        <v>1419</v>
      </c>
    </row>
    <row r="720" spans="1:11" x14ac:dyDescent="0.25">
      <c r="A720" t="s">
        <v>2146</v>
      </c>
      <c r="B720" s="2">
        <v>45551</v>
      </c>
      <c r="C720" t="s">
        <v>658</v>
      </c>
      <c r="D720" t="s">
        <v>1013</v>
      </c>
      <c r="E720">
        <v>10</v>
      </c>
      <c r="F720">
        <v>25</v>
      </c>
      <c r="G720">
        <v>6.58</v>
      </c>
      <c r="H720" t="s">
        <v>1055</v>
      </c>
      <c r="I720" t="s">
        <v>1254</v>
      </c>
      <c r="J720" t="s">
        <v>1414</v>
      </c>
      <c r="K720" t="s">
        <v>1419</v>
      </c>
    </row>
    <row r="721" spans="1:11" x14ac:dyDescent="0.25">
      <c r="A721" t="s">
        <v>2147</v>
      </c>
      <c r="B721" s="2">
        <v>45552</v>
      </c>
      <c r="C721" t="s">
        <v>334</v>
      </c>
      <c r="D721" t="s">
        <v>1012</v>
      </c>
      <c r="E721">
        <v>6</v>
      </c>
      <c r="F721">
        <v>40</v>
      </c>
      <c r="G721">
        <v>15.57</v>
      </c>
      <c r="H721" t="s">
        <v>1046</v>
      </c>
      <c r="I721" t="s">
        <v>1245</v>
      </c>
      <c r="J721" t="s">
        <v>1414</v>
      </c>
      <c r="K721" t="s">
        <v>1422</v>
      </c>
    </row>
    <row r="722" spans="1:11" x14ac:dyDescent="0.25">
      <c r="A722" t="s">
        <v>2148</v>
      </c>
      <c r="B722" s="2">
        <v>45552</v>
      </c>
      <c r="C722" t="s">
        <v>625</v>
      </c>
      <c r="D722" t="s">
        <v>1013</v>
      </c>
      <c r="E722">
        <v>9</v>
      </c>
      <c r="F722">
        <v>25</v>
      </c>
      <c r="G722">
        <v>8.24</v>
      </c>
      <c r="H722" t="s">
        <v>1124</v>
      </c>
      <c r="I722" t="s">
        <v>1323</v>
      </c>
      <c r="J722" t="s">
        <v>1414</v>
      </c>
      <c r="K722" t="s">
        <v>1418</v>
      </c>
    </row>
    <row r="723" spans="1:11" x14ac:dyDescent="0.25">
      <c r="A723" t="s">
        <v>2149</v>
      </c>
      <c r="B723" s="2">
        <v>45552</v>
      </c>
      <c r="C723" t="s">
        <v>766</v>
      </c>
      <c r="D723" t="s">
        <v>1013</v>
      </c>
      <c r="E723">
        <v>10</v>
      </c>
      <c r="F723">
        <v>25</v>
      </c>
      <c r="G723">
        <v>5.84</v>
      </c>
      <c r="H723" t="s">
        <v>1045</v>
      </c>
      <c r="I723" t="s">
        <v>1244</v>
      </c>
      <c r="J723" t="s">
        <v>1416</v>
      </c>
      <c r="K723" t="s">
        <v>1418</v>
      </c>
    </row>
    <row r="724" spans="1:11" x14ac:dyDescent="0.25">
      <c r="A724" t="s">
        <v>2150</v>
      </c>
      <c r="B724" s="2">
        <v>45553</v>
      </c>
      <c r="C724" t="s">
        <v>25</v>
      </c>
      <c r="D724" t="s">
        <v>1015</v>
      </c>
      <c r="E724">
        <v>4</v>
      </c>
      <c r="F724">
        <v>10</v>
      </c>
      <c r="G724">
        <v>3.28</v>
      </c>
      <c r="H724" t="s">
        <v>1025</v>
      </c>
      <c r="I724" t="s">
        <v>1224</v>
      </c>
      <c r="J724" t="s">
        <v>1414</v>
      </c>
      <c r="K724" t="s">
        <v>1421</v>
      </c>
    </row>
    <row r="725" spans="1:11" x14ac:dyDescent="0.25">
      <c r="A725" t="s">
        <v>2151</v>
      </c>
      <c r="B725" s="2">
        <v>45553</v>
      </c>
      <c r="C725" t="s">
        <v>377</v>
      </c>
      <c r="D725" t="s">
        <v>1013</v>
      </c>
      <c r="E725">
        <v>8</v>
      </c>
      <c r="F725">
        <v>25</v>
      </c>
      <c r="G725">
        <v>9.33</v>
      </c>
      <c r="H725" t="s">
        <v>1181</v>
      </c>
      <c r="I725" t="s">
        <v>1380</v>
      </c>
      <c r="J725" t="s">
        <v>1414</v>
      </c>
      <c r="K725" t="s">
        <v>1426</v>
      </c>
    </row>
    <row r="726" spans="1:11" x14ac:dyDescent="0.25">
      <c r="A726" t="s">
        <v>2152</v>
      </c>
      <c r="B726" s="2">
        <v>45554</v>
      </c>
      <c r="C726" t="s">
        <v>143</v>
      </c>
      <c r="D726" t="s">
        <v>1014</v>
      </c>
      <c r="E726">
        <v>10</v>
      </c>
      <c r="F726">
        <v>15</v>
      </c>
      <c r="G726">
        <v>5.0199999999999996</v>
      </c>
      <c r="H726" t="s">
        <v>1113</v>
      </c>
      <c r="I726" t="s">
        <v>1312</v>
      </c>
      <c r="J726" t="s">
        <v>1414</v>
      </c>
      <c r="K726" t="s">
        <v>1427</v>
      </c>
    </row>
    <row r="727" spans="1:11" x14ac:dyDescent="0.25">
      <c r="A727" t="s">
        <v>2153</v>
      </c>
      <c r="B727" s="2">
        <v>45554</v>
      </c>
      <c r="C727" t="s">
        <v>664</v>
      </c>
      <c r="D727" t="s">
        <v>1013</v>
      </c>
      <c r="E727">
        <v>1</v>
      </c>
      <c r="F727">
        <v>25</v>
      </c>
      <c r="G727">
        <v>8.68</v>
      </c>
      <c r="H727" t="s">
        <v>1036</v>
      </c>
      <c r="I727" t="s">
        <v>1235</v>
      </c>
      <c r="J727" t="s">
        <v>1415</v>
      </c>
      <c r="K727" t="s">
        <v>1420</v>
      </c>
    </row>
    <row r="728" spans="1:11" x14ac:dyDescent="0.25">
      <c r="A728" t="s">
        <v>2154</v>
      </c>
      <c r="B728" s="2">
        <v>45554</v>
      </c>
      <c r="C728" t="s">
        <v>688</v>
      </c>
      <c r="D728" t="s">
        <v>1012</v>
      </c>
      <c r="E728">
        <v>7</v>
      </c>
      <c r="F728">
        <v>40</v>
      </c>
      <c r="G728">
        <v>8.74</v>
      </c>
      <c r="H728" t="s">
        <v>1182</v>
      </c>
      <c r="I728" t="s">
        <v>1381</v>
      </c>
      <c r="J728" t="s">
        <v>1416</v>
      </c>
      <c r="K728" t="s">
        <v>1422</v>
      </c>
    </row>
    <row r="729" spans="1:11" x14ac:dyDescent="0.25">
      <c r="A729" t="s">
        <v>2155</v>
      </c>
      <c r="B729" s="2">
        <v>45555</v>
      </c>
      <c r="C729" t="s">
        <v>203</v>
      </c>
      <c r="D729" t="s">
        <v>1013</v>
      </c>
      <c r="E729">
        <v>3</v>
      </c>
      <c r="F729">
        <v>25</v>
      </c>
      <c r="G729">
        <v>7.17</v>
      </c>
      <c r="H729" t="s">
        <v>1085</v>
      </c>
      <c r="I729" t="s">
        <v>1284</v>
      </c>
      <c r="J729" t="s">
        <v>1414</v>
      </c>
      <c r="K729" t="s">
        <v>1419</v>
      </c>
    </row>
    <row r="730" spans="1:11" x14ac:dyDescent="0.25">
      <c r="A730" t="s">
        <v>2156</v>
      </c>
      <c r="B730" s="2">
        <v>45556</v>
      </c>
      <c r="C730" t="s">
        <v>721</v>
      </c>
      <c r="D730" t="s">
        <v>1015</v>
      </c>
      <c r="E730">
        <v>8</v>
      </c>
      <c r="F730">
        <v>10</v>
      </c>
      <c r="G730">
        <v>3.47</v>
      </c>
      <c r="H730" t="s">
        <v>1158</v>
      </c>
      <c r="I730" t="s">
        <v>1357</v>
      </c>
      <c r="J730" t="s">
        <v>1416</v>
      </c>
      <c r="K730" t="s">
        <v>1419</v>
      </c>
    </row>
    <row r="731" spans="1:11" x14ac:dyDescent="0.25">
      <c r="A731" t="s">
        <v>2157</v>
      </c>
      <c r="B731" s="2">
        <v>45557</v>
      </c>
      <c r="C731" t="s">
        <v>231</v>
      </c>
      <c r="D731" t="s">
        <v>1011</v>
      </c>
      <c r="E731">
        <v>5</v>
      </c>
      <c r="F731">
        <v>12</v>
      </c>
      <c r="G731">
        <v>2.78</v>
      </c>
      <c r="H731" t="s">
        <v>1062</v>
      </c>
      <c r="I731" t="s">
        <v>1261</v>
      </c>
      <c r="J731" t="s">
        <v>1416</v>
      </c>
      <c r="K731" t="s">
        <v>1423</v>
      </c>
    </row>
    <row r="732" spans="1:11" x14ac:dyDescent="0.25">
      <c r="A732" t="s">
        <v>2158</v>
      </c>
      <c r="B732" s="2">
        <v>45557</v>
      </c>
      <c r="C732" t="s">
        <v>332</v>
      </c>
      <c r="D732" t="s">
        <v>1011</v>
      </c>
      <c r="E732">
        <v>9</v>
      </c>
      <c r="F732">
        <v>12</v>
      </c>
      <c r="G732">
        <v>2.94</v>
      </c>
      <c r="H732" t="s">
        <v>1023</v>
      </c>
      <c r="I732" t="s">
        <v>1222</v>
      </c>
      <c r="J732" t="s">
        <v>1414</v>
      </c>
      <c r="K732" t="s">
        <v>1427</v>
      </c>
    </row>
    <row r="733" spans="1:11" x14ac:dyDescent="0.25">
      <c r="A733" t="s">
        <v>2159</v>
      </c>
      <c r="B733" s="2">
        <v>45557</v>
      </c>
      <c r="C733" t="s">
        <v>455</v>
      </c>
      <c r="D733" t="s">
        <v>1011</v>
      </c>
      <c r="E733">
        <v>3</v>
      </c>
      <c r="F733">
        <v>12</v>
      </c>
      <c r="G733">
        <v>4.49</v>
      </c>
      <c r="H733" t="s">
        <v>1046</v>
      </c>
      <c r="I733" t="s">
        <v>1245</v>
      </c>
      <c r="J733" t="s">
        <v>1414</v>
      </c>
      <c r="K733" t="s">
        <v>1423</v>
      </c>
    </row>
    <row r="734" spans="1:11" x14ac:dyDescent="0.25">
      <c r="A734" t="s">
        <v>2160</v>
      </c>
      <c r="B734" s="2">
        <v>45558</v>
      </c>
      <c r="C734" t="s">
        <v>123</v>
      </c>
      <c r="D734" t="s">
        <v>1013</v>
      </c>
      <c r="E734">
        <v>8</v>
      </c>
      <c r="F734">
        <v>25</v>
      </c>
      <c r="G734">
        <v>6.84</v>
      </c>
      <c r="H734" t="s">
        <v>1102</v>
      </c>
      <c r="I734" t="s">
        <v>1301</v>
      </c>
      <c r="J734" t="s">
        <v>1417</v>
      </c>
      <c r="K734" t="s">
        <v>1426</v>
      </c>
    </row>
    <row r="735" spans="1:11" x14ac:dyDescent="0.25">
      <c r="A735" t="s">
        <v>2161</v>
      </c>
      <c r="B735" s="2">
        <v>45558</v>
      </c>
      <c r="C735" t="s">
        <v>152</v>
      </c>
      <c r="D735" t="s">
        <v>1013</v>
      </c>
      <c r="E735">
        <v>9</v>
      </c>
      <c r="F735">
        <v>25</v>
      </c>
      <c r="G735">
        <v>7.79</v>
      </c>
      <c r="H735" t="s">
        <v>1080</v>
      </c>
      <c r="I735" t="s">
        <v>1279</v>
      </c>
      <c r="J735" t="s">
        <v>1414</v>
      </c>
      <c r="K735" t="s">
        <v>1425</v>
      </c>
    </row>
    <row r="736" spans="1:11" x14ac:dyDescent="0.25">
      <c r="A736" t="s">
        <v>2162</v>
      </c>
      <c r="B736" s="2">
        <v>45558</v>
      </c>
      <c r="C736" t="s">
        <v>798</v>
      </c>
      <c r="D736" t="s">
        <v>1013</v>
      </c>
      <c r="E736">
        <v>7</v>
      </c>
      <c r="F736">
        <v>25</v>
      </c>
      <c r="G736">
        <v>8.2899999999999991</v>
      </c>
      <c r="H736" t="s">
        <v>1173</v>
      </c>
      <c r="I736" t="s">
        <v>1372</v>
      </c>
      <c r="J736" t="s">
        <v>1414</v>
      </c>
      <c r="K736" t="s">
        <v>1422</v>
      </c>
    </row>
    <row r="737" spans="1:11" x14ac:dyDescent="0.25">
      <c r="A737" t="s">
        <v>2163</v>
      </c>
      <c r="B737" s="2">
        <v>45559</v>
      </c>
      <c r="C737" t="s">
        <v>281</v>
      </c>
      <c r="D737" t="s">
        <v>1015</v>
      </c>
      <c r="E737">
        <v>2</v>
      </c>
      <c r="F737">
        <v>10</v>
      </c>
      <c r="G737">
        <v>2.94</v>
      </c>
      <c r="H737" t="s">
        <v>1165</v>
      </c>
      <c r="I737" t="s">
        <v>1364</v>
      </c>
      <c r="J737" t="s">
        <v>1415</v>
      </c>
      <c r="K737" t="s">
        <v>1418</v>
      </c>
    </row>
    <row r="738" spans="1:11" x14ac:dyDescent="0.25">
      <c r="A738" t="s">
        <v>2164</v>
      </c>
      <c r="B738" s="2">
        <v>45559</v>
      </c>
      <c r="C738" t="s">
        <v>636</v>
      </c>
      <c r="D738" t="s">
        <v>1015</v>
      </c>
      <c r="E738">
        <v>1</v>
      </c>
      <c r="F738">
        <v>10</v>
      </c>
      <c r="G738">
        <v>3.62</v>
      </c>
      <c r="H738" t="s">
        <v>1098</v>
      </c>
      <c r="I738" t="s">
        <v>1297</v>
      </c>
      <c r="J738" t="s">
        <v>1414</v>
      </c>
      <c r="K738" t="s">
        <v>1418</v>
      </c>
    </row>
    <row r="739" spans="1:11" x14ac:dyDescent="0.25">
      <c r="A739" t="s">
        <v>2165</v>
      </c>
      <c r="B739" s="2">
        <v>45560</v>
      </c>
      <c r="C739" t="s">
        <v>336</v>
      </c>
      <c r="D739" t="s">
        <v>1015</v>
      </c>
      <c r="E739">
        <v>8</v>
      </c>
      <c r="G739">
        <v>2.08</v>
      </c>
      <c r="H739" t="s">
        <v>1086</v>
      </c>
      <c r="I739" t="s">
        <v>1285</v>
      </c>
      <c r="J739" t="s">
        <v>1414</v>
      </c>
      <c r="K739" t="s">
        <v>1423</v>
      </c>
    </row>
    <row r="740" spans="1:11" x14ac:dyDescent="0.25">
      <c r="A740" t="s">
        <v>2166</v>
      </c>
      <c r="B740" s="2">
        <v>45561</v>
      </c>
      <c r="C740" t="s">
        <v>782</v>
      </c>
      <c r="D740" t="s">
        <v>1011</v>
      </c>
      <c r="E740">
        <v>5</v>
      </c>
      <c r="F740">
        <v>12</v>
      </c>
      <c r="G740">
        <v>4.6900000000000004</v>
      </c>
      <c r="H740" t="s">
        <v>1191</v>
      </c>
      <c r="I740" t="s">
        <v>1390</v>
      </c>
      <c r="J740" t="s">
        <v>1414</v>
      </c>
      <c r="K740" t="s">
        <v>1427</v>
      </c>
    </row>
    <row r="741" spans="1:11" x14ac:dyDescent="0.25">
      <c r="A741" t="s">
        <v>2167</v>
      </c>
      <c r="B741" s="2">
        <v>45561</v>
      </c>
      <c r="C741" t="s">
        <v>906</v>
      </c>
      <c r="D741" t="s">
        <v>1011</v>
      </c>
      <c r="E741">
        <v>7</v>
      </c>
      <c r="F741">
        <v>12</v>
      </c>
      <c r="G741">
        <v>3.9</v>
      </c>
      <c r="H741" t="s">
        <v>1109</v>
      </c>
      <c r="I741" t="s">
        <v>1308</v>
      </c>
      <c r="J741" t="s">
        <v>1415</v>
      </c>
      <c r="K741" t="s">
        <v>1425</v>
      </c>
    </row>
    <row r="742" spans="1:11" x14ac:dyDescent="0.25">
      <c r="A742" t="s">
        <v>2168</v>
      </c>
      <c r="B742" s="2">
        <v>45562</v>
      </c>
      <c r="C742" t="s">
        <v>339</v>
      </c>
      <c r="D742" t="s">
        <v>1014</v>
      </c>
      <c r="E742">
        <v>10</v>
      </c>
      <c r="F742">
        <v>15</v>
      </c>
      <c r="G742">
        <v>3.05</v>
      </c>
      <c r="H742" t="s">
        <v>1151</v>
      </c>
      <c r="I742" t="s">
        <v>1350</v>
      </c>
      <c r="J742" t="s">
        <v>1416</v>
      </c>
      <c r="K742" t="s">
        <v>1423</v>
      </c>
    </row>
    <row r="743" spans="1:11" x14ac:dyDescent="0.25">
      <c r="A743" t="s">
        <v>2169</v>
      </c>
      <c r="B743" s="2">
        <v>45562</v>
      </c>
      <c r="C743" t="s">
        <v>593</v>
      </c>
      <c r="D743" t="s">
        <v>1012</v>
      </c>
      <c r="E743">
        <v>5</v>
      </c>
      <c r="G743">
        <v>8.11</v>
      </c>
      <c r="H743" t="s">
        <v>1127</v>
      </c>
      <c r="I743" t="s">
        <v>1326</v>
      </c>
      <c r="J743" t="s">
        <v>1414</v>
      </c>
      <c r="K743" t="s">
        <v>1426</v>
      </c>
    </row>
    <row r="744" spans="1:11" x14ac:dyDescent="0.25">
      <c r="A744" t="s">
        <v>2170</v>
      </c>
      <c r="B744" s="2">
        <v>45562</v>
      </c>
      <c r="C744" t="s">
        <v>1010</v>
      </c>
      <c r="D744" t="s">
        <v>1015</v>
      </c>
      <c r="E744">
        <v>10</v>
      </c>
      <c r="F744">
        <v>10</v>
      </c>
      <c r="G744">
        <v>3.29</v>
      </c>
      <c r="H744" t="s">
        <v>1173</v>
      </c>
      <c r="I744" t="s">
        <v>1372</v>
      </c>
      <c r="J744" t="s">
        <v>1414</v>
      </c>
      <c r="K744" t="s">
        <v>1424</v>
      </c>
    </row>
    <row r="745" spans="1:11" x14ac:dyDescent="0.25">
      <c r="A745" t="s">
        <v>2171</v>
      </c>
      <c r="B745" s="2">
        <v>45563</v>
      </c>
      <c r="C745" t="s">
        <v>76</v>
      </c>
      <c r="D745" t="s">
        <v>1015</v>
      </c>
      <c r="E745">
        <v>5</v>
      </c>
      <c r="F745">
        <v>10</v>
      </c>
      <c r="G745">
        <v>2.66</v>
      </c>
      <c r="H745" t="s">
        <v>1070</v>
      </c>
      <c r="I745" t="s">
        <v>1269</v>
      </c>
      <c r="J745" t="s">
        <v>1416</v>
      </c>
      <c r="K745" t="s">
        <v>1424</v>
      </c>
    </row>
    <row r="746" spans="1:11" x14ac:dyDescent="0.25">
      <c r="A746" t="s">
        <v>2172</v>
      </c>
      <c r="B746" s="2">
        <v>45563</v>
      </c>
      <c r="C746" t="s">
        <v>669</v>
      </c>
      <c r="D746" t="s">
        <v>1014</v>
      </c>
      <c r="E746">
        <v>7</v>
      </c>
      <c r="F746">
        <v>15</v>
      </c>
      <c r="G746">
        <v>3.82</v>
      </c>
      <c r="H746" t="s">
        <v>1069</v>
      </c>
      <c r="I746" t="s">
        <v>1268</v>
      </c>
      <c r="J746" t="s">
        <v>1414</v>
      </c>
      <c r="K746" t="s">
        <v>1426</v>
      </c>
    </row>
    <row r="747" spans="1:11" x14ac:dyDescent="0.25">
      <c r="A747" t="s">
        <v>2173</v>
      </c>
      <c r="B747" s="2">
        <v>45564</v>
      </c>
      <c r="C747" t="s">
        <v>315</v>
      </c>
      <c r="D747" t="s">
        <v>1012</v>
      </c>
      <c r="E747">
        <v>4</v>
      </c>
      <c r="F747">
        <v>40</v>
      </c>
      <c r="G747">
        <v>9.31</v>
      </c>
      <c r="H747" t="s">
        <v>1130</v>
      </c>
      <c r="I747" t="s">
        <v>1329</v>
      </c>
      <c r="J747" t="s">
        <v>1416</v>
      </c>
      <c r="K747" t="s">
        <v>1419</v>
      </c>
    </row>
    <row r="748" spans="1:11" x14ac:dyDescent="0.25">
      <c r="A748" t="s">
        <v>2174</v>
      </c>
      <c r="B748" s="2">
        <v>45564</v>
      </c>
      <c r="C748" t="s">
        <v>464</v>
      </c>
      <c r="D748" t="s">
        <v>1011</v>
      </c>
      <c r="E748">
        <v>6</v>
      </c>
      <c r="F748">
        <v>12</v>
      </c>
      <c r="G748">
        <v>3.66</v>
      </c>
      <c r="H748" t="s">
        <v>1064</v>
      </c>
      <c r="I748" t="s">
        <v>1263</v>
      </c>
      <c r="J748" t="s">
        <v>1414</v>
      </c>
      <c r="K748" t="s">
        <v>1426</v>
      </c>
    </row>
    <row r="749" spans="1:11" x14ac:dyDescent="0.25">
      <c r="A749" t="s">
        <v>2175</v>
      </c>
      <c r="B749" s="2">
        <v>45565</v>
      </c>
      <c r="C749" t="s">
        <v>511</v>
      </c>
      <c r="D749" t="s">
        <v>1012</v>
      </c>
      <c r="E749">
        <v>1</v>
      </c>
      <c r="F749">
        <v>40</v>
      </c>
      <c r="G749">
        <v>9.89</v>
      </c>
      <c r="H749" t="s">
        <v>1131</v>
      </c>
      <c r="I749" t="s">
        <v>1330</v>
      </c>
      <c r="J749" t="s">
        <v>1416</v>
      </c>
      <c r="K749" t="s">
        <v>1419</v>
      </c>
    </row>
    <row r="750" spans="1:11" x14ac:dyDescent="0.25">
      <c r="A750" t="s">
        <v>2176</v>
      </c>
      <c r="B750" s="2">
        <v>45565</v>
      </c>
      <c r="C750" t="s">
        <v>647</v>
      </c>
      <c r="D750" t="s">
        <v>1015</v>
      </c>
      <c r="E750">
        <v>1</v>
      </c>
      <c r="F750">
        <v>10</v>
      </c>
      <c r="G750">
        <v>3.17</v>
      </c>
      <c r="H750" t="s">
        <v>1072</v>
      </c>
      <c r="I750" t="s">
        <v>1271</v>
      </c>
      <c r="J750" t="s">
        <v>1416</v>
      </c>
      <c r="K750" t="s">
        <v>1424</v>
      </c>
    </row>
    <row r="751" spans="1:11" x14ac:dyDescent="0.25">
      <c r="A751" t="s">
        <v>2177</v>
      </c>
      <c r="B751" s="2">
        <v>45565</v>
      </c>
      <c r="C751" t="s">
        <v>675</v>
      </c>
      <c r="D751" t="s">
        <v>1011</v>
      </c>
      <c r="E751">
        <v>1</v>
      </c>
      <c r="F751">
        <v>12</v>
      </c>
      <c r="G751">
        <v>2.92</v>
      </c>
      <c r="H751" t="s">
        <v>1208</v>
      </c>
      <c r="I751" t="s">
        <v>1407</v>
      </c>
      <c r="J751" t="s">
        <v>1414</v>
      </c>
      <c r="K751" t="s">
        <v>1426</v>
      </c>
    </row>
    <row r="752" spans="1:11" x14ac:dyDescent="0.25">
      <c r="A752" t="s">
        <v>2178</v>
      </c>
      <c r="B752" s="2">
        <v>45566</v>
      </c>
      <c r="C752" t="s">
        <v>622</v>
      </c>
      <c r="D752" t="s">
        <v>1015</v>
      </c>
      <c r="E752">
        <v>10</v>
      </c>
      <c r="F752">
        <v>10</v>
      </c>
      <c r="G752">
        <v>2.95</v>
      </c>
      <c r="H752" t="s">
        <v>1145</v>
      </c>
      <c r="I752" t="s">
        <v>1344</v>
      </c>
      <c r="J752" t="s">
        <v>1416</v>
      </c>
      <c r="K752" t="s">
        <v>1422</v>
      </c>
    </row>
    <row r="753" spans="1:11" x14ac:dyDescent="0.25">
      <c r="A753" t="s">
        <v>2179</v>
      </c>
      <c r="B753" s="2">
        <v>45566</v>
      </c>
      <c r="C753" t="s">
        <v>679</v>
      </c>
      <c r="D753" t="s">
        <v>1012</v>
      </c>
      <c r="E753">
        <v>10</v>
      </c>
      <c r="F753">
        <v>40</v>
      </c>
      <c r="G753">
        <v>15.92</v>
      </c>
      <c r="H753" t="s">
        <v>1186</v>
      </c>
      <c r="I753" t="s">
        <v>1385</v>
      </c>
      <c r="J753" t="s">
        <v>1414</v>
      </c>
      <c r="K753" t="s">
        <v>1423</v>
      </c>
    </row>
    <row r="754" spans="1:11" x14ac:dyDescent="0.25">
      <c r="A754" t="s">
        <v>2180</v>
      </c>
      <c r="B754" s="2">
        <v>45567</v>
      </c>
      <c r="C754" t="s">
        <v>54</v>
      </c>
      <c r="D754" t="s">
        <v>1011</v>
      </c>
      <c r="E754">
        <v>5</v>
      </c>
      <c r="F754">
        <v>12</v>
      </c>
      <c r="G754">
        <v>4.0199999999999996</v>
      </c>
      <c r="H754" t="s">
        <v>1021</v>
      </c>
      <c r="I754" t="s">
        <v>1220</v>
      </c>
      <c r="J754" t="s">
        <v>1415</v>
      </c>
      <c r="K754" t="s">
        <v>1424</v>
      </c>
    </row>
    <row r="755" spans="1:11" x14ac:dyDescent="0.25">
      <c r="A755" t="s">
        <v>2181</v>
      </c>
      <c r="B755" s="2">
        <v>45568</v>
      </c>
      <c r="C755" t="s">
        <v>151</v>
      </c>
      <c r="D755" t="s">
        <v>1015</v>
      </c>
      <c r="E755">
        <v>5</v>
      </c>
      <c r="F755">
        <v>10</v>
      </c>
      <c r="G755">
        <v>3.63</v>
      </c>
      <c r="H755" t="s">
        <v>1046</v>
      </c>
      <c r="I755" t="s">
        <v>1245</v>
      </c>
      <c r="J755" t="s">
        <v>1414</v>
      </c>
      <c r="K755" t="s">
        <v>1422</v>
      </c>
    </row>
    <row r="756" spans="1:11" x14ac:dyDescent="0.25">
      <c r="A756" t="s">
        <v>2182</v>
      </c>
      <c r="B756" s="2">
        <v>45568</v>
      </c>
      <c r="C756" t="s">
        <v>484</v>
      </c>
      <c r="D756" t="s">
        <v>1012</v>
      </c>
      <c r="E756">
        <v>10</v>
      </c>
      <c r="F756">
        <v>40</v>
      </c>
      <c r="G756">
        <v>9.3800000000000008</v>
      </c>
      <c r="H756" t="s">
        <v>1164</v>
      </c>
      <c r="I756" t="s">
        <v>1363</v>
      </c>
      <c r="J756" t="s">
        <v>1417</v>
      </c>
      <c r="K756" t="s">
        <v>1420</v>
      </c>
    </row>
    <row r="757" spans="1:11" x14ac:dyDescent="0.25">
      <c r="A757" t="s">
        <v>2183</v>
      </c>
      <c r="B757" s="2">
        <v>45568</v>
      </c>
      <c r="C757" t="s">
        <v>720</v>
      </c>
      <c r="D757" t="s">
        <v>1014</v>
      </c>
      <c r="E757">
        <v>9</v>
      </c>
      <c r="G757">
        <v>3.13</v>
      </c>
      <c r="H757" t="s">
        <v>1060</v>
      </c>
      <c r="I757" t="s">
        <v>1259</v>
      </c>
      <c r="J757" t="s">
        <v>1415</v>
      </c>
      <c r="K757" t="s">
        <v>1422</v>
      </c>
    </row>
    <row r="758" spans="1:11" x14ac:dyDescent="0.25">
      <c r="A758" t="s">
        <v>2184</v>
      </c>
      <c r="B758" s="2">
        <v>45569</v>
      </c>
      <c r="C758" t="s">
        <v>295</v>
      </c>
      <c r="D758" t="s">
        <v>1015</v>
      </c>
      <c r="E758">
        <v>6</v>
      </c>
      <c r="F758">
        <v>10</v>
      </c>
      <c r="G758">
        <v>2.29</v>
      </c>
      <c r="H758" t="s">
        <v>1117</v>
      </c>
      <c r="I758" t="s">
        <v>1316</v>
      </c>
      <c r="J758" t="s">
        <v>1414</v>
      </c>
      <c r="K758" t="s">
        <v>1423</v>
      </c>
    </row>
    <row r="759" spans="1:11" x14ac:dyDescent="0.25">
      <c r="A759" t="s">
        <v>2185</v>
      </c>
      <c r="B759" s="2">
        <v>45569</v>
      </c>
      <c r="C759" t="s">
        <v>406</v>
      </c>
      <c r="D759" t="s">
        <v>1014</v>
      </c>
      <c r="E759">
        <v>3</v>
      </c>
      <c r="F759">
        <v>15</v>
      </c>
      <c r="G759">
        <v>5.75</v>
      </c>
      <c r="H759" t="s">
        <v>1084</v>
      </c>
      <c r="I759" t="s">
        <v>1283</v>
      </c>
      <c r="J759" t="s">
        <v>1414</v>
      </c>
      <c r="K759" t="s">
        <v>1427</v>
      </c>
    </row>
    <row r="760" spans="1:11" x14ac:dyDescent="0.25">
      <c r="A760" t="s">
        <v>2186</v>
      </c>
      <c r="B760" s="2">
        <v>45569</v>
      </c>
      <c r="C760" t="s">
        <v>881</v>
      </c>
      <c r="D760" t="s">
        <v>1011</v>
      </c>
      <c r="E760">
        <v>1</v>
      </c>
      <c r="F760">
        <v>12</v>
      </c>
      <c r="G760">
        <v>3.85</v>
      </c>
      <c r="H760" t="s">
        <v>1074</v>
      </c>
      <c r="I760" t="s">
        <v>1273</v>
      </c>
      <c r="J760" t="s">
        <v>1414</v>
      </c>
      <c r="K760" t="s">
        <v>1425</v>
      </c>
    </row>
    <row r="761" spans="1:11" x14ac:dyDescent="0.25">
      <c r="A761" t="s">
        <v>2187</v>
      </c>
      <c r="B761" s="2">
        <v>45570</v>
      </c>
      <c r="C761" t="s">
        <v>527</v>
      </c>
      <c r="D761" t="s">
        <v>1012</v>
      </c>
      <c r="E761">
        <v>7</v>
      </c>
      <c r="F761">
        <v>40</v>
      </c>
      <c r="G761">
        <v>10.52</v>
      </c>
      <c r="H761" t="s">
        <v>1095</v>
      </c>
      <c r="I761" t="s">
        <v>1294</v>
      </c>
      <c r="J761" t="s">
        <v>1414</v>
      </c>
      <c r="K761" t="s">
        <v>1427</v>
      </c>
    </row>
    <row r="762" spans="1:11" x14ac:dyDescent="0.25">
      <c r="A762" t="s">
        <v>2188</v>
      </c>
      <c r="B762" s="2">
        <v>45570</v>
      </c>
      <c r="C762" t="s">
        <v>860</v>
      </c>
      <c r="D762" t="s">
        <v>1015</v>
      </c>
      <c r="E762">
        <v>1</v>
      </c>
      <c r="F762">
        <v>10</v>
      </c>
      <c r="G762">
        <v>3.77</v>
      </c>
      <c r="H762" t="s">
        <v>1128</v>
      </c>
      <c r="I762" t="s">
        <v>1327</v>
      </c>
      <c r="J762" t="s">
        <v>1414</v>
      </c>
      <c r="K762" t="s">
        <v>1420</v>
      </c>
    </row>
    <row r="763" spans="1:11" x14ac:dyDescent="0.25">
      <c r="A763" t="s">
        <v>2189</v>
      </c>
      <c r="B763" s="2">
        <v>45571</v>
      </c>
      <c r="C763" t="s">
        <v>338</v>
      </c>
      <c r="D763" t="s">
        <v>1013</v>
      </c>
      <c r="E763">
        <v>8</v>
      </c>
      <c r="F763">
        <v>25</v>
      </c>
      <c r="G763">
        <v>8.85</v>
      </c>
      <c r="H763" t="s">
        <v>1065</v>
      </c>
      <c r="I763" t="s">
        <v>1264</v>
      </c>
      <c r="J763" t="s">
        <v>1414</v>
      </c>
      <c r="K763" t="s">
        <v>1427</v>
      </c>
    </row>
    <row r="764" spans="1:11" x14ac:dyDescent="0.25">
      <c r="A764" t="s">
        <v>2190</v>
      </c>
      <c r="B764" s="2">
        <v>45571</v>
      </c>
      <c r="C764" t="s">
        <v>573</v>
      </c>
      <c r="D764" t="s">
        <v>1013</v>
      </c>
      <c r="E764">
        <v>2</v>
      </c>
      <c r="G764">
        <v>8.5399999999999991</v>
      </c>
      <c r="H764" t="s">
        <v>1098</v>
      </c>
      <c r="I764" t="s">
        <v>1297</v>
      </c>
      <c r="J764" t="s">
        <v>1414</v>
      </c>
      <c r="K764" t="s">
        <v>1425</v>
      </c>
    </row>
    <row r="765" spans="1:11" x14ac:dyDescent="0.25">
      <c r="A765" t="s">
        <v>2191</v>
      </c>
      <c r="B765" s="2">
        <v>45572</v>
      </c>
      <c r="C765" t="s">
        <v>60</v>
      </c>
      <c r="D765" t="s">
        <v>1014</v>
      </c>
      <c r="E765">
        <v>10</v>
      </c>
      <c r="F765">
        <v>15</v>
      </c>
      <c r="G765">
        <v>4.92</v>
      </c>
      <c r="H765" t="s">
        <v>1058</v>
      </c>
      <c r="I765" t="s">
        <v>1257</v>
      </c>
      <c r="J765" t="s">
        <v>1414</v>
      </c>
      <c r="K765" t="s">
        <v>1421</v>
      </c>
    </row>
    <row r="766" spans="1:11" x14ac:dyDescent="0.25">
      <c r="A766" t="s">
        <v>2192</v>
      </c>
      <c r="B766" s="2">
        <v>45573</v>
      </c>
      <c r="C766" t="s">
        <v>322</v>
      </c>
      <c r="D766" t="s">
        <v>1012</v>
      </c>
      <c r="E766">
        <v>8</v>
      </c>
      <c r="F766">
        <v>40</v>
      </c>
      <c r="G766">
        <v>15.87</v>
      </c>
      <c r="H766" t="s">
        <v>1172</v>
      </c>
      <c r="I766" t="s">
        <v>1371</v>
      </c>
      <c r="J766" t="s">
        <v>1417</v>
      </c>
      <c r="K766" t="s">
        <v>1418</v>
      </c>
    </row>
    <row r="767" spans="1:11" x14ac:dyDescent="0.25">
      <c r="A767" t="s">
        <v>2193</v>
      </c>
      <c r="B767" s="2">
        <v>45573</v>
      </c>
      <c r="C767" t="s">
        <v>388</v>
      </c>
      <c r="D767" t="s">
        <v>1011</v>
      </c>
      <c r="E767">
        <v>8</v>
      </c>
      <c r="F767">
        <v>12</v>
      </c>
      <c r="G767">
        <v>2.44</v>
      </c>
      <c r="H767" t="s">
        <v>1113</v>
      </c>
      <c r="I767" t="s">
        <v>1312</v>
      </c>
      <c r="J767" t="s">
        <v>1414</v>
      </c>
      <c r="K767" t="s">
        <v>1424</v>
      </c>
    </row>
    <row r="768" spans="1:11" x14ac:dyDescent="0.25">
      <c r="A768" t="s">
        <v>2194</v>
      </c>
      <c r="B768" s="2">
        <v>45573</v>
      </c>
      <c r="C768" t="s">
        <v>606</v>
      </c>
      <c r="D768" t="s">
        <v>1014</v>
      </c>
      <c r="E768">
        <v>7</v>
      </c>
      <c r="F768">
        <v>15</v>
      </c>
      <c r="G768">
        <v>3.55</v>
      </c>
      <c r="H768" t="s">
        <v>1053</v>
      </c>
      <c r="I768" t="s">
        <v>1252</v>
      </c>
      <c r="J768" t="s">
        <v>1414</v>
      </c>
      <c r="K768" t="s">
        <v>1419</v>
      </c>
    </row>
    <row r="769" spans="1:11" x14ac:dyDescent="0.25">
      <c r="A769" t="s">
        <v>2195</v>
      </c>
      <c r="B769" s="2">
        <v>45573</v>
      </c>
      <c r="C769" t="s">
        <v>785</v>
      </c>
      <c r="D769" t="s">
        <v>1015</v>
      </c>
      <c r="E769">
        <v>1</v>
      </c>
      <c r="F769">
        <v>10</v>
      </c>
      <c r="G769">
        <v>3.51</v>
      </c>
      <c r="H769" t="s">
        <v>1084</v>
      </c>
      <c r="I769" t="s">
        <v>1283</v>
      </c>
      <c r="J769" t="s">
        <v>1414</v>
      </c>
      <c r="K769" t="s">
        <v>1424</v>
      </c>
    </row>
    <row r="770" spans="1:11" x14ac:dyDescent="0.25">
      <c r="A770" t="s">
        <v>2196</v>
      </c>
      <c r="B770" s="2">
        <v>45574</v>
      </c>
      <c r="C770" t="s">
        <v>877</v>
      </c>
      <c r="D770" t="s">
        <v>1013</v>
      </c>
      <c r="E770">
        <v>3</v>
      </c>
      <c r="F770">
        <v>25</v>
      </c>
      <c r="G770">
        <v>8.26</v>
      </c>
      <c r="H770" t="s">
        <v>1067</v>
      </c>
      <c r="I770" t="s">
        <v>1266</v>
      </c>
      <c r="J770" t="s">
        <v>1414</v>
      </c>
      <c r="K770" t="s">
        <v>1424</v>
      </c>
    </row>
    <row r="771" spans="1:11" x14ac:dyDescent="0.25">
      <c r="A771" t="s">
        <v>2197</v>
      </c>
      <c r="B771" s="2">
        <v>45575</v>
      </c>
      <c r="C771" t="s">
        <v>67</v>
      </c>
      <c r="D771" t="s">
        <v>1013</v>
      </c>
      <c r="E771">
        <v>10</v>
      </c>
      <c r="F771">
        <v>25</v>
      </c>
      <c r="G771">
        <v>7.05</v>
      </c>
      <c r="H771" t="s">
        <v>1062</v>
      </c>
      <c r="I771" t="s">
        <v>1261</v>
      </c>
      <c r="J771" t="s">
        <v>1416</v>
      </c>
      <c r="K771" t="s">
        <v>1418</v>
      </c>
    </row>
    <row r="772" spans="1:11" x14ac:dyDescent="0.25">
      <c r="A772" t="s">
        <v>2198</v>
      </c>
      <c r="B772" s="2">
        <v>45575</v>
      </c>
      <c r="C772" t="s">
        <v>118</v>
      </c>
      <c r="D772" t="s">
        <v>1012</v>
      </c>
      <c r="E772">
        <v>4</v>
      </c>
      <c r="G772">
        <v>14.12</v>
      </c>
      <c r="H772" t="s">
        <v>1098</v>
      </c>
      <c r="I772" t="s">
        <v>1297</v>
      </c>
      <c r="J772" t="s">
        <v>1417</v>
      </c>
      <c r="K772" t="s">
        <v>1423</v>
      </c>
    </row>
    <row r="773" spans="1:11" x14ac:dyDescent="0.25">
      <c r="A773" t="s">
        <v>2199</v>
      </c>
      <c r="B773" s="2">
        <v>45576</v>
      </c>
      <c r="C773" t="s">
        <v>299</v>
      </c>
      <c r="D773" t="s">
        <v>1012</v>
      </c>
      <c r="E773">
        <v>7</v>
      </c>
      <c r="F773">
        <v>40</v>
      </c>
      <c r="G773">
        <v>10.23</v>
      </c>
      <c r="H773" t="s">
        <v>1065</v>
      </c>
      <c r="I773" t="s">
        <v>1264</v>
      </c>
      <c r="J773" t="s">
        <v>1414</v>
      </c>
      <c r="K773" t="s">
        <v>1423</v>
      </c>
    </row>
    <row r="774" spans="1:11" x14ac:dyDescent="0.25">
      <c r="A774" t="s">
        <v>2200</v>
      </c>
      <c r="B774" s="2">
        <v>45576</v>
      </c>
      <c r="C774" t="s">
        <v>882</v>
      </c>
      <c r="D774" t="s">
        <v>1014</v>
      </c>
      <c r="E774">
        <v>5</v>
      </c>
      <c r="F774">
        <v>15</v>
      </c>
      <c r="G774">
        <v>5.01</v>
      </c>
      <c r="H774" t="s">
        <v>1090</v>
      </c>
      <c r="I774" t="s">
        <v>1289</v>
      </c>
      <c r="J774" t="s">
        <v>1417</v>
      </c>
      <c r="K774" t="s">
        <v>1423</v>
      </c>
    </row>
    <row r="775" spans="1:11" x14ac:dyDescent="0.25">
      <c r="A775" t="s">
        <v>2201</v>
      </c>
      <c r="B775" s="2">
        <v>45577</v>
      </c>
      <c r="C775" t="s">
        <v>485</v>
      </c>
      <c r="D775" t="s">
        <v>1013</v>
      </c>
      <c r="E775">
        <v>9</v>
      </c>
      <c r="F775">
        <v>25</v>
      </c>
      <c r="G775">
        <v>7.98</v>
      </c>
      <c r="H775" t="s">
        <v>1200</v>
      </c>
      <c r="I775" t="s">
        <v>1399</v>
      </c>
      <c r="J775" t="s">
        <v>1414</v>
      </c>
      <c r="K775" t="s">
        <v>1426</v>
      </c>
    </row>
    <row r="776" spans="1:11" x14ac:dyDescent="0.25">
      <c r="A776" t="s">
        <v>2202</v>
      </c>
      <c r="B776" s="2">
        <v>45577</v>
      </c>
      <c r="C776" t="s">
        <v>589</v>
      </c>
      <c r="D776" t="s">
        <v>1012</v>
      </c>
      <c r="E776">
        <v>7</v>
      </c>
      <c r="F776">
        <v>40</v>
      </c>
      <c r="G776">
        <v>14.85</v>
      </c>
      <c r="H776" t="s">
        <v>1134</v>
      </c>
      <c r="I776" t="s">
        <v>1333</v>
      </c>
      <c r="J776" t="s">
        <v>1417</v>
      </c>
      <c r="K776" t="s">
        <v>1420</v>
      </c>
    </row>
    <row r="777" spans="1:11" x14ac:dyDescent="0.25">
      <c r="A777" t="s">
        <v>2203</v>
      </c>
      <c r="B777" s="2">
        <v>45577</v>
      </c>
      <c r="C777" t="s">
        <v>733</v>
      </c>
      <c r="D777" t="s">
        <v>1011</v>
      </c>
      <c r="E777">
        <v>7</v>
      </c>
      <c r="F777">
        <v>12</v>
      </c>
      <c r="G777">
        <v>4.57</v>
      </c>
      <c r="H777" t="s">
        <v>1150</v>
      </c>
      <c r="I777" t="s">
        <v>1349</v>
      </c>
      <c r="J777" t="s">
        <v>1414</v>
      </c>
      <c r="K777" t="s">
        <v>1423</v>
      </c>
    </row>
    <row r="778" spans="1:11" x14ac:dyDescent="0.25">
      <c r="A778" t="s">
        <v>2204</v>
      </c>
      <c r="B778" s="2">
        <v>45578</v>
      </c>
      <c r="C778" t="s">
        <v>35</v>
      </c>
      <c r="D778" t="s">
        <v>1011</v>
      </c>
      <c r="E778">
        <v>7</v>
      </c>
      <c r="F778">
        <v>12</v>
      </c>
      <c r="G778">
        <v>4.38</v>
      </c>
      <c r="H778" t="s">
        <v>1037</v>
      </c>
      <c r="I778" t="s">
        <v>1236</v>
      </c>
      <c r="J778" t="s">
        <v>1414</v>
      </c>
      <c r="K778" t="s">
        <v>1423</v>
      </c>
    </row>
    <row r="779" spans="1:11" x14ac:dyDescent="0.25">
      <c r="A779" t="s">
        <v>2205</v>
      </c>
      <c r="B779" s="2">
        <v>45578</v>
      </c>
      <c r="C779" t="s">
        <v>164</v>
      </c>
      <c r="D779" t="s">
        <v>1014</v>
      </c>
      <c r="E779">
        <v>10</v>
      </c>
      <c r="F779">
        <v>15</v>
      </c>
      <c r="G779">
        <v>3.73</v>
      </c>
      <c r="H779" t="s">
        <v>1035</v>
      </c>
      <c r="I779" t="s">
        <v>1234</v>
      </c>
      <c r="J779" t="s">
        <v>1415</v>
      </c>
      <c r="K779" t="s">
        <v>1425</v>
      </c>
    </row>
    <row r="780" spans="1:11" x14ac:dyDescent="0.25">
      <c r="A780" t="s">
        <v>2206</v>
      </c>
      <c r="B780" s="2">
        <v>45578</v>
      </c>
      <c r="C780" t="s">
        <v>368</v>
      </c>
      <c r="D780" t="s">
        <v>1012</v>
      </c>
      <c r="E780">
        <v>6</v>
      </c>
      <c r="F780">
        <v>40</v>
      </c>
      <c r="G780">
        <v>10.78</v>
      </c>
      <c r="H780" t="s">
        <v>1081</v>
      </c>
      <c r="I780" t="s">
        <v>1280</v>
      </c>
      <c r="J780" t="s">
        <v>1416</v>
      </c>
      <c r="K780" t="s">
        <v>1426</v>
      </c>
    </row>
    <row r="781" spans="1:11" x14ac:dyDescent="0.25">
      <c r="A781" t="s">
        <v>2207</v>
      </c>
      <c r="B781" s="2">
        <v>45578</v>
      </c>
      <c r="C781" t="s">
        <v>376</v>
      </c>
      <c r="D781" t="s">
        <v>1014</v>
      </c>
      <c r="E781">
        <v>9</v>
      </c>
      <c r="F781">
        <v>15</v>
      </c>
      <c r="G781">
        <v>4.62</v>
      </c>
      <c r="H781" t="s">
        <v>1063</v>
      </c>
      <c r="I781" t="s">
        <v>1262</v>
      </c>
      <c r="J781" t="s">
        <v>1416</v>
      </c>
      <c r="K781" t="s">
        <v>1424</v>
      </c>
    </row>
    <row r="782" spans="1:11" x14ac:dyDescent="0.25">
      <c r="A782" t="s">
        <v>2208</v>
      </c>
      <c r="B782" s="2">
        <v>45578</v>
      </c>
      <c r="C782" t="s">
        <v>820</v>
      </c>
      <c r="D782" t="s">
        <v>1012</v>
      </c>
      <c r="E782">
        <v>10</v>
      </c>
      <c r="F782">
        <v>40</v>
      </c>
      <c r="G782">
        <v>10.4</v>
      </c>
      <c r="H782" t="s">
        <v>1030</v>
      </c>
      <c r="I782" t="s">
        <v>1229</v>
      </c>
      <c r="J782" t="s">
        <v>1415</v>
      </c>
      <c r="K782" t="s">
        <v>1419</v>
      </c>
    </row>
    <row r="783" spans="1:11" x14ac:dyDescent="0.25">
      <c r="A783" t="s">
        <v>2209</v>
      </c>
      <c r="B783" s="2">
        <v>45579</v>
      </c>
      <c r="C783" t="s">
        <v>328</v>
      </c>
      <c r="D783" t="s">
        <v>1011</v>
      </c>
      <c r="E783">
        <v>6</v>
      </c>
      <c r="F783">
        <v>12</v>
      </c>
      <c r="G783">
        <v>4.6100000000000003</v>
      </c>
      <c r="H783" t="s">
        <v>1041</v>
      </c>
      <c r="I783" t="s">
        <v>1240</v>
      </c>
      <c r="J783" t="s">
        <v>1414</v>
      </c>
      <c r="K783" t="s">
        <v>1425</v>
      </c>
    </row>
    <row r="784" spans="1:11" x14ac:dyDescent="0.25">
      <c r="A784" t="s">
        <v>2210</v>
      </c>
      <c r="B784" s="2">
        <v>45580</v>
      </c>
      <c r="C784" t="s">
        <v>420</v>
      </c>
      <c r="D784" t="s">
        <v>1014</v>
      </c>
      <c r="E784">
        <v>5</v>
      </c>
      <c r="F784">
        <v>15</v>
      </c>
      <c r="G784">
        <v>5.78</v>
      </c>
      <c r="H784" t="s">
        <v>1189</v>
      </c>
      <c r="I784" t="s">
        <v>1388</v>
      </c>
      <c r="J784" t="s">
        <v>1416</v>
      </c>
      <c r="K784" t="s">
        <v>1418</v>
      </c>
    </row>
    <row r="785" spans="1:11" x14ac:dyDescent="0.25">
      <c r="A785" t="s">
        <v>2211</v>
      </c>
      <c r="B785" s="2">
        <v>45580</v>
      </c>
      <c r="C785" t="s">
        <v>799</v>
      </c>
      <c r="D785" t="s">
        <v>1013</v>
      </c>
      <c r="E785">
        <v>6</v>
      </c>
      <c r="F785">
        <v>25</v>
      </c>
      <c r="G785">
        <v>7.31</v>
      </c>
      <c r="H785" t="s">
        <v>1123</v>
      </c>
      <c r="I785" t="s">
        <v>1322</v>
      </c>
      <c r="J785" t="s">
        <v>1414</v>
      </c>
      <c r="K785" t="s">
        <v>1420</v>
      </c>
    </row>
    <row r="786" spans="1:11" x14ac:dyDescent="0.25">
      <c r="A786" t="s">
        <v>2212</v>
      </c>
      <c r="B786" s="2">
        <v>45580</v>
      </c>
      <c r="C786" t="s">
        <v>911</v>
      </c>
      <c r="D786" t="s">
        <v>1013</v>
      </c>
      <c r="E786">
        <v>4</v>
      </c>
      <c r="F786">
        <v>25</v>
      </c>
      <c r="G786">
        <v>5.44</v>
      </c>
      <c r="H786" t="s">
        <v>1214</v>
      </c>
      <c r="I786" t="s">
        <v>1413</v>
      </c>
      <c r="J786" t="s">
        <v>1414</v>
      </c>
      <c r="K786" t="s">
        <v>1423</v>
      </c>
    </row>
    <row r="787" spans="1:11" x14ac:dyDescent="0.25">
      <c r="A787" t="s">
        <v>2213</v>
      </c>
      <c r="B787" s="2">
        <v>45581</v>
      </c>
      <c r="C787" t="s">
        <v>250</v>
      </c>
      <c r="D787" t="s">
        <v>1012</v>
      </c>
      <c r="E787">
        <v>1</v>
      </c>
      <c r="F787">
        <v>40</v>
      </c>
      <c r="G787">
        <v>15.04</v>
      </c>
      <c r="H787" t="s">
        <v>1158</v>
      </c>
      <c r="I787" t="s">
        <v>1357</v>
      </c>
      <c r="J787" t="s">
        <v>1416</v>
      </c>
      <c r="K787" t="s">
        <v>1419</v>
      </c>
    </row>
    <row r="788" spans="1:11" x14ac:dyDescent="0.25">
      <c r="A788" t="s">
        <v>2214</v>
      </c>
      <c r="B788" s="2">
        <v>45581</v>
      </c>
      <c r="C788" t="s">
        <v>696</v>
      </c>
      <c r="D788" t="s">
        <v>1014</v>
      </c>
      <c r="E788">
        <v>9</v>
      </c>
      <c r="F788">
        <v>15</v>
      </c>
      <c r="G788">
        <v>4.9000000000000004</v>
      </c>
      <c r="H788" t="s">
        <v>1147</v>
      </c>
      <c r="I788" t="s">
        <v>1346</v>
      </c>
      <c r="J788" t="s">
        <v>1416</v>
      </c>
      <c r="K788" t="s">
        <v>1426</v>
      </c>
    </row>
    <row r="789" spans="1:11" x14ac:dyDescent="0.25">
      <c r="A789" t="s">
        <v>2215</v>
      </c>
      <c r="B789" s="2">
        <v>45581</v>
      </c>
      <c r="C789" t="s">
        <v>931</v>
      </c>
      <c r="D789" t="s">
        <v>1012</v>
      </c>
      <c r="E789">
        <v>6</v>
      </c>
      <c r="F789">
        <v>40</v>
      </c>
      <c r="G789">
        <v>11.76</v>
      </c>
      <c r="H789" t="s">
        <v>1164</v>
      </c>
      <c r="I789" t="s">
        <v>1363</v>
      </c>
      <c r="J789" t="s">
        <v>1414</v>
      </c>
      <c r="K789" t="s">
        <v>1427</v>
      </c>
    </row>
    <row r="790" spans="1:11" x14ac:dyDescent="0.25">
      <c r="A790" t="s">
        <v>2216</v>
      </c>
      <c r="B790" s="2">
        <v>45581</v>
      </c>
      <c r="C790" t="s">
        <v>950</v>
      </c>
      <c r="D790" t="s">
        <v>1011</v>
      </c>
      <c r="E790">
        <v>5</v>
      </c>
      <c r="F790">
        <v>12</v>
      </c>
      <c r="G790">
        <v>4.68</v>
      </c>
      <c r="H790" t="s">
        <v>1144</v>
      </c>
      <c r="I790" t="s">
        <v>1343</v>
      </c>
      <c r="J790" t="s">
        <v>1416</v>
      </c>
      <c r="K790" t="s">
        <v>1426</v>
      </c>
    </row>
    <row r="791" spans="1:11" x14ac:dyDescent="0.25">
      <c r="A791" t="s">
        <v>2217</v>
      </c>
      <c r="B791" s="2">
        <v>45582</v>
      </c>
      <c r="C791" t="s">
        <v>58</v>
      </c>
      <c r="D791" t="s">
        <v>1014</v>
      </c>
      <c r="E791">
        <v>7</v>
      </c>
      <c r="F791">
        <v>15</v>
      </c>
      <c r="G791">
        <v>4.3899999999999997</v>
      </c>
      <c r="H791" t="s">
        <v>1056</v>
      </c>
      <c r="I791" t="s">
        <v>1255</v>
      </c>
      <c r="J791" t="s">
        <v>1414</v>
      </c>
      <c r="K791" t="s">
        <v>1421</v>
      </c>
    </row>
    <row r="792" spans="1:11" x14ac:dyDescent="0.25">
      <c r="A792" t="s">
        <v>2218</v>
      </c>
      <c r="B792" s="2">
        <v>45582</v>
      </c>
      <c r="C792" t="s">
        <v>78</v>
      </c>
      <c r="D792" t="s">
        <v>1011</v>
      </c>
      <c r="E792">
        <v>7</v>
      </c>
      <c r="F792">
        <v>12</v>
      </c>
      <c r="G792">
        <v>4.01</v>
      </c>
      <c r="H792" t="s">
        <v>1047</v>
      </c>
      <c r="I792" t="s">
        <v>1246</v>
      </c>
      <c r="J792" t="s">
        <v>1414</v>
      </c>
      <c r="K792" t="s">
        <v>1423</v>
      </c>
    </row>
    <row r="793" spans="1:11" x14ac:dyDescent="0.25">
      <c r="A793" t="s">
        <v>2219</v>
      </c>
      <c r="B793" s="2">
        <v>45582</v>
      </c>
      <c r="C793" t="s">
        <v>260</v>
      </c>
      <c r="D793" t="s">
        <v>1014</v>
      </c>
      <c r="E793">
        <v>6</v>
      </c>
      <c r="F793">
        <v>15</v>
      </c>
      <c r="G793">
        <v>3.88</v>
      </c>
      <c r="H793" t="s">
        <v>1082</v>
      </c>
      <c r="I793" t="s">
        <v>1281</v>
      </c>
      <c r="J793" t="s">
        <v>1416</v>
      </c>
      <c r="K793" t="s">
        <v>1425</v>
      </c>
    </row>
    <row r="794" spans="1:11" x14ac:dyDescent="0.25">
      <c r="A794" t="s">
        <v>2220</v>
      </c>
      <c r="B794" s="2">
        <v>45582</v>
      </c>
      <c r="C794" t="s">
        <v>347</v>
      </c>
      <c r="D794" t="s">
        <v>1013</v>
      </c>
      <c r="E794">
        <v>6</v>
      </c>
      <c r="F794">
        <v>25</v>
      </c>
      <c r="G794">
        <v>6.57</v>
      </c>
      <c r="H794" t="s">
        <v>1085</v>
      </c>
      <c r="I794" t="s">
        <v>1284</v>
      </c>
      <c r="J794" t="s">
        <v>1416</v>
      </c>
      <c r="K794" t="s">
        <v>1424</v>
      </c>
    </row>
    <row r="795" spans="1:11" x14ac:dyDescent="0.25">
      <c r="A795" t="s">
        <v>2221</v>
      </c>
      <c r="B795" s="2">
        <v>45582</v>
      </c>
      <c r="C795" t="s">
        <v>365</v>
      </c>
      <c r="D795" t="s">
        <v>1015</v>
      </c>
      <c r="E795">
        <v>7</v>
      </c>
      <c r="F795">
        <v>10</v>
      </c>
      <c r="G795">
        <v>3.92</v>
      </c>
      <c r="H795" t="s">
        <v>1057</v>
      </c>
      <c r="I795" t="s">
        <v>1256</v>
      </c>
      <c r="J795" t="s">
        <v>1415</v>
      </c>
      <c r="K795" t="s">
        <v>1419</v>
      </c>
    </row>
    <row r="796" spans="1:11" x14ac:dyDescent="0.25">
      <c r="A796" t="s">
        <v>2222</v>
      </c>
      <c r="B796" s="2">
        <v>45582</v>
      </c>
      <c r="C796" t="s">
        <v>394</v>
      </c>
      <c r="D796" t="s">
        <v>1015</v>
      </c>
      <c r="E796">
        <v>4</v>
      </c>
      <c r="F796">
        <v>10</v>
      </c>
      <c r="G796">
        <v>2.33</v>
      </c>
      <c r="H796" t="s">
        <v>1165</v>
      </c>
      <c r="I796" t="s">
        <v>1364</v>
      </c>
      <c r="J796" t="s">
        <v>1414</v>
      </c>
      <c r="K796" t="s">
        <v>1420</v>
      </c>
    </row>
    <row r="797" spans="1:11" x14ac:dyDescent="0.25">
      <c r="A797" t="s">
        <v>2223</v>
      </c>
      <c r="B797" s="2">
        <v>45582</v>
      </c>
      <c r="C797" t="s">
        <v>412</v>
      </c>
      <c r="D797" t="s">
        <v>1015</v>
      </c>
      <c r="E797">
        <v>2</v>
      </c>
      <c r="F797">
        <v>10</v>
      </c>
      <c r="G797">
        <v>3.79</v>
      </c>
      <c r="H797" t="s">
        <v>1187</v>
      </c>
      <c r="I797" t="s">
        <v>1386</v>
      </c>
      <c r="J797" t="s">
        <v>1414</v>
      </c>
      <c r="K797" t="s">
        <v>1427</v>
      </c>
    </row>
    <row r="798" spans="1:11" x14ac:dyDescent="0.25">
      <c r="A798" t="s">
        <v>2224</v>
      </c>
      <c r="B798" s="2">
        <v>45583</v>
      </c>
      <c r="C798" t="s">
        <v>530</v>
      </c>
      <c r="D798" t="s">
        <v>1011</v>
      </c>
      <c r="E798">
        <v>4</v>
      </c>
      <c r="F798">
        <v>12</v>
      </c>
      <c r="G798">
        <v>4.72</v>
      </c>
      <c r="H798" t="s">
        <v>1048</v>
      </c>
      <c r="I798" t="s">
        <v>1247</v>
      </c>
      <c r="J798" t="s">
        <v>1414</v>
      </c>
      <c r="K798" t="s">
        <v>1424</v>
      </c>
    </row>
    <row r="799" spans="1:11" x14ac:dyDescent="0.25">
      <c r="A799" t="s">
        <v>2225</v>
      </c>
      <c r="B799" s="2">
        <v>45583</v>
      </c>
      <c r="C799" t="s">
        <v>970</v>
      </c>
      <c r="D799" t="s">
        <v>1014</v>
      </c>
      <c r="E799">
        <v>1</v>
      </c>
      <c r="F799">
        <v>15</v>
      </c>
      <c r="G799">
        <v>4.58</v>
      </c>
      <c r="H799" t="s">
        <v>1048</v>
      </c>
      <c r="I799" t="s">
        <v>1247</v>
      </c>
      <c r="J799" t="s">
        <v>1414</v>
      </c>
      <c r="K799" t="s">
        <v>1425</v>
      </c>
    </row>
    <row r="800" spans="1:11" x14ac:dyDescent="0.25">
      <c r="A800" t="s">
        <v>2226</v>
      </c>
      <c r="B800" s="2">
        <v>45584</v>
      </c>
      <c r="C800" t="s">
        <v>196</v>
      </c>
      <c r="D800" t="s">
        <v>1013</v>
      </c>
      <c r="E800">
        <v>3</v>
      </c>
      <c r="F800">
        <v>25</v>
      </c>
      <c r="G800">
        <v>8.26</v>
      </c>
      <c r="H800" t="s">
        <v>1020</v>
      </c>
      <c r="I800" t="s">
        <v>1219</v>
      </c>
      <c r="J800" t="s">
        <v>1414</v>
      </c>
      <c r="K800" t="s">
        <v>1427</v>
      </c>
    </row>
    <row r="801" spans="1:11" x14ac:dyDescent="0.25">
      <c r="A801" t="s">
        <v>2227</v>
      </c>
      <c r="B801" s="2">
        <v>45584</v>
      </c>
      <c r="C801" t="s">
        <v>285</v>
      </c>
      <c r="D801" t="s">
        <v>1014</v>
      </c>
      <c r="E801">
        <v>9</v>
      </c>
      <c r="G801">
        <v>4.99</v>
      </c>
      <c r="H801" t="s">
        <v>1096</v>
      </c>
      <c r="I801" t="s">
        <v>1295</v>
      </c>
      <c r="J801" t="s">
        <v>1414</v>
      </c>
      <c r="K801" t="s">
        <v>1427</v>
      </c>
    </row>
    <row r="802" spans="1:11" x14ac:dyDescent="0.25">
      <c r="A802" t="s">
        <v>2228</v>
      </c>
      <c r="B802" s="2">
        <v>45584</v>
      </c>
      <c r="C802" t="s">
        <v>468</v>
      </c>
      <c r="D802" t="s">
        <v>1011</v>
      </c>
      <c r="E802">
        <v>9</v>
      </c>
      <c r="F802">
        <v>12</v>
      </c>
      <c r="G802">
        <v>4.3499999999999996</v>
      </c>
      <c r="H802" t="s">
        <v>1197</v>
      </c>
      <c r="I802" t="s">
        <v>1396</v>
      </c>
      <c r="J802" t="s">
        <v>1414</v>
      </c>
      <c r="K802" t="s">
        <v>1422</v>
      </c>
    </row>
    <row r="803" spans="1:11" x14ac:dyDescent="0.25">
      <c r="A803" t="s">
        <v>2229</v>
      </c>
      <c r="B803" s="2">
        <v>45584</v>
      </c>
      <c r="C803" t="s">
        <v>477</v>
      </c>
      <c r="D803" t="s">
        <v>1012</v>
      </c>
      <c r="E803">
        <v>1</v>
      </c>
      <c r="F803">
        <v>40</v>
      </c>
      <c r="G803">
        <v>13.06</v>
      </c>
      <c r="H803" t="s">
        <v>1101</v>
      </c>
      <c r="I803" t="s">
        <v>1300</v>
      </c>
      <c r="J803" t="s">
        <v>1414</v>
      </c>
      <c r="K803" t="s">
        <v>1419</v>
      </c>
    </row>
    <row r="804" spans="1:11" x14ac:dyDescent="0.25">
      <c r="A804" t="s">
        <v>2230</v>
      </c>
      <c r="B804" s="2">
        <v>45584</v>
      </c>
      <c r="C804" t="s">
        <v>502</v>
      </c>
      <c r="D804" t="s">
        <v>1014</v>
      </c>
      <c r="E804">
        <v>10</v>
      </c>
      <c r="F804">
        <v>15</v>
      </c>
      <c r="G804">
        <v>5.31</v>
      </c>
      <c r="H804" t="s">
        <v>1203</v>
      </c>
      <c r="I804" t="s">
        <v>1402</v>
      </c>
      <c r="J804" t="s">
        <v>1416</v>
      </c>
      <c r="K804" t="s">
        <v>1427</v>
      </c>
    </row>
    <row r="805" spans="1:11" x14ac:dyDescent="0.25">
      <c r="A805" t="s">
        <v>2231</v>
      </c>
      <c r="B805" s="2">
        <v>45584</v>
      </c>
      <c r="C805" t="s">
        <v>652</v>
      </c>
      <c r="D805" t="s">
        <v>1014</v>
      </c>
      <c r="E805">
        <v>5</v>
      </c>
      <c r="F805">
        <v>15</v>
      </c>
      <c r="G805">
        <v>4.21</v>
      </c>
      <c r="H805" t="s">
        <v>1027</v>
      </c>
      <c r="I805" t="s">
        <v>1226</v>
      </c>
      <c r="J805" t="s">
        <v>1414</v>
      </c>
      <c r="K805" t="s">
        <v>1422</v>
      </c>
    </row>
    <row r="806" spans="1:11" x14ac:dyDescent="0.25">
      <c r="A806" t="s">
        <v>2232</v>
      </c>
      <c r="B806" s="2">
        <v>45584</v>
      </c>
      <c r="C806" t="s">
        <v>704</v>
      </c>
      <c r="D806" t="s">
        <v>1015</v>
      </c>
      <c r="E806">
        <v>6</v>
      </c>
      <c r="F806">
        <v>10</v>
      </c>
      <c r="G806">
        <v>2.83</v>
      </c>
      <c r="H806" t="s">
        <v>1036</v>
      </c>
      <c r="I806" t="s">
        <v>1235</v>
      </c>
      <c r="J806" t="s">
        <v>1414</v>
      </c>
      <c r="K806" t="s">
        <v>1418</v>
      </c>
    </row>
    <row r="807" spans="1:11" x14ac:dyDescent="0.25">
      <c r="A807" t="s">
        <v>2233</v>
      </c>
      <c r="B807" s="2">
        <v>45585</v>
      </c>
      <c r="C807" t="s">
        <v>760</v>
      </c>
      <c r="D807" t="s">
        <v>1013</v>
      </c>
      <c r="E807">
        <v>2</v>
      </c>
      <c r="F807">
        <v>25</v>
      </c>
      <c r="G807">
        <v>6.21</v>
      </c>
      <c r="H807" t="s">
        <v>1169</v>
      </c>
      <c r="I807" t="s">
        <v>1368</v>
      </c>
      <c r="J807" t="s">
        <v>1414</v>
      </c>
      <c r="K807" t="s">
        <v>1418</v>
      </c>
    </row>
    <row r="808" spans="1:11" x14ac:dyDescent="0.25">
      <c r="A808" t="s">
        <v>2234</v>
      </c>
      <c r="B808" s="2">
        <v>45585</v>
      </c>
      <c r="C808" t="s">
        <v>935</v>
      </c>
      <c r="D808" t="s">
        <v>1014</v>
      </c>
      <c r="E808">
        <v>4</v>
      </c>
      <c r="G808">
        <v>5.58</v>
      </c>
      <c r="H808" t="s">
        <v>1138</v>
      </c>
      <c r="I808" t="s">
        <v>1337</v>
      </c>
      <c r="J808" t="s">
        <v>1414</v>
      </c>
      <c r="K808" t="s">
        <v>1422</v>
      </c>
    </row>
    <row r="809" spans="1:11" x14ac:dyDescent="0.25">
      <c r="A809" t="s">
        <v>2235</v>
      </c>
      <c r="B809" s="2">
        <v>45586</v>
      </c>
      <c r="C809" t="s">
        <v>13</v>
      </c>
      <c r="D809" t="s">
        <v>1012</v>
      </c>
      <c r="E809">
        <v>4</v>
      </c>
      <c r="F809">
        <v>40</v>
      </c>
      <c r="G809">
        <v>8.16</v>
      </c>
      <c r="H809" t="s">
        <v>1018</v>
      </c>
      <c r="I809" t="s">
        <v>1217</v>
      </c>
      <c r="J809" t="s">
        <v>1415</v>
      </c>
      <c r="K809" t="s">
        <v>1420</v>
      </c>
    </row>
    <row r="810" spans="1:11" x14ac:dyDescent="0.25">
      <c r="A810" t="s">
        <v>2236</v>
      </c>
      <c r="B810" s="2">
        <v>45586</v>
      </c>
      <c r="C810" t="s">
        <v>101</v>
      </c>
      <c r="D810" t="s">
        <v>1014</v>
      </c>
      <c r="E810">
        <v>7</v>
      </c>
      <c r="F810">
        <v>15</v>
      </c>
      <c r="G810">
        <v>4.8899999999999997</v>
      </c>
      <c r="H810" t="s">
        <v>1085</v>
      </c>
      <c r="I810" t="s">
        <v>1284</v>
      </c>
      <c r="J810" t="s">
        <v>1414</v>
      </c>
      <c r="K810" t="s">
        <v>1426</v>
      </c>
    </row>
    <row r="811" spans="1:11" x14ac:dyDescent="0.25">
      <c r="A811" t="s">
        <v>2237</v>
      </c>
      <c r="B811" s="2">
        <v>45586</v>
      </c>
      <c r="C811" t="s">
        <v>514</v>
      </c>
      <c r="D811" t="s">
        <v>1012</v>
      </c>
      <c r="E811">
        <v>5</v>
      </c>
      <c r="F811">
        <v>40</v>
      </c>
      <c r="G811">
        <v>13.34</v>
      </c>
      <c r="H811" t="s">
        <v>1153</v>
      </c>
      <c r="I811" t="s">
        <v>1352</v>
      </c>
      <c r="J811" t="s">
        <v>1414</v>
      </c>
      <c r="K811" t="s">
        <v>1420</v>
      </c>
    </row>
    <row r="812" spans="1:11" x14ac:dyDescent="0.25">
      <c r="A812" t="s">
        <v>2238</v>
      </c>
      <c r="B812" s="2">
        <v>45586</v>
      </c>
      <c r="C812" t="s">
        <v>519</v>
      </c>
      <c r="D812" t="s">
        <v>1012</v>
      </c>
      <c r="E812">
        <v>8</v>
      </c>
      <c r="F812">
        <v>40</v>
      </c>
      <c r="G812">
        <v>14.63</v>
      </c>
      <c r="H812" t="s">
        <v>1095</v>
      </c>
      <c r="I812" t="s">
        <v>1294</v>
      </c>
      <c r="J812" t="s">
        <v>1414</v>
      </c>
      <c r="K812" t="s">
        <v>1419</v>
      </c>
    </row>
    <row r="813" spans="1:11" x14ac:dyDescent="0.25">
      <c r="A813" t="s">
        <v>2239</v>
      </c>
      <c r="B813" s="2">
        <v>45586</v>
      </c>
      <c r="C813" t="s">
        <v>938</v>
      </c>
      <c r="D813" t="s">
        <v>1012</v>
      </c>
      <c r="E813">
        <v>2</v>
      </c>
      <c r="F813">
        <v>40</v>
      </c>
      <c r="G813">
        <v>12.12</v>
      </c>
      <c r="H813" t="s">
        <v>1099</v>
      </c>
      <c r="I813" t="s">
        <v>1298</v>
      </c>
      <c r="J813" t="s">
        <v>1414</v>
      </c>
      <c r="K813" t="s">
        <v>1427</v>
      </c>
    </row>
    <row r="814" spans="1:11" x14ac:dyDescent="0.25">
      <c r="A814" t="s">
        <v>2240</v>
      </c>
      <c r="B814" s="2">
        <v>45587</v>
      </c>
      <c r="C814" t="s">
        <v>998</v>
      </c>
      <c r="D814" t="s">
        <v>1015</v>
      </c>
      <c r="E814">
        <v>8</v>
      </c>
      <c r="G814">
        <v>3.74</v>
      </c>
      <c r="H814" t="s">
        <v>1208</v>
      </c>
      <c r="I814" t="s">
        <v>1407</v>
      </c>
      <c r="J814" t="s">
        <v>1414</v>
      </c>
      <c r="K814" t="s">
        <v>1422</v>
      </c>
    </row>
    <row r="815" spans="1:11" x14ac:dyDescent="0.25">
      <c r="A815" t="s">
        <v>2241</v>
      </c>
      <c r="B815" s="2">
        <v>45588</v>
      </c>
      <c r="C815" t="s">
        <v>45</v>
      </c>
      <c r="D815" t="s">
        <v>1012</v>
      </c>
      <c r="E815">
        <v>9</v>
      </c>
      <c r="F815">
        <v>40</v>
      </c>
      <c r="G815">
        <v>9.27</v>
      </c>
      <c r="H815" t="s">
        <v>1044</v>
      </c>
      <c r="I815" t="s">
        <v>1243</v>
      </c>
      <c r="J815" t="s">
        <v>1417</v>
      </c>
      <c r="K815" t="s">
        <v>1424</v>
      </c>
    </row>
    <row r="816" spans="1:11" x14ac:dyDescent="0.25">
      <c r="A816" t="s">
        <v>2242</v>
      </c>
      <c r="B816" s="2">
        <v>45588</v>
      </c>
      <c r="C816" t="s">
        <v>270</v>
      </c>
      <c r="D816" t="s">
        <v>1011</v>
      </c>
      <c r="E816">
        <v>3</v>
      </c>
      <c r="F816">
        <v>12</v>
      </c>
      <c r="G816">
        <v>4.5999999999999996</v>
      </c>
      <c r="H816" t="s">
        <v>1133</v>
      </c>
      <c r="I816" t="s">
        <v>1332</v>
      </c>
      <c r="J816" t="s">
        <v>1414</v>
      </c>
      <c r="K816" t="s">
        <v>1419</v>
      </c>
    </row>
    <row r="817" spans="1:11" x14ac:dyDescent="0.25">
      <c r="A817" t="s">
        <v>2243</v>
      </c>
      <c r="B817" s="2">
        <v>45588</v>
      </c>
      <c r="C817" t="s">
        <v>552</v>
      </c>
      <c r="D817" t="s">
        <v>1011</v>
      </c>
      <c r="E817">
        <v>2</v>
      </c>
      <c r="F817">
        <v>12</v>
      </c>
      <c r="G817">
        <v>2.86</v>
      </c>
      <c r="H817" t="s">
        <v>1133</v>
      </c>
      <c r="I817" t="s">
        <v>1332</v>
      </c>
      <c r="J817" t="s">
        <v>1414</v>
      </c>
      <c r="K817" t="s">
        <v>1425</v>
      </c>
    </row>
    <row r="818" spans="1:11" x14ac:dyDescent="0.25">
      <c r="A818" t="s">
        <v>2244</v>
      </c>
      <c r="B818" s="2">
        <v>45588</v>
      </c>
      <c r="C818" t="s">
        <v>815</v>
      </c>
      <c r="D818" t="s">
        <v>1015</v>
      </c>
      <c r="E818">
        <v>10</v>
      </c>
      <c r="G818">
        <v>3.01</v>
      </c>
      <c r="H818" t="s">
        <v>1139</v>
      </c>
      <c r="I818" t="s">
        <v>1338</v>
      </c>
      <c r="J818" t="s">
        <v>1414</v>
      </c>
      <c r="K818" t="s">
        <v>1421</v>
      </c>
    </row>
    <row r="819" spans="1:11" x14ac:dyDescent="0.25">
      <c r="A819" t="s">
        <v>2245</v>
      </c>
      <c r="B819" s="2">
        <v>45588</v>
      </c>
      <c r="C819" t="s">
        <v>1004</v>
      </c>
      <c r="D819" t="s">
        <v>1013</v>
      </c>
      <c r="E819">
        <v>4</v>
      </c>
      <c r="F819">
        <v>25</v>
      </c>
      <c r="G819">
        <v>5.63</v>
      </c>
      <c r="H819" t="s">
        <v>1075</v>
      </c>
      <c r="I819" t="s">
        <v>1274</v>
      </c>
      <c r="J819" t="s">
        <v>1416</v>
      </c>
      <c r="K819" t="s">
        <v>1421</v>
      </c>
    </row>
    <row r="820" spans="1:11" x14ac:dyDescent="0.25">
      <c r="A820" t="s">
        <v>2246</v>
      </c>
      <c r="B820" s="2">
        <v>45589</v>
      </c>
      <c r="C820" t="s">
        <v>77</v>
      </c>
      <c r="D820" t="s">
        <v>1011</v>
      </c>
      <c r="E820">
        <v>2</v>
      </c>
      <c r="F820">
        <v>12</v>
      </c>
      <c r="G820">
        <v>2.46</v>
      </c>
      <c r="H820" t="s">
        <v>1071</v>
      </c>
      <c r="I820" t="s">
        <v>1270</v>
      </c>
      <c r="J820" t="s">
        <v>1414</v>
      </c>
      <c r="K820" t="s">
        <v>1420</v>
      </c>
    </row>
    <row r="821" spans="1:11" x14ac:dyDescent="0.25">
      <c r="A821" t="s">
        <v>2247</v>
      </c>
      <c r="B821" s="2">
        <v>45589</v>
      </c>
      <c r="C821" t="s">
        <v>915</v>
      </c>
      <c r="D821" t="s">
        <v>1015</v>
      </c>
      <c r="E821">
        <v>10</v>
      </c>
      <c r="F821">
        <v>10</v>
      </c>
      <c r="G821">
        <v>3.42</v>
      </c>
      <c r="H821" t="s">
        <v>1179</v>
      </c>
      <c r="I821" t="s">
        <v>1378</v>
      </c>
      <c r="J821" t="s">
        <v>1414</v>
      </c>
      <c r="K821" t="s">
        <v>1420</v>
      </c>
    </row>
    <row r="822" spans="1:11" x14ac:dyDescent="0.25">
      <c r="A822" t="s">
        <v>2248</v>
      </c>
      <c r="B822" s="2">
        <v>45590</v>
      </c>
      <c r="C822" t="s">
        <v>381</v>
      </c>
      <c r="D822" t="s">
        <v>1015</v>
      </c>
      <c r="E822">
        <v>1</v>
      </c>
      <c r="F822">
        <v>10</v>
      </c>
      <c r="G822">
        <v>3.95</v>
      </c>
      <c r="H822" t="s">
        <v>1079</v>
      </c>
      <c r="I822" t="s">
        <v>1278</v>
      </c>
      <c r="J822" t="s">
        <v>1416</v>
      </c>
      <c r="K822" t="s">
        <v>1422</v>
      </c>
    </row>
    <row r="823" spans="1:11" x14ac:dyDescent="0.25">
      <c r="A823" t="s">
        <v>2249</v>
      </c>
      <c r="B823" s="2">
        <v>45590</v>
      </c>
      <c r="C823" t="s">
        <v>849</v>
      </c>
      <c r="D823" t="s">
        <v>1013</v>
      </c>
      <c r="E823">
        <v>9</v>
      </c>
      <c r="F823">
        <v>25</v>
      </c>
      <c r="G823">
        <v>9.23</v>
      </c>
      <c r="H823" t="s">
        <v>1162</v>
      </c>
      <c r="I823" t="s">
        <v>1361</v>
      </c>
      <c r="J823" t="s">
        <v>1414</v>
      </c>
      <c r="K823" t="s">
        <v>1419</v>
      </c>
    </row>
    <row r="824" spans="1:11" x14ac:dyDescent="0.25">
      <c r="A824" t="s">
        <v>2250</v>
      </c>
      <c r="B824" s="2">
        <v>45591</v>
      </c>
      <c r="C824" t="s">
        <v>153</v>
      </c>
      <c r="D824" t="s">
        <v>1012</v>
      </c>
      <c r="E824">
        <v>2</v>
      </c>
      <c r="F824">
        <v>40</v>
      </c>
      <c r="G824">
        <v>11.27</v>
      </c>
      <c r="H824" t="s">
        <v>1122</v>
      </c>
      <c r="I824" t="s">
        <v>1321</v>
      </c>
      <c r="J824" t="s">
        <v>1414</v>
      </c>
      <c r="K824" t="s">
        <v>1425</v>
      </c>
    </row>
    <row r="825" spans="1:11" x14ac:dyDescent="0.25">
      <c r="A825" t="s">
        <v>2251</v>
      </c>
      <c r="B825" s="2">
        <v>45591</v>
      </c>
      <c r="C825" t="s">
        <v>165</v>
      </c>
      <c r="D825" t="s">
        <v>1012</v>
      </c>
      <c r="E825">
        <v>4</v>
      </c>
      <c r="F825">
        <v>40</v>
      </c>
      <c r="G825">
        <v>9.61</v>
      </c>
      <c r="H825" t="s">
        <v>1125</v>
      </c>
      <c r="I825" t="s">
        <v>1324</v>
      </c>
      <c r="J825" t="s">
        <v>1414</v>
      </c>
      <c r="K825" t="s">
        <v>1426</v>
      </c>
    </row>
    <row r="826" spans="1:11" x14ac:dyDescent="0.25">
      <c r="A826" t="s">
        <v>2252</v>
      </c>
      <c r="B826" s="2">
        <v>45591</v>
      </c>
      <c r="C826" t="s">
        <v>188</v>
      </c>
      <c r="D826" t="s">
        <v>1013</v>
      </c>
      <c r="E826">
        <v>6</v>
      </c>
      <c r="F826">
        <v>25</v>
      </c>
      <c r="G826">
        <v>9.08</v>
      </c>
      <c r="H826" t="s">
        <v>1135</v>
      </c>
      <c r="I826" t="s">
        <v>1334</v>
      </c>
      <c r="J826" t="s">
        <v>1414</v>
      </c>
      <c r="K826" t="s">
        <v>1422</v>
      </c>
    </row>
    <row r="827" spans="1:11" x14ac:dyDescent="0.25">
      <c r="A827" t="s">
        <v>2253</v>
      </c>
      <c r="B827" s="2">
        <v>45592</v>
      </c>
      <c r="C827" t="s">
        <v>433</v>
      </c>
      <c r="D827" t="s">
        <v>1015</v>
      </c>
      <c r="E827">
        <v>10</v>
      </c>
      <c r="F827">
        <v>10</v>
      </c>
      <c r="G827">
        <v>3.48</v>
      </c>
      <c r="H827" t="s">
        <v>1050</v>
      </c>
      <c r="I827" t="s">
        <v>1249</v>
      </c>
      <c r="J827" t="s">
        <v>1414</v>
      </c>
      <c r="K827" t="s">
        <v>1424</v>
      </c>
    </row>
    <row r="828" spans="1:11" x14ac:dyDescent="0.25">
      <c r="A828" t="s">
        <v>2254</v>
      </c>
      <c r="B828" s="2">
        <v>45592</v>
      </c>
      <c r="C828" t="s">
        <v>472</v>
      </c>
      <c r="D828" t="s">
        <v>1013</v>
      </c>
      <c r="E828">
        <v>1</v>
      </c>
      <c r="F828">
        <v>25</v>
      </c>
      <c r="G828">
        <v>6.8</v>
      </c>
      <c r="H828" t="s">
        <v>1053</v>
      </c>
      <c r="I828" t="s">
        <v>1252</v>
      </c>
      <c r="J828" t="s">
        <v>1414</v>
      </c>
      <c r="K828" t="s">
        <v>1426</v>
      </c>
    </row>
    <row r="829" spans="1:11" x14ac:dyDescent="0.25">
      <c r="A829" t="s">
        <v>2255</v>
      </c>
      <c r="B829" s="2">
        <v>45592</v>
      </c>
      <c r="C829" t="s">
        <v>772</v>
      </c>
      <c r="D829" t="s">
        <v>1013</v>
      </c>
      <c r="E829">
        <v>10</v>
      </c>
      <c r="F829">
        <v>25</v>
      </c>
      <c r="G829">
        <v>8.74</v>
      </c>
      <c r="H829" t="s">
        <v>1019</v>
      </c>
      <c r="I829" t="s">
        <v>1218</v>
      </c>
      <c r="J829" t="s">
        <v>1414</v>
      </c>
      <c r="K829" t="s">
        <v>1422</v>
      </c>
    </row>
    <row r="830" spans="1:11" x14ac:dyDescent="0.25">
      <c r="A830" t="s">
        <v>2256</v>
      </c>
      <c r="B830" s="2">
        <v>45592</v>
      </c>
      <c r="C830" t="s">
        <v>844</v>
      </c>
      <c r="D830" t="s">
        <v>1014</v>
      </c>
      <c r="E830">
        <v>8</v>
      </c>
      <c r="F830">
        <v>15</v>
      </c>
      <c r="G830">
        <v>5.93</v>
      </c>
      <c r="H830" t="s">
        <v>1022</v>
      </c>
      <c r="I830" t="s">
        <v>1221</v>
      </c>
      <c r="J830" t="s">
        <v>1416</v>
      </c>
      <c r="K830" t="s">
        <v>1427</v>
      </c>
    </row>
    <row r="831" spans="1:11" x14ac:dyDescent="0.25">
      <c r="A831" t="s">
        <v>2257</v>
      </c>
      <c r="B831" s="2">
        <v>45592</v>
      </c>
      <c r="C831" t="s">
        <v>991</v>
      </c>
      <c r="D831" t="s">
        <v>1012</v>
      </c>
      <c r="E831">
        <v>2</v>
      </c>
      <c r="F831">
        <v>40</v>
      </c>
      <c r="G831">
        <v>11.4</v>
      </c>
      <c r="H831" t="s">
        <v>1174</v>
      </c>
      <c r="I831" t="s">
        <v>1373</v>
      </c>
      <c r="J831" t="s">
        <v>1414</v>
      </c>
      <c r="K831" t="s">
        <v>1427</v>
      </c>
    </row>
    <row r="832" spans="1:11" x14ac:dyDescent="0.25">
      <c r="A832" t="s">
        <v>2258</v>
      </c>
      <c r="B832" s="2">
        <v>45593</v>
      </c>
      <c r="C832" t="s">
        <v>128</v>
      </c>
      <c r="D832" t="s">
        <v>1014</v>
      </c>
      <c r="E832">
        <v>10</v>
      </c>
      <c r="F832">
        <v>15</v>
      </c>
      <c r="G832">
        <v>3.2</v>
      </c>
      <c r="H832" t="s">
        <v>1105</v>
      </c>
      <c r="I832" t="s">
        <v>1304</v>
      </c>
      <c r="J832" t="s">
        <v>1414</v>
      </c>
      <c r="K832" t="s">
        <v>1419</v>
      </c>
    </row>
    <row r="833" spans="1:11" x14ac:dyDescent="0.25">
      <c r="A833" t="s">
        <v>2259</v>
      </c>
      <c r="B833" s="2">
        <v>45593</v>
      </c>
      <c r="C833" t="s">
        <v>466</v>
      </c>
      <c r="D833" t="s">
        <v>1015</v>
      </c>
      <c r="E833">
        <v>7</v>
      </c>
      <c r="F833">
        <v>10</v>
      </c>
      <c r="G833">
        <v>3.47</v>
      </c>
      <c r="H833" t="s">
        <v>1164</v>
      </c>
      <c r="I833" t="s">
        <v>1363</v>
      </c>
      <c r="J833" t="s">
        <v>1414</v>
      </c>
      <c r="K833" t="s">
        <v>1420</v>
      </c>
    </row>
    <row r="834" spans="1:11" x14ac:dyDescent="0.25">
      <c r="A834" t="s">
        <v>2260</v>
      </c>
      <c r="B834" s="2">
        <v>45593</v>
      </c>
      <c r="C834" t="s">
        <v>528</v>
      </c>
      <c r="D834" t="s">
        <v>1012</v>
      </c>
      <c r="E834">
        <v>3</v>
      </c>
      <c r="F834">
        <v>40</v>
      </c>
      <c r="G834">
        <v>8.8800000000000008</v>
      </c>
      <c r="H834" t="s">
        <v>1105</v>
      </c>
      <c r="I834" t="s">
        <v>1304</v>
      </c>
      <c r="J834" t="s">
        <v>1416</v>
      </c>
      <c r="K834" t="s">
        <v>1422</v>
      </c>
    </row>
    <row r="835" spans="1:11" x14ac:dyDescent="0.25">
      <c r="A835" t="s">
        <v>2261</v>
      </c>
      <c r="B835" s="2">
        <v>45593</v>
      </c>
      <c r="C835" t="s">
        <v>790</v>
      </c>
      <c r="D835" t="s">
        <v>1014</v>
      </c>
      <c r="E835">
        <v>10</v>
      </c>
      <c r="F835">
        <v>15</v>
      </c>
      <c r="G835">
        <v>4.0999999999999996</v>
      </c>
      <c r="H835" t="s">
        <v>1175</v>
      </c>
      <c r="I835" t="s">
        <v>1374</v>
      </c>
      <c r="J835" t="s">
        <v>1417</v>
      </c>
      <c r="K835" t="s">
        <v>1418</v>
      </c>
    </row>
    <row r="836" spans="1:11" x14ac:dyDescent="0.25">
      <c r="A836" t="s">
        <v>2262</v>
      </c>
      <c r="B836" s="2">
        <v>45594</v>
      </c>
      <c r="C836" t="s">
        <v>109</v>
      </c>
      <c r="D836" t="s">
        <v>1013</v>
      </c>
      <c r="E836">
        <v>5</v>
      </c>
      <c r="F836">
        <v>25</v>
      </c>
      <c r="G836">
        <v>9.99</v>
      </c>
      <c r="H836" t="s">
        <v>1091</v>
      </c>
      <c r="I836" t="s">
        <v>1290</v>
      </c>
      <c r="J836" t="s">
        <v>1414</v>
      </c>
      <c r="K836" t="s">
        <v>1425</v>
      </c>
    </row>
    <row r="837" spans="1:11" x14ac:dyDescent="0.25">
      <c r="A837" t="s">
        <v>2263</v>
      </c>
      <c r="B837" s="2">
        <v>45594</v>
      </c>
      <c r="C837" t="s">
        <v>127</v>
      </c>
      <c r="D837" t="s">
        <v>1014</v>
      </c>
      <c r="E837">
        <v>7</v>
      </c>
      <c r="F837">
        <v>15</v>
      </c>
      <c r="G837">
        <v>5.7</v>
      </c>
      <c r="H837" t="s">
        <v>1023</v>
      </c>
      <c r="I837" t="s">
        <v>1222</v>
      </c>
      <c r="J837" t="s">
        <v>1415</v>
      </c>
      <c r="K837" t="s">
        <v>1426</v>
      </c>
    </row>
    <row r="838" spans="1:11" x14ac:dyDescent="0.25">
      <c r="A838" t="s">
        <v>2264</v>
      </c>
      <c r="B838" s="2">
        <v>45594</v>
      </c>
      <c r="C838" t="s">
        <v>269</v>
      </c>
      <c r="D838" t="s">
        <v>1011</v>
      </c>
      <c r="E838">
        <v>2</v>
      </c>
      <c r="F838">
        <v>12</v>
      </c>
      <c r="G838">
        <v>3.58</v>
      </c>
      <c r="H838" t="s">
        <v>1116</v>
      </c>
      <c r="I838" t="s">
        <v>1315</v>
      </c>
      <c r="J838" t="s">
        <v>1414</v>
      </c>
      <c r="K838" t="s">
        <v>1418</v>
      </c>
    </row>
    <row r="839" spans="1:11" x14ac:dyDescent="0.25">
      <c r="A839" t="s">
        <v>2265</v>
      </c>
      <c r="B839" s="2">
        <v>45594</v>
      </c>
      <c r="C839" t="s">
        <v>287</v>
      </c>
      <c r="D839" t="s">
        <v>1014</v>
      </c>
      <c r="E839">
        <v>5</v>
      </c>
      <c r="F839">
        <v>15</v>
      </c>
      <c r="G839">
        <v>4.07</v>
      </c>
      <c r="H839" t="s">
        <v>1167</v>
      </c>
      <c r="I839" t="s">
        <v>1366</v>
      </c>
      <c r="J839" t="s">
        <v>1414</v>
      </c>
      <c r="K839" t="s">
        <v>1418</v>
      </c>
    </row>
    <row r="840" spans="1:11" x14ac:dyDescent="0.25">
      <c r="A840" t="s">
        <v>2266</v>
      </c>
      <c r="B840" s="2">
        <v>45594</v>
      </c>
      <c r="C840" t="s">
        <v>969</v>
      </c>
      <c r="D840" t="s">
        <v>1013</v>
      </c>
      <c r="E840">
        <v>10</v>
      </c>
      <c r="F840">
        <v>25</v>
      </c>
      <c r="G840">
        <v>9.42</v>
      </c>
      <c r="H840" t="s">
        <v>1034</v>
      </c>
      <c r="I840" t="s">
        <v>1233</v>
      </c>
      <c r="J840" t="s">
        <v>1414</v>
      </c>
      <c r="K840" t="s">
        <v>1419</v>
      </c>
    </row>
    <row r="841" spans="1:11" x14ac:dyDescent="0.25">
      <c r="A841" t="s">
        <v>2267</v>
      </c>
      <c r="B841" s="2">
        <v>45596</v>
      </c>
      <c r="C841" t="s">
        <v>134</v>
      </c>
      <c r="D841" t="s">
        <v>1012</v>
      </c>
      <c r="E841">
        <v>1</v>
      </c>
      <c r="F841">
        <v>40</v>
      </c>
      <c r="G841">
        <v>13.18</v>
      </c>
      <c r="H841" t="s">
        <v>1111</v>
      </c>
      <c r="I841" t="s">
        <v>1310</v>
      </c>
      <c r="J841" t="s">
        <v>1416</v>
      </c>
      <c r="K841" t="s">
        <v>1423</v>
      </c>
    </row>
    <row r="842" spans="1:11" x14ac:dyDescent="0.25">
      <c r="A842" t="s">
        <v>2268</v>
      </c>
      <c r="B842" s="2">
        <v>45596</v>
      </c>
      <c r="C842" t="s">
        <v>393</v>
      </c>
      <c r="D842" t="s">
        <v>1013</v>
      </c>
      <c r="E842">
        <v>2</v>
      </c>
      <c r="F842">
        <v>25</v>
      </c>
      <c r="G842">
        <v>7.53</v>
      </c>
      <c r="H842" t="s">
        <v>1186</v>
      </c>
      <c r="I842" t="s">
        <v>1385</v>
      </c>
      <c r="J842" t="s">
        <v>1414</v>
      </c>
      <c r="K842" t="s">
        <v>1422</v>
      </c>
    </row>
    <row r="843" spans="1:11" x14ac:dyDescent="0.25">
      <c r="A843" t="s">
        <v>2269</v>
      </c>
      <c r="B843" s="2">
        <v>45596</v>
      </c>
      <c r="C843" t="s">
        <v>404</v>
      </c>
      <c r="D843" t="s">
        <v>1011</v>
      </c>
      <c r="E843">
        <v>7</v>
      </c>
      <c r="F843">
        <v>12</v>
      </c>
      <c r="G843">
        <v>4.74</v>
      </c>
      <c r="H843" t="s">
        <v>1167</v>
      </c>
      <c r="I843" t="s">
        <v>1366</v>
      </c>
      <c r="J843" t="s">
        <v>1415</v>
      </c>
      <c r="K843" t="s">
        <v>1425</v>
      </c>
    </row>
    <row r="844" spans="1:11" x14ac:dyDescent="0.25">
      <c r="A844" t="s">
        <v>2270</v>
      </c>
      <c r="B844" s="2">
        <v>45596</v>
      </c>
      <c r="C844" t="s">
        <v>476</v>
      </c>
      <c r="D844" t="s">
        <v>1011</v>
      </c>
      <c r="E844">
        <v>7</v>
      </c>
      <c r="F844">
        <v>12</v>
      </c>
      <c r="G844">
        <v>3.58</v>
      </c>
      <c r="H844" t="s">
        <v>1067</v>
      </c>
      <c r="I844" t="s">
        <v>1266</v>
      </c>
      <c r="J844" t="s">
        <v>1414</v>
      </c>
      <c r="K844" t="s">
        <v>1427</v>
      </c>
    </row>
    <row r="845" spans="1:11" x14ac:dyDescent="0.25">
      <c r="A845" t="s">
        <v>2271</v>
      </c>
      <c r="B845" s="2">
        <v>45597</v>
      </c>
      <c r="C845" t="s">
        <v>105</v>
      </c>
      <c r="D845" t="s">
        <v>1013</v>
      </c>
      <c r="E845">
        <v>8</v>
      </c>
      <c r="F845">
        <v>25</v>
      </c>
      <c r="G845">
        <v>5.8</v>
      </c>
      <c r="H845" t="s">
        <v>1035</v>
      </c>
      <c r="I845" t="s">
        <v>1234</v>
      </c>
      <c r="J845" t="s">
        <v>1415</v>
      </c>
      <c r="K845" t="s">
        <v>1421</v>
      </c>
    </row>
    <row r="846" spans="1:11" x14ac:dyDescent="0.25">
      <c r="A846" t="s">
        <v>2272</v>
      </c>
      <c r="B846" s="2">
        <v>45597</v>
      </c>
      <c r="C846" t="s">
        <v>699</v>
      </c>
      <c r="D846" t="s">
        <v>1011</v>
      </c>
      <c r="E846">
        <v>2</v>
      </c>
      <c r="F846">
        <v>12</v>
      </c>
      <c r="G846">
        <v>3.34</v>
      </c>
      <c r="H846" t="s">
        <v>1208</v>
      </c>
      <c r="I846" t="s">
        <v>1407</v>
      </c>
      <c r="J846" t="s">
        <v>1414</v>
      </c>
      <c r="K846" t="s">
        <v>1421</v>
      </c>
    </row>
    <row r="847" spans="1:11" x14ac:dyDescent="0.25">
      <c r="A847" t="s">
        <v>2273</v>
      </c>
      <c r="B847" s="2">
        <v>45597</v>
      </c>
      <c r="C847" t="s">
        <v>716</v>
      </c>
      <c r="D847" t="s">
        <v>1013</v>
      </c>
      <c r="E847">
        <v>8</v>
      </c>
      <c r="F847">
        <v>25</v>
      </c>
      <c r="G847">
        <v>9.2899999999999991</v>
      </c>
      <c r="H847" t="s">
        <v>1084</v>
      </c>
      <c r="I847" t="s">
        <v>1283</v>
      </c>
      <c r="J847" t="s">
        <v>1414</v>
      </c>
      <c r="K847" t="s">
        <v>1427</v>
      </c>
    </row>
    <row r="848" spans="1:11" x14ac:dyDescent="0.25">
      <c r="A848" t="s">
        <v>2274</v>
      </c>
      <c r="B848" s="2">
        <v>45598</v>
      </c>
      <c r="C848" t="s">
        <v>99</v>
      </c>
      <c r="D848" t="s">
        <v>1014</v>
      </c>
      <c r="E848">
        <v>8</v>
      </c>
      <c r="F848">
        <v>15</v>
      </c>
      <c r="G848">
        <v>5.94</v>
      </c>
      <c r="H848" t="s">
        <v>1047</v>
      </c>
      <c r="I848" t="s">
        <v>1246</v>
      </c>
      <c r="J848" t="s">
        <v>1414</v>
      </c>
      <c r="K848" t="s">
        <v>1424</v>
      </c>
    </row>
    <row r="849" spans="1:11" x14ac:dyDescent="0.25">
      <c r="A849" t="s">
        <v>2275</v>
      </c>
      <c r="B849" s="2">
        <v>45598</v>
      </c>
      <c r="C849" t="s">
        <v>119</v>
      </c>
      <c r="D849" t="s">
        <v>1015</v>
      </c>
      <c r="E849">
        <v>10</v>
      </c>
      <c r="F849">
        <v>10</v>
      </c>
      <c r="G849">
        <v>3.09</v>
      </c>
      <c r="H849" t="s">
        <v>1099</v>
      </c>
      <c r="I849" t="s">
        <v>1298</v>
      </c>
      <c r="J849" t="s">
        <v>1414</v>
      </c>
      <c r="K849" t="s">
        <v>1425</v>
      </c>
    </row>
    <row r="850" spans="1:11" x14ac:dyDescent="0.25">
      <c r="A850" t="s">
        <v>2276</v>
      </c>
      <c r="B850" s="2">
        <v>45598</v>
      </c>
      <c r="C850" t="s">
        <v>414</v>
      </c>
      <c r="D850" t="s">
        <v>1011</v>
      </c>
      <c r="E850">
        <v>10</v>
      </c>
      <c r="G850">
        <v>3.06</v>
      </c>
      <c r="H850" t="s">
        <v>1087</v>
      </c>
      <c r="I850" t="s">
        <v>1286</v>
      </c>
      <c r="J850" t="s">
        <v>1414</v>
      </c>
      <c r="K850" t="s">
        <v>1419</v>
      </c>
    </row>
    <row r="851" spans="1:11" x14ac:dyDescent="0.25">
      <c r="A851" t="s">
        <v>2277</v>
      </c>
      <c r="B851" s="2">
        <v>45598</v>
      </c>
      <c r="C851" t="s">
        <v>630</v>
      </c>
      <c r="D851" t="s">
        <v>1013</v>
      </c>
      <c r="E851">
        <v>1</v>
      </c>
      <c r="F851">
        <v>25</v>
      </c>
      <c r="G851">
        <v>5.0999999999999996</v>
      </c>
      <c r="H851" t="s">
        <v>1056</v>
      </c>
      <c r="I851" t="s">
        <v>1255</v>
      </c>
      <c r="J851" t="s">
        <v>1414</v>
      </c>
      <c r="K851" t="s">
        <v>1420</v>
      </c>
    </row>
    <row r="852" spans="1:11" x14ac:dyDescent="0.25">
      <c r="A852" t="s">
        <v>2278</v>
      </c>
      <c r="B852" s="2">
        <v>45599</v>
      </c>
      <c r="C852" t="s">
        <v>136</v>
      </c>
      <c r="D852" t="s">
        <v>1013</v>
      </c>
      <c r="E852">
        <v>7</v>
      </c>
      <c r="F852">
        <v>25</v>
      </c>
      <c r="G852">
        <v>8.57</v>
      </c>
      <c r="H852" t="s">
        <v>1093</v>
      </c>
      <c r="I852" t="s">
        <v>1292</v>
      </c>
      <c r="J852" t="s">
        <v>1414</v>
      </c>
      <c r="K852" t="s">
        <v>1420</v>
      </c>
    </row>
    <row r="853" spans="1:11" x14ac:dyDescent="0.25">
      <c r="A853" t="s">
        <v>2279</v>
      </c>
      <c r="B853" s="2">
        <v>45599</v>
      </c>
      <c r="C853" t="s">
        <v>228</v>
      </c>
      <c r="D853" t="s">
        <v>1012</v>
      </c>
      <c r="E853">
        <v>9</v>
      </c>
      <c r="F853">
        <v>40</v>
      </c>
      <c r="G853">
        <v>15.79</v>
      </c>
      <c r="H853" t="s">
        <v>1149</v>
      </c>
      <c r="I853" t="s">
        <v>1348</v>
      </c>
      <c r="J853" t="s">
        <v>1416</v>
      </c>
      <c r="K853" t="s">
        <v>1424</v>
      </c>
    </row>
    <row r="854" spans="1:11" x14ac:dyDescent="0.25">
      <c r="A854" t="s">
        <v>2280</v>
      </c>
      <c r="B854" s="2">
        <v>45599</v>
      </c>
      <c r="C854" t="s">
        <v>237</v>
      </c>
      <c r="D854" t="s">
        <v>1015</v>
      </c>
      <c r="E854">
        <v>5</v>
      </c>
      <c r="F854">
        <v>10</v>
      </c>
      <c r="G854">
        <v>2.91</v>
      </c>
      <c r="H854" t="s">
        <v>1016</v>
      </c>
      <c r="I854" t="s">
        <v>1215</v>
      </c>
      <c r="J854" t="s">
        <v>1417</v>
      </c>
      <c r="K854" t="s">
        <v>1423</v>
      </c>
    </row>
    <row r="855" spans="1:11" x14ac:dyDescent="0.25">
      <c r="A855" t="s">
        <v>2281</v>
      </c>
      <c r="B855" s="2">
        <v>45600</v>
      </c>
      <c r="C855" t="s">
        <v>83</v>
      </c>
      <c r="D855" t="s">
        <v>1015</v>
      </c>
      <c r="E855">
        <v>4</v>
      </c>
      <c r="F855">
        <v>10</v>
      </c>
      <c r="G855">
        <v>2.2200000000000002</v>
      </c>
      <c r="H855" t="s">
        <v>1024</v>
      </c>
      <c r="I855" t="s">
        <v>1223</v>
      </c>
      <c r="J855" t="s">
        <v>1417</v>
      </c>
      <c r="K855" t="s">
        <v>1418</v>
      </c>
    </row>
    <row r="856" spans="1:11" x14ac:dyDescent="0.25">
      <c r="A856" t="s">
        <v>2282</v>
      </c>
      <c r="B856" s="2">
        <v>45600</v>
      </c>
      <c r="C856" t="s">
        <v>741</v>
      </c>
      <c r="D856" t="s">
        <v>1013</v>
      </c>
      <c r="E856">
        <v>1</v>
      </c>
      <c r="F856">
        <v>25</v>
      </c>
      <c r="G856">
        <v>8.4499999999999993</v>
      </c>
      <c r="H856" t="s">
        <v>1106</v>
      </c>
      <c r="I856" t="s">
        <v>1305</v>
      </c>
      <c r="J856" t="s">
        <v>1415</v>
      </c>
      <c r="K856" t="s">
        <v>1421</v>
      </c>
    </row>
    <row r="857" spans="1:11" x14ac:dyDescent="0.25">
      <c r="A857" t="s">
        <v>2283</v>
      </c>
      <c r="B857" s="2">
        <v>45601</v>
      </c>
      <c r="C857" t="s">
        <v>47</v>
      </c>
      <c r="D857" t="s">
        <v>1014</v>
      </c>
      <c r="E857">
        <v>3</v>
      </c>
      <c r="F857">
        <v>15</v>
      </c>
      <c r="G857">
        <v>3.12</v>
      </c>
      <c r="H857" t="s">
        <v>1046</v>
      </c>
      <c r="I857" t="s">
        <v>1245</v>
      </c>
      <c r="J857" t="s">
        <v>1416</v>
      </c>
      <c r="K857" t="s">
        <v>1424</v>
      </c>
    </row>
    <row r="858" spans="1:11" x14ac:dyDescent="0.25">
      <c r="A858" t="s">
        <v>2284</v>
      </c>
      <c r="B858" s="2">
        <v>45601</v>
      </c>
      <c r="C858" t="s">
        <v>353</v>
      </c>
      <c r="D858" t="s">
        <v>1013</v>
      </c>
      <c r="E858">
        <v>7</v>
      </c>
      <c r="F858">
        <v>25</v>
      </c>
      <c r="G858">
        <v>7.96</v>
      </c>
      <c r="H858" t="s">
        <v>1022</v>
      </c>
      <c r="I858" t="s">
        <v>1221</v>
      </c>
      <c r="J858" t="s">
        <v>1414</v>
      </c>
      <c r="K858" t="s">
        <v>1425</v>
      </c>
    </row>
    <row r="859" spans="1:11" x14ac:dyDescent="0.25">
      <c r="A859" t="s">
        <v>2285</v>
      </c>
      <c r="B859" s="2">
        <v>45602</v>
      </c>
      <c r="C859" t="s">
        <v>713</v>
      </c>
      <c r="D859" t="s">
        <v>1015</v>
      </c>
      <c r="E859">
        <v>10</v>
      </c>
      <c r="F859">
        <v>10</v>
      </c>
      <c r="G859">
        <v>3.97</v>
      </c>
      <c r="H859" t="s">
        <v>1206</v>
      </c>
      <c r="I859" t="s">
        <v>1405</v>
      </c>
      <c r="J859" t="s">
        <v>1414</v>
      </c>
      <c r="K859" t="s">
        <v>1424</v>
      </c>
    </row>
    <row r="860" spans="1:11" x14ac:dyDescent="0.25">
      <c r="A860" t="s">
        <v>2286</v>
      </c>
      <c r="B860" s="2">
        <v>45602</v>
      </c>
      <c r="C860" t="s">
        <v>781</v>
      </c>
      <c r="D860" t="s">
        <v>1015</v>
      </c>
      <c r="E860">
        <v>7</v>
      </c>
      <c r="F860">
        <v>10</v>
      </c>
      <c r="G860">
        <v>3.07</v>
      </c>
      <c r="H860" t="s">
        <v>1132</v>
      </c>
      <c r="I860" t="s">
        <v>1331</v>
      </c>
      <c r="J860" t="s">
        <v>1414</v>
      </c>
      <c r="K860" t="s">
        <v>1420</v>
      </c>
    </row>
    <row r="861" spans="1:11" x14ac:dyDescent="0.25">
      <c r="A861" t="s">
        <v>2287</v>
      </c>
      <c r="B861" s="2">
        <v>45603</v>
      </c>
      <c r="C861" t="s">
        <v>735</v>
      </c>
      <c r="D861" t="s">
        <v>1014</v>
      </c>
      <c r="E861">
        <v>2</v>
      </c>
      <c r="F861">
        <v>15</v>
      </c>
      <c r="G861">
        <v>5.34</v>
      </c>
      <c r="H861" t="s">
        <v>1126</v>
      </c>
      <c r="I861" t="s">
        <v>1325</v>
      </c>
      <c r="J861" t="s">
        <v>1414</v>
      </c>
      <c r="K861" t="s">
        <v>1420</v>
      </c>
    </row>
    <row r="862" spans="1:11" x14ac:dyDescent="0.25">
      <c r="A862" t="s">
        <v>2288</v>
      </c>
      <c r="B862" s="2">
        <v>45604</v>
      </c>
      <c r="C862" t="s">
        <v>189</v>
      </c>
      <c r="D862" t="s">
        <v>1014</v>
      </c>
      <c r="E862">
        <v>6</v>
      </c>
      <c r="F862">
        <v>15</v>
      </c>
      <c r="G862">
        <v>5.79</v>
      </c>
      <c r="H862" t="s">
        <v>1025</v>
      </c>
      <c r="I862" t="s">
        <v>1224</v>
      </c>
      <c r="J862" t="s">
        <v>1417</v>
      </c>
      <c r="K862" t="s">
        <v>1423</v>
      </c>
    </row>
    <row r="863" spans="1:11" x14ac:dyDescent="0.25">
      <c r="A863" t="s">
        <v>2289</v>
      </c>
      <c r="B863" s="2">
        <v>45604</v>
      </c>
      <c r="C863" t="s">
        <v>628</v>
      </c>
      <c r="D863" t="s">
        <v>1015</v>
      </c>
      <c r="E863">
        <v>5</v>
      </c>
      <c r="F863">
        <v>10</v>
      </c>
      <c r="G863">
        <v>3.82</v>
      </c>
      <c r="H863" t="s">
        <v>1066</v>
      </c>
      <c r="I863" t="s">
        <v>1265</v>
      </c>
      <c r="J863" t="s">
        <v>1414</v>
      </c>
      <c r="K863" t="s">
        <v>1419</v>
      </c>
    </row>
    <row r="864" spans="1:11" x14ac:dyDescent="0.25">
      <c r="A864" t="s">
        <v>2290</v>
      </c>
      <c r="B864" s="2">
        <v>45604</v>
      </c>
      <c r="C864" t="s">
        <v>833</v>
      </c>
      <c r="D864" t="s">
        <v>1015</v>
      </c>
      <c r="E864">
        <v>1</v>
      </c>
      <c r="F864">
        <v>10</v>
      </c>
      <c r="G864">
        <v>2</v>
      </c>
      <c r="H864" t="s">
        <v>1113</v>
      </c>
      <c r="I864" t="s">
        <v>1312</v>
      </c>
      <c r="J864" t="s">
        <v>1417</v>
      </c>
      <c r="K864" t="s">
        <v>1421</v>
      </c>
    </row>
    <row r="865" spans="1:11" x14ac:dyDescent="0.25">
      <c r="A865" t="s">
        <v>2291</v>
      </c>
      <c r="B865" s="2">
        <v>45605</v>
      </c>
      <c r="C865" t="s">
        <v>547</v>
      </c>
      <c r="D865" t="s">
        <v>1015</v>
      </c>
      <c r="E865">
        <v>3</v>
      </c>
      <c r="F865">
        <v>10</v>
      </c>
      <c r="G865">
        <v>2.39</v>
      </c>
      <c r="H865" t="s">
        <v>1028</v>
      </c>
      <c r="I865" t="s">
        <v>1227</v>
      </c>
      <c r="J865" t="s">
        <v>1416</v>
      </c>
      <c r="K865" t="s">
        <v>1423</v>
      </c>
    </row>
    <row r="866" spans="1:11" x14ac:dyDescent="0.25">
      <c r="A866" t="s">
        <v>2292</v>
      </c>
      <c r="B866" s="2">
        <v>45605</v>
      </c>
      <c r="C866" t="s">
        <v>682</v>
      </c>
      <c r="D866" t="s">
        <v>1015</v>
      </c>
      <c r="E866">
        <v>5</v>
      </c>
      <c r="F866">
        <v>10</v>
      </c>
      <c r="G866">
        <v>2.48</v>
      </c>
      <c r="H866" t="s">
        <v>1187</v>
      </c>
      <c r="I866" t="s">
        <v>1386</v>
      </c>
      <c r="J866" t="s">
        <v>1415</v>
      </c>
      <c r="K866" t="s">
        <v>1421</v>
      </c>
    </row>
    <row r="867" spans="1:11" x14ac:dyDescent="0.25">
      <c r="A867" t="s">
        <v>2293</v>
      </c>
      <c r="B867" s="2">
        <v>45606</v>
      </c>
      <c r="C867" t="s">
        <v>142</v>
      </c>
      <c r="D867" t="s">
        <v>1013</v>
      </c>
      <c r="E867">
        <v>4</v>
      </c>
      <c r="F867">
        <v>25</v>
      </c>
      <c r="G867">
        <v>6.48</v>
      </c>
      <c r="H867" t="s">
        <v>1116</v>
      </c>
      <c r="I867" t="s">
        <v>1315</v>
      </c>
      <c r="J867" t="s">
        <v>1414</v>
      </c>
      <c r="K867" t="s">
        <v>1427</v>
      </c>
    </row>
    <row r="868" spans="1:11" x14ac:dyDescent="0.25">
      <c r="A868" t="s">
        <v>2294</v>
      </c>
      <c r="B868" s="2">
        <v>45606</v>
      </c>
      <c r="C868" t="s">
        <v>331</v>
      </c>
      <c r="D868" t="s">
        <v>1011</v>
      </c>
      <c r="E868">
        <v>8</v>
      </c>
      <c r="F868">
        <v>12</v>
      </c>
      <c r="G868">
        <v>3.72</v>
      </c>
      <c r="H868" t="s">
        <v>1089</v>
      </c>
      <c r="I868" t="s">
        <v>1288</v>
      </c>
      <c r="J868" t="s">
        <v>1416</v>
      </c>
      <c r="K868" t="s">
        <v>1424</v>
      </c>
    </row>
    <row r="869" spans="1:11" x14ac:dyDescent="0.25">
      <c r="A869" t="s">
        <v>2295</v>
      </c>
      <c r="B869" s="2">
        <v>45606</v>
      </c>
      <c r="C869" t="s">
        <v>378</v>
      </c>
      <c r="D869" t="s">
        <v>1011</v>
      </c>
      <c r="E869">
        <v>8</v>
      </c>
      <c r="F869">
        <v>12</v>
      </c>
      <c r="G869">
        <v>3.33</v>
      </c>
      <c r="H869" t="s">
        <v>1182</v>
      </c>
      <c r="I869" t="s">
        <v>1381</v>
      </c>
      <c r="J869" t="s">
        <v>1414</v>
      </c>
      <c r="K869" t="s">
        <v>1418</v>
      </c>
    </row>
    <row r="870" spans="1:11" x14ac:dyDescent="0.25">
      <c r="A870" t="s">
        <v>2296</v>
      </c>
      <c r="B870" s="2">
        <v>45606</v>
      </c>
      <c r="C870" t="s">
        <v>711</v>
      </c>
      <c r="D870" t="s">
        <v>1015</v>
      </c>
      <c r="E870">
        <v>4</v>
      </c>
      <c r="F870">
        <v>10</v>
      </c>
      <c r="G870">
        <v>2.23</v>
      </c>
      <c r="H870" t="s">
        <v>1018</v>
      </c>
      <c r="I870" t="s">
        <v>1217</v>
      </c>
      <c r="J870" t="s">
        <v>1414</v>
      </c>
      <c r="K870" t="s">
        <v>1426</v>
      </c>
    </row>
    <row r="871" spans="1:11" x14ac:dyDescent="0.25">
      <c r="A871" t="s">
        <v>2297</v>
      </c>
      <c r="B871" s="2">
        <v>45607</v>
      </c>
      <c r="C871" t="s">
        <v>279</v>
      </c>
      <c r="D871" t="s">
        <v>1012</v>
      </c>
      <c r="E871">
        <v>4</v>
      </c>
      <c r="F871">
        <v>40</v>
      </c>
      <c r="G871">
        <v>13.67</v>
      </c>
      <c r="H871" t="s">
        <v>1164</v>
      </c>
      <c r="I871" t="s">
        <v>1363</v>
      </c>
      <c r="J871" t="s">
        <v>1414</v>
      </c>
      <c r="K871" t="s">
        <v>1423</v>
      </c>
    </row>
    <row r="872" spans="1:11" x14ac:dyDescent="0.25">
      <c r="A872" t="s">
        <v>2298</v>
      </c>
      <c r="B872" s="2">
        <v>45607</v>
      </c>
      <c r="C872" t="s">
        <v>754</v>
      </c>
      <c r="D872" t="s">
        <v>1012</v>
      </c>
      <c r="E872">
        <v>10</v>
      </c>
      <c r="F872">
        <v>40</v>
      </c>
      <c r="G872">
        <v>8.85</v>
      </c>
      <c r="H872" t="s">
        <v>1121</v>
      </c>
      <c r="I872" t="s">
        <v>1320</v>
      </c>
      <c r="J872" t="s">
        <v>1414</v>
      </c>
      <c r="K872" t="s">
        <v>1422</v>
      </c>
    </row>
    <row r="873" spans="1:11" x14ac:dyDescent="0.25">
      <c r="A873" t="s">
        <v>2299</v>
      </c>
      <c r="B873" s="2">
        <v>45607</v>
      </c>
      <c r="C873" t="s">
        <v>793</v>
      </c>
      <c r="D873" t="s">
        <v>1011</v>
      </c>
      <c r="E873">
        <v>9</v>
      </c>
      <c r="F873">
        <v>12</v>
      </c>
      <c r="G873">
        <v>2.5499999999999998</v>
      </c>
      <c r="H873" t="s">
        <v>1033</v>
      </c>
      <c r="I873" t="s">
        <v>1232</v>
      </c>
      <c r="J873" t="s">
        <v>1414</v>
      </c>
      <c r="K873" t="s">
        <v>1419</v>
      </c>
    </row>
    <row r="874" spans="1:11" x14ac:dyDescent="0.25">
      <c r="A874" t="s">
        <v>2300</v>
      </c>
      <c r="B874" s="2">
        <v>45607</v>
      </c>
      <c r="C874" t="s">
        <v>803</v>
      </c>
      <c r="D874" t="s">
        <v>1014</v>
      </c>
      <c r="E874">
        <v>4</v>
      </c>
      <c r="F874">
        <v>15</v>
      </c>
      <c r="G874">
        <v>5.0199999999999996</v>
      </c>
      <c r="H874" t="s">
        <v>1085</v>
      </c>
      <c r="I874" t="s">
        <v>1284</v>
      </c>
      <c r="J874" t="s">
        <v>1414</v>
      </c>
      <c r="K874" t="s">
        <v>1420</v>
      </c>
    </row>
    <row r="875" spans="1:11" x14ac:dyDescent="0.25">
      <c r="A875" t="s">
        <v>2301</v>
      </c>
      <c r="B875" s="2">
        <v>45607</v>
      </c>
      <c r="C875" t="s">
        <v>848</v>
      </c>
      <c r="D875" t="s">
        <v>1014</v>
      </c>
      <c r="E875">
        <v>1</v>
      </c>
      <c r="F875">
        <v>15</v>
      </c>
      <c r="G875">
        <v>5.27</v>
      </c>
      <c r="H875" t="s">
        <v>1203</v>
      </c>
      <c r="I875" t="s">
        <v>1402</v>
      </c>
      <c r="J875" t="s">
        <v>1414</v>
      </c>
      <c r="K875" t="s">
        <v>1420</v>
      </c>
    </row>
    <row r="876" spans="1:11" x14ac:dyDescent="0.25">
      <c r="A876" t="s">
        <v>2302</v>
      </c>
      <c r="B876" s="2">
        <v>45607</v>
      </c>
      <c r="C876" t="s">
        <v>978</v>
      </c>
      <c r="D876" t="s">
        <v>1014</v>
      </c>
      <c r="E876">
        <v>8</v>
      </c>
      <c r="F876">
        <v>15</v>
      </c>
      <c r="G876">
        <v>3.79</v>
      </c>
      <c r="H876" t="s">
        <v>1061</v>
      </c>
      <c r="I876" t="s">
        <v>1260</v>
      </c>
      <c r="J876" t="s">
        <v>1414</v>
      </c>
      <c r="K876" t="s">
        <v>1422</v>
      </c>
    </row>
    <row r="877" spans="1:11" x14ac:dyDescent="0.25">
      <c r="A877" t="s">
        <v>2303</v>
      </c>
      <c r="B877" s="2">
        <v>45608</v>
      </c>
      <c r="C877" t="s">
        <v>559</v>
      </c>
      <c r="D877" t="s">
        <v>1015</v>
      </c>
      <c r="E877">
        <v>8</v>
      </c>
      <c r="F877">
        <v>10</v>
      </c>
      <c r="G877">
        <v>2.94</v>
      </c>
      <c r="H877" t="s">
        <v>1100</v>
      </c>
      <c r="I877" t="s">
        <v>1299</v>
      </c>
      <c r="J877" t="s">
        <v>1414</v>
      </c>
      <c r="K877" t="s">
        <v>1419</v>
      </c>
    </row>
    <row r="878" spans="1:11" x14ac:dyDescent="0.25">
      <c r="A878" t="s">
        <v>2304</v>
      </c>
      <c r="B878" s="2">
        <v>45608</v>
      </c>
      <c r="C878" t="s">
        <v>961</v>
      </c>
      <c r="D878" t="s">
        <v>1013</v>
      </c>
      <c r="E878">
        <v>10</v>
      </c>
      <c r="F878">
        <v>25</v>
      </c>
      <c r="G878">
        <v>6.9</v>
      </c>
      <c r="H878" t="s">
        <v>1150</v>
      </c>
      <c r="I878" t="s">
        <v>1349</v>
      </c>
      <c r="J878" t="s">
        <v>1416</v>
      </c>
      <c r="K878" t="s">
        <v>1426</v>
      </c>
    </row>
    <row r="879" spans="1:11" x14ac:dyDescent="0.25">
      <c r="A879" t="s">
        <v>2305</v>
      </c>
      <c r="B879" s="2">
        <v>45609</v>
      </c>
      <c r="C879" t="s">
        <v>449</v>
      </c>
      <c r="D879" t="s">
        <v>1012</v>
      </c>
      <c r="E879">
        <v>9</v>
      </c>
      <c r="F879">
        <v>40</v>
      </c>
      <c r="G879">
        <v>14.51</v>
      </c>
      <c r="H879" t="s">
        <v>1093</v>
      </c>
      <c r="I879" t="s">
        <v>1292</v>
      </c>
      <c r="J879" t="s">
        <v>1414</v>
      </c>
      <c r="K879" t="s">
        <v>1423</v>
      </c>
    </row>
    <row r="880" spans="1:11" x14ac:dyDescent="0.25">
      <c r="A880" t="s">
        <v>2306</v>
      </c>
      <c r="B880" s="2">
        <v>45609</v>
      </c>
      <c r="C880" t="s">
        <v>597</v>
      </c>
      <c r="D880" t="s">
        <v>1014</v>
      </c>
      <c r="E880">
        <v>9</v>
      </c>
      <c r="F880">
        <v>15</v>
      </c>
      <c r="G880">
        <v>4.51</v>
      </c>
      <c r="H880" t="s">
        <v>1095</v>
      </c>
      <c r="I880" t="s">
        <v>1294</v>
      </c>
      <c r="J880" t="s">
        <v>1415</v>
      </c>
      <c r="K880" t="s">
        <v>1425</v>
      </c>
    </row>
    <row r="881" spans="1:11" x14ac:dyDescent="0.25">
      <c r="A881" t="s">
        <v>2307</v>
      </c>
      <c r="B881" s="2">
        <v>45609</v>
      </c>
      <c r="C881" t="s">
        <v>638</v>
      </c>
      <c r="D881" t="s">
        <v>1012</v>
      </c>
      <c r="E881">
        <v>8</v>
      </c>
      <c r="F881">
        <v>40</v>
      </c>
      <c r="G881">
        <v>14.12</v>
      </c>
      <c r="H881" t="s">
        <v>1061</v>
      </c>
      <c r="I881" t="s">
        <v>1260</v>
      </c>
      <c r="J881" t="s">
        <v>1414</v>
      </c>
      <c r="K881" t="s">
        <v>1425</v>
      </c>
    </row>
    <row r="882" spans="1:11" x14ac:dyDescent="0.25">
      <c r="A882" t="s">
        <v>2308</v>
      </c>
      <c r="B882" s="2">
        <v>45609</v>
      </c>
      <c r="C882" t="s">
        <v>990</v>
      </c>
      <c r="D882" t="s">
        <v>1012</v>
      </c>
      <c r="E882">
        <v>1</v>
      </c>
      <c r="F882">
        <v>40</v>
      </c>
      <c r="G882">
        <v>9.23</v>
      </c>
      <c r="H882" t="s">
        <v>1064</v>
      </c>
      <c r="I882" t="s">
        <v>1263</v>
      </c>
      <c r="J882" t="s">
        <v>1416</v>
      </c>
      <c r="K882" t="s">
        <v>1418</v>
      </c>
    </row>
    <row r="883" spans="1:11" x14ac:dyDescent="0.25">
      <c r="A883" t="s">
        <v>2309</v>
      </c>
      <c r="B883" s="2">
        <v>45610</v>
      </c>
      <c r="C883" t="s">
        <v>640</v>
      </c>
      <c r="D883" t="s">
        <v>1011</v>
      </c>
      <c r="E883">
        <v>3</v>
      </c>
      <c r="F883">
        <v>12</v>
      </c>
      <c r="G883">
        <v>3.16</v>
      </c>
      <c r="H883" t="s">
        <v>1107</v>
      </c>
      <c r="I883" t="s">
        <v>1306</v>
      </c>
      <c r="J883" t="s">
        <v>1414</v>
      </c>
      <c r="K883" t="s">
        <v>1427</v>
      </c>
    </row>
    <row r="884" spans="1:11" x14ac:dyDescent="0.25">
      <c r="A884" t="s">
        <v>2310</v>
      </c>
      <c r="B884" s="2">
        <v>45610</v>
      </c>
      <c r="C884" t="s">
        <v>850</v>
      </c>
      <c r="D884" t="s">
        <v>1013</v>
      </c>
      <c r="E884">
        <v>8</v>
      </c>
      <c r="F884">
        <v>25</v>
      </c>
      <c r="G884">
        <v>9.1199999999999992</v>
      </c>
      <c r="H884" t="s">
        <v>1157</v>
      </c>
      <c r="I884" t="s">
        <v>1356</v>
      </c>
      <c r="J884" t="s">
        <v>1414</v>
      </c>
      <c r="K884" t="s">
        <v>1423</v>
      </c>
    </row>
    <row r="885" spans="1:11" x14ac:dyDescent="0.25">
      <c r="A885" t="s">
        <v>2311</v>
      </c>
      <c r="B885" s="2">
        <v>45611</v>
      </c>
      <c r="C885" t="s">
        <v>872</v>
      </c>
      <c r="D885" t="s">
        <v>1012</v>
      </c>
      <c r="E885">
        <v>6</v>
      </c>
      <c r="F885">
        <v>40</v>
      </c>
      <c r="G885">
        <v>13.56</v>
      </c>
      <c r="H885" t="s">
        <v>1194</v>
      </c>
      <c r="I885" t="s">
        <v>1393</v>
      </c>
      <c r="J885" t="s">
        <v>1414</v>
      </c>
      <c r="K885" t="s">
        <v>1424</v>
      </c>
    </row>
    <row r="886" spans="1:11" x14ac:dyDescent="0.25">
      <c r="A886" t="s">
        <v>2312</v>
      </c>
      <c r="B886" s="2">
        <v>45612</v>
      </c>
      <c r="C886" t="s">
        <v>435</v>
      </c>
      <c r="D886" t="s">
        <v>1012</v>
      </c>
      <c r="E886">
        <v>6</v>
      </c>
      <c r="F886">
        <v>40</v>
      </c>
      <c r="G886">
        <v>9.3699999999999992</v>
      </c>
      <c r="H886" t="s">
        <v>1045</v>
      </c>
      <c r="I886" t="s">
        <v>1244</v>
      </c>
      <c r="J886" t="s">
        <v>1414</v>
      </c>
      <c r="K886" t="s">
        <v>1422</v>
      </c>
    </row>
    <row r="887" spans="1:11" x14ac:dyDescent="0.25">
      <c r="A887" t="s">
        <v>2313</v>
      </c>
      <c r="B887" s="2">
        <v>45612</v>
      </c>
      <c r="C887" t="s">
        <v>951</v>
      </c>
      <c r="D887" t="s">
        <v>1013</v>
      </c>
      <c r="E887">
        <v>4</v>
      </c>
      <c r="F887">
        <v>25</v>
      </c>
      <c r="G887">
        <v>7.64</v>
      </c>
      <c r="H887" t="s">
        <v>1078</v>
      </c>
      <c r="I887" t="s">
        <v>1277</v>
      </c>
      <c r="J887" t="s">
        <v>1417</v>
      </c>
      <c r="K887" t="s">
        <v>1424</v>
      </c>
    </row>
    <row r="888" spans="1:11" x14ac:dyDescent="0.25">
      <c r="A888" t="s">
        <v>2314</v>
      </c>
      <c r="B888" s="2">
        <v>45613</v>
      </c>
      <c r="C888" t="s">
        <v>125</v>
      </c>
      <c r="D888" t="s">
        <v>1013</v>
      </c>
      <c r="E888">
        <v>9</v>
      </c>
      <c r="F888">
        <v>25</v>
      </c>
      <c r="G888">
        <v>6.72</v>
      </c>
      <c r="H888" t="s">
        <v>1070</v>
      </c>
      <c r="I888" t="s">
        <v>1269</v>
      </c>
      <c r="J888" t="s">
        <v>1414</v>
      </c>
      <c r="K888" t="s">
        <v>1427</v>
      </c>
    </row>
    <row r="889" spans="1:11" x14ac:dyDescent="0.25">
      <c r="A889" t="s">
        <v>2315</v>
      </c>
      <c r="B889" s="2">
        <v>45613</v>
      </c>
      <c r="C889" t="s">
        <v>774</v>
      </c>
      <c r="D889" t="s">
        <v>1011</v>
      </c>
      <c r="E889">
        <v>6</v>
      </c>
      <c r="F889">
        <v>12</v>
      </c>
      <c r="G889">
        <v>4.53</v>
      </c>
      <c r="H889" t="s">
        <v>1087</v>
      </c>
      <c r="I889" t="s">
        <v>1286</v>
      </c>
      <c r="J889" t="s">
        <v>1414</v>
      </c>
      <c r="K889" t="s">
        <v>1424</v>
      </c>
    </row>
    <row r="890" spans="1:11" x14ac:dyDescent="0.25">
      <c r="A890" t="s">
        <v>2316</v>
      </c>
      <c r="B890" s="2">
        <v>45613</v>
      </c>
      <c r="C890" t="s">
        <v>854</v>
      </c>
      <c r="D890" t="s">
        <v>1013</v>
      </c>
      <c r="E890">
        <v>2</v>
      </c>
      <c r="F890">
        <v>25</v>
      </c>
      <c r="G890">
        <v>8.14</v>
      </c>
      <c r="H890" t="s">
        <v>1120</v>
      </c>
      <c r="I890" t="s">
        <v>1319</v>
      </c>
      <c r="J890" t="s">
        <v>1416</v>
      </c>
      <c r="K890" t="s">
        <v>1427</v>
      </c>
    </row>
    <row r="891" spans="1:11" x14ac:dyDescent="0.25">
      <c r="A891" t="s">
        <v>2317</v>
      </c>
      <c r="B891" s="2">
        <v>45614</v>
      </c>
      <c r="C891" t="s">
        <v>427</v>
      </c>
      <c r="D891" t="s">
        <v>1014</v>
      </c>
      <c r="E891">
        <v>2</v>
      </c>
      <c r="F891">
        <v>15</v>
      </c>
      <c r="G891">
        <v>5.3</v>
      </c>
      <c r="H891" t="s">
        <v>1190</v>
      </c>
      <c r="I891" t="s">
        <v>1389</v>
      </c>
      <c r="J891" t="s">
        <v>1414</v>
      </c>
      <c r="K891" t="s">
        <v>1421</v>
      </c>
    </row>
    <row r="892" spans="1:11" x14ac:dyDescent="0.25">
      <c r="A892" t="s">
        <v>2318</v>
      </c>
      <c r="B892" s="2">
        <v>45614</v>
      </c>
      <c r="C892" t="s">
        <v>434</v>
      </c>
      <c r="D892" t="s">
        <v>1011</v>
      </c>
      <c r="E892">
        <v>10</v>
      </c>
      <c r="F892">
        <v>12</v>
      </c>
      <c r="G892">
        <v>2.4500000000000002</v>
      </c>
      <c r="H892" t="s">
        <v>1191</v>
      </c>
      <c r="I892" t="s">
        <v>1390</v>
      </c>
      <c r="J892" t="s">
        <v>1414</v>
      </c>
      <c r="K892" t="s">
        <v>1426</v>
      </c>
    </row>
    <row r="893" spans="1:11" x14ac:dyDescent="0.25">
      <c r="A893" t="s">
        <v>2319</v>
      </c>
      <c r="B893" s="2">
        <v>45614</v>
      </c>
      <c r="C893" t="s">
        <v>471</v>
      </c>
      <c r="D893" t="s">
        <v>1012</v>
      </c>
      <c r="E893">
        <v>1</v>
      </c>
      <c r="F893">
        <v>40</v>
      </c>
      <c r="G893">
        <v>8.51</v>
      </c>
      <c r="H893" t="s">
        <v>1127</v>
      </c>
      <c r="I893" t="s">
        <v>1326</v>
      </c>
      <c r="J893" t="s">
        <v>1415</v>
      </c>
      <c r="K893" t="s">
        <v>1423</v>
      </c>
    </row>
    <row r="894" spans="1:11" x14ac:dyDescent="0.25">
      <c r="A894" t="s">
        <v>2320</v>
      </c>
      <c r="B894" s="2">
        <v>45614</v>
      </c>
      <c r="C894" t="s">
        <v>566</v>
      </c>
      <c r="D894" t="s">
        <v>1013</v>
      </c>
      <c r="E894">
        <v>3</v>
      </c>
      <c r="F894">
        <v>25</v>
      </c>
      <c r="G894">
        <v>5.0999999999999996</v>
      </c>
      <c r="H894" t="s">
        <v>1066</v>
      </c>
      <c r="I894" t="s">
        <v>1265</v>
      </c>
      <c r="J894" t="s">
        <v>1416</v>
      </c>
      <c r="K894" t="s">
        <v>1420</v>
      </c>
    </row>
    <row r="895" spans="1:11" x14ac:dyDescent="0.25">
      <c r="A895" t="s">
        <v>2321</v>
      </c>
      <c r="B895" s="2">
        <v>45614</v>
      </c>
      <c r="C895" t="s">
        <v>762</v>
      </c>
      <c r="D895" t="s">
        <v>1015</v>
      </c>
      <c r="E895">
        <v>9</v>
      </c>
      <c r="F895">
        <v>10</v>
      </c>
      <c r="G895">
        <v>2.68</v>
      </c>
      <c r="H895" t="s">
        <v>1185</v>
      </c>
      <c r="I895" t="s">
        <v>1384</v>
      </c>
      <c r="J895" t="s">
        <v>1415</v>
      </c>
      <c r="K895" t="s">
        <v>1420</v>
      </c>
    </row>
    <row r="896" spans="1:11" x14ac:dyDescent="0.25">
      <c r="A896" t="s">
        <v>2322</v>
      </c>
      <c r="B896" s="2">
        <v>45614</v>
      </c>
      <c r="C896" t="s">
        <v>826</v>
      </c>
      <c r="D896" t="s">
        <v>1015</v>
      </c>
      <c r="E896">
        <v>10</v>
      </c>
      <c r="F896">
        <v>10</v>
      </c>
      <c r="G896">
        <v>3.4</v>
      </c>
      <c r="H896" t="s">
        <v>1137</v>
      </c>
      <c r="I896" t="s">
        <v>1336</v>
      </c>
      <c r="J896" t="s">
        <v>1416</v>
      </c>
      <c r="K896" t="s">
        <v>1422</v>
      </c>
    </row>
    <row r="897" spans="1:11" x14ac:dyDescent="0.25">
      <c r="A897" t="s">
        <v>2323</v>
      </c>
      <c r="B897" s="2">
        <v>45615</v>
      </c>
      <c r="C897" t="s">
        <v>403</v>
      </c>
      <c r="D897" t="s">
        <v>1015</v>
      </c>
      <c r="E897">
        <v>1</v>
      </c>
      <c r="F897">
        <v>10</v>
      </c>
      <c r="G897">
        <v>3.72</v>
      </c>
      <c r="H897" t="s">
        <v>1172</v>
      </c>
      <c r="I897" t="s">
        <v>1371</v>
      </c>
      <c r="J897" t="s">
        <v>1416</v>
      </c>
      <c r="K897" t="s">
        <v>1423</v>
      </c>
    </row>
    <row r="898" spans="1:11" x14ac:dyDescent="0.25">
      <c r="A898" t="s">
        <v>2324</v>
      </c>
      <c r="B898" s="2">
        <v>45616</v>
      </c>
      <c r="C898" t="s">
        <v>158</v>
      </c>
      <c r="D898" t="s">
        <v>1013</v>
      </c>
      <c r="E898">
        <v>10</v>
      </c>
      <c r="F898">
        <v>25</v>
      </c>
      <c r="G898">
        <v>9.86</v>
      </c>
      <c r="H898" t="s">
        <v>1073</v>
      </c>
      <c r="I898" t="s">
        <v>1272</v>
      </c>
      <c r="J898" t="s">
        <v>1415</v>
      </c>
      <c r="K898" t="s">
        <v>1426</v>
      </c>
    </row>
    <row r="899" spans="1:11" x14ac:dyDescent="0.25">
      <c r="A899" t="s">
        <v>2325</v>
      </c>
      <c r="B899" s="2">
        <v>45617</v>
      </c>
      <c r="C899" t="s">
        <v>372</v>
      </c>
      <c r="D899" t="s">
        <v>1011</v>
      </c>
      <c r="E899">
        <v>2</v>
      </c>
      <c r="F899">
        <v>12</v>
      </c>
      <c r="G899">
        <v>4.3899999999999997</v>
      </c>
      <c r="H899" t="s">
        <v>1043</v>
      </c>
      <c r="I899" t="s">
        <v>1242</v>
      </c>
      <c r="J899" t="s">
        <v>1414</v>
      </c>
      <c r="K899" t="s">
        <v>1426</v>
      </c>
    </row>
    <row r="900" spans="1:11" x14ac:dyDescent="0.25">
      <c r="A900" t="s">
        <v>2326</v>
      </c>
      <c r="B900" s="2">
        <v>45618</v>
      </c>
      <c r="C900" t="s">
        <v>341</v>
      </c>
      <c r="D900" t="s">
        <v>1014</v>
      </c>
      <c r="E900">
        <v>1</v>
      </c>
      <c r="F900">
        <v>15</v>
      </c>
      <c r="G900">
        <v>3.55</v>
      </c>
      <c r="H900" t="s">
        <v>1100</v>
      </c>
      <c r="I900" t="s">
        <v>1299</v>
      </c>
      <c r="J900" t="s">
        <v>1414</v>
      </c>
      <c r="K900" t="s">
        <v>1423</v>
      </c>
    </row>
    <row r="901" spans="1:11" x14ac:dyDescent="0.25">
      <c r="A901" t="s">
        <v>2327</v>
      </c>
      <c r="B901" s="2">
        <v>45618</v>
      </c>
      <c r="C901" t="s">
        <v>719</v>
      </c>
      <c r="D901" t="s">
        <v>1014</v>
      </c>
      <c r="E901">
        <v>7</v>
      </c>
      <c r="F901">
        <v>15</v>
      </c>
      <c r="G901">
        <v>4.03</v>
      </c>
      <c r="H901" t="s">
        <v>1105</v>
      </c>
      <c r="I901" t="s">
        <v>1304</v>
      </c>
      <c r="J901" t="s">
        <v>1414</v>
      </c>
      <c r="K901" t="s">
        <v>1427</v>
      </c>
    </row>
    <row r="902" spans="1:11" x14ac:dyDescent="0.25">
      <c r="A902" t="s">
        <v>2328</v>
      </c>
      <c r="B902" s="2">
        <v>45619</v>
      </c>
      <c r="C902" t="s">
        <v>646</v>
      </c>
      <c r="D902" t="s">
        <v>1013</v>
      </c>
      <c r="E902">
        <v>1</v>
      </c>
      <c r="F902">
        <v>25</v>
      </c>
      <c r="G902">
        <v>9.8800000000000008</v>
      </c>
      <c r="H902" t="s">
        <v>1064</v>
      </c>
      <c r="I902" t="s">
        <v>1263</v>
      </c>
      <c r="J902" t="s">
        <v>1414</v>
      </c>
      <c r="K902" t="s">
        <v>1423</v>
      </c>
    </row>
    <row r="903" spans="1:11" x14ac:dyDescent="0.25">
      <c r="A903" t="s">
        <v>2329</v>
      </c>
      <c r="B903" s="2">
        <v>45619</v>
      </c>
      <c r="C903" t="s">
        <v>651</v>
      </c>
      <c r="D903" t="s">
        <v>1013</v>
      </c>
      <c r="E903">
        <v>8</v>
      </c>
      <c r="F903">
        <v>25</v>
      </c>
      <c r="G903">
        <v>6.58</v>
      </c>
      <c r="H903" t="s">
        <v>1050</v>
      </c>
      <c r="I903" t="s">
        <v>1249</v>
      </c>
      <c r="J903" t="s">
        <v>1414</v>
      </c>
      <c r="K903" t="s">
        <v>1426</v>
      </c>
    </row>
    <row r="904" spans="1:11" x14ac:dyDescent="0.25">
      <c r="A904" t="s">
        <v>2330</v>
      </c>
      <c r="B904" s="2">
        <v>45619</v>
      </c>
      <c r="C904" t="s">
        <v>666</v>
      </c>
      <c r="D904" t="s">
        <v>1013</v>
      </c>
      <c r="E904">
        <v>8</v>
      </c>
      <c r="F904">
        <v>25</v>
      </c>
      <c r="G904">
        <v>6.56</v>
      </c>
      <c r="H904" t="s">
        <v>1194</v>
      </c>
      <c r="I904" t="s">
        <v>1393</v>
      </c>
      <c r="J904" t="s">
        <v>1416</v>
      </c>
      <c r="K904" t="s">
        <v>1420</v>
      </c>
    </row>
    <row r="905" spans="1:11" x14ac:dyDescent="0.25">
      <c r="A905" t="s">
        <v>2331</v>
      </c>
      <c r="B905" s="2">
        <v>45620</v>
      </c>
      <c r="C905" t="s">
        <v>693</v>
      </c>
      <c r="D905" t="s">
        <v>1015</v>
      </c>
      <c r="E905">
        <v>9</v>
      </c>
      <c r="F905">
        <v>10</v>
      </c>
      <c r="G905">
        <v>2.66</v>
      </c>
      <c r="H905" t="s">
        <v>1022</v>
      </c>
      <c r="I905" t="s">
        <v>1221</v>
      </c>
      <c r="J905" t="s">
        <v>1416</v>
      </c>
      <c r="K905" t="s">
        <v>1423</v>
      </c>
    </row>
    <row r="906" spans="1:11" x14ac:dyDescent="0.25">
      <c r="A906" t="s">
        <v>2332</v>
      </c>
      <c r="B906" s="2">
        <v>45622</v>
      </c>
      <c r="C906" t="s">
        <v>100</v>
      </c>
      <c r="D906" t="s">
        <v>1012</v>
      </c>
      <c r="E906">
        <v>1</v>
      </c>
      <c r="F906">
        <v>40</v>
      </c>
      <c r="G906">
        <v>10.130000000000001</v>
      </c>
      <c r="H906" t="s">
        <v>1084</v>
      </c>
      <c r="I906" t="s">
        <v>1283</v>
      </c>
      <c r="J906" t="s">
        <v>1414</v>
      </c>
      <c r="K906" t="s">
        <v>1422</v>
      </c>
    </row>
    <row r="907" spans="1:11" x14ac:dyDescent="0.25">
      <c r="A907" t="s">
        <v>2333</v>
      </c>
      <c r="B907" s="2">
        <v>45622</v>
      </c>
      <c r="C907" t="s">
        <v>156</v>
      </c>
      <c r="D907" t="s">
        <v>1014</v>
      </c>
      <c r="E907">
        <v>2</v>
      </c>
      <c r="F907">
        <v>15</v>
      </c>
      <c r="G907">
        <v>3.3</v>
      </c>
      <c r="H907" t="s">
        <v>1094</v>
      </c>
      <c r="I907" t="s">
        <v>1293</v>
      </c>
      <c r="J907" t="s">
        <v>1416</v>
      </c>
      <c r="K907" t="s">
        <v>1424</v>
      </c>
    </row>
    <row r="908" spans="1:11" x14ac:dyDescent="0.25">
      <c r="A908" t="s">
        <v>2334</v>
      </c>
      <c r="B908" s="2">
        <v>45622</v>
      </c>
      <c r="C908" t="s">
        <v>160</v>
      </c>
      <c r="D908" t="s">
        <v>1014</v>
      </c>
      <c r="E908">
        <v>6</v>
      </c>
      <c r="F908">
        <v>15</v>
      </c>
      <c r="G908">
        <v>5.45</v>
      </c>
      <c r="H908" t="s">
        <v>1111</v>
      </c>
      <c r="I908" t="s">
        <v>1310</v>
      </c>
      <c r="J908" t="s">
        <v>1416</v>
      </c>
      <c r="K908" t="s">
        <v>1419</v>
      </c>
    </row>
    <row r="909" spans="1:11" x14ac:dyDescent="0.25">
      <c r="A909" t="s">
        <v>2335</v>
      </c>
      <c r="B909" s="2">
        <v>45622</v>
      </c>
      <c r="C909" t="s">
        <v>325</v>
      </c>
      <c r="D909" t="s">
        <v>1012</v>
      </c>
      <c r="E909">
        <v>2</v>
      </c>
      <c r="F909">
        <v>40</v>
      </c>
      <c r="G909">
        <v>12.19</v>
      </c>
      <c r="H909" t="s">
        <v>1065</v>
      </c>
      <c r="I909" t="s">
        <v>1264</v>
      </c>
      <c r="J909" t="s">
        <v>1414</v>
      </c>
      <c r="K909" t="s">
        <v>1426</v>
      </c>
    </row>
    <row r="910" spans="1:11" x14ac:dyDescent="0.25">
      <c r="A910" t="s">
        <v>2336</v>
      </c>
      <c r="B910" s="2">
        <v>45622</v>
      </c>
      <c r="C910" t="s">
        <v>366</v>
      </c>
      <c r="D910" t="s">
        <v>1013</v>
      </c>
      <c r="E910">
        <v>2</v>
      </c>
      <c r="F910">
        <v>25</v>
      </c>
      <c r="G910">
        <v>6.17</v>
      </c>
      <c r="H910" t="s">
        <v>1159</v>
      </c>
      <c r="I910" t="s">
        <v>1358</v>
      </c>
      <c r="J910" t="s">
        <v>1414</v>
      </c>
      <c r="K910" t="s">
        <v>1425</v>
      </c>
    </row>
    <row r="911" spans="1:11" x14ac:dyDescent="0.25">
      <c r="A911" t="s">
        <v>2337</v>
      </c>
      <c r="B911" s="2">
        <v>45622</v>
      </c>
      <c r="C911" t="s">
        <v>764</v>
      </c>
      <c r="D911" t="s">
        <v>1013</v>
      </c>
      <c r="E911">
        <v>9</v>
      </c>
      <c r="F911">
        <v>25</v>
      </c>
      <c r="G911">
        <v>6.35</v>
      </c>
      <c r="H911" t="s">
        <v>1205</v>
      </c>
      <c r="I911" t="s">
        <v>1404</v>
      </c>
      <c r="J911" t="s">
        <v>1417</v>
      </c>
      <c r="K911" t="s">
        <v>1427</v>
      </c>
    </row>
    <row r="912" spans="1:11" x14ac:dyDescent="0.25">
      <c r="A912" t="s">
        <v>2338</v>
      </c>
      <c r="B912" s="2">
        <v>45623</v>
      </c>
      <c r="C912" t="s">
        <v>241</v>
      </c>
      <c r="D912" t="s">
        <v>1014</v>
      </c>
      <c r="E912">
        <v>2</v>
      </c>
      <c r="G912">
        <v>4.1500000000000004</v>
      </c>
      <c r="H912" t="s">
        <v>1152</v>
      </c>
      <c r="I912" t="s">
        <v>1351</v>
      </c>
      <c r="J912" t="s">
        <v>1416</v>
      </c>
      <c r="K912" t="s">
        <v>1419</v>
      </c>
    </row>
    <row r="913" spans="1:11" x14ac:dyDescent="0.25">
      <c r="A913" t="s">
        <v>2339</v>
      </c>
      <c r="B913" s="2">
        <v>45623</v>
      </c>
      <c r="C913" t="s">
        <v>401</v>
      </c>
      <c r="D913" t="s">
        <v>1013</v>
      </c>
      <c r="E913">
        <v>3</v>
      </c>
      <c r="F913">
        <v>25</v>
      </c>
      <c r="G913">
        <v>9.27</v>
      </c>
      <c r="H913" t="s">
        <v>1073</v>
      </c>
      <c r="I913" t="s">
        <v>1272</v>
      </c>
      <c r="J913" t="s">
        <v>1417</v>
      </c>
      <c r="K913" t="s">
        <v>1423</v>
      </c>
    </row>
    <row r="914" spans="1:11" x14ac:dyDescent="0.25">
      <c r="A914" t="s">
        <v>2340</v>
      </c>
      <c r="B914" s="2">
        <v>45623</v>
      </c>
      <c r="C914" t="s">
        <v>408</v>
      </c>
      <c r="D914" t="s">
        <v>1011</v>
      </c>
      <c r="E914">
        <v>4</v>
      </c>
      <c r="F914">
        <v>12</v>
      </c>
      <c r="G914">
        <v>4.3899999999999997</v>
      </c>
      <c r="H914" t="s">
        <v>1102</v>
      </c>
      <c r="I914" t="s">
        <v>1301</v>
      </c>
      <c r="J914" t="s">
        <v>1414</v>
      </c>
      <c r="K914" t="s">
        <v>1421</v>
      </c>
    </row>
    <row r="915" spans="1:11" x14ac:dyDescent="0.25">
      <c r="A915" t="s">
        <v>2341</v>
      </c>
      <c r="B915" s="2">
        <v>45623</v>
      </c>
      <c r="C915" t="s">
        <v>668</v>
      </c>
      <c r="D915" t="s">
        <v>1013</v>
      </c>
      <c r="E915">
        <v>10</v>
      </c>
      <c r="F915">
        <v>25</v>
      </c>
      <c r="G915">
        <v>9.83</v>
      </c>
      <c r="H915" t="s">
        <v>1108</v>
      </c>
      <c r="I915" t="s">
        <v>1307</v>
      </c>
      <c r="J915" t="s">
        <v>1416</v>
      </c>
      <c r="K915" t="s">
        <v>1423</v>
      </c>
    </row>
    <row r="916" spans="1:11" x14ac:dyDescent="0.25">
      <c r="A916" t="s">
        <v>2342</v>
      </c>
      <c r="B916" s="2">
        <v>45623</v>
      </c>
      <c r="C916" t="s">
        <v>807</v>
      </c>
      <c r="D916" t="s">
        <v>1011</v>
      </c>
      <c r="E916">
        <v>2</v>
      </c>
      <c r="F916">
        <v>12</v>
      </c>
      <c r="G916">
        <v>3.46</v>
      </c>
      <c r="H916" t="s">
        <v>1070</v>
      </c>
      <c r="I916" t="s">
        <v>1269</v>
      </c>
      <c r="J916" t="s">
        <v>1416</v>
      </c>
      <c r="K916" t="s">
        <v>1422</v>
      </c>
    </row>
    <row r="917" spans="1:11" x14ac:dyDescent="0.25">
      <c r="A917" t="s">
        <v>2343</v>
      </c>
      <c r="B917" s="2">
        <v>45624</v>
      </c>
      <c r="C917" t="s">
        <v>198</v>
      </c>
      <c r="D917" t="s">
        <v>1013</v>
      </c>
      <c r="E917">
        <v>2</v>
      </c>
      <c r="F917">
        <v>25</v>
      </c>
      <c r="G917">
        <v>7.66</v>
      </c>
      <c r="H917" t="s">
        <v>1139</v>
      </c>
      <c r="I917" t="s">
        <v>1338</v>
      </c>
      <c r="J917" t="s">
        <v>1414</v>
      </c>
      <c r="K917" t="s">
        <v>1423</v>
      </c>
    </row>
    <row r="918" spans="1:11" x14ac:dyDescent="0.25">
      <c r="A918" t="s">
        <v>2344</v>
      </c>
      <c r="B918" s="2">
        <v>45625</v>
      </c>
      <c r="C918" t="s">
        <v>458</v>
      </c>
      <c r="D918" t="s">
        <v>1015</v>
      </c>
      <c r="E918">
        <v>10</v>
      </c>
      <c r="F918">
        <v>10</v>
      </c>
      <c r="G918">
        <v>2.0299999999999998</v>
      </c>
      <c r="H918" t="s">
        <v>1057</v>
      </c>
      <c r="I918" t="s">
        <v>1256</v>
      </c>
      <c r="J918" t="s">
        <v>1416</v>
      </c>
      <c r="K918" t="s">
        <v>1426</v>
      </c>
    </row>
    <row r="919" spans="1:11" x14ac:dyDescent="0.25">
      <c r="A919" t="s">
        <v>2345</v>
      </c>
      <c r="B919" s="2">
        <v>45625</v>
      </c>
      <c r="C919" t="s">
        <v>564</v>
      </c>
      <c r="D919" t="s">
        <v>1015</v>
      </c>
      <c r="E919">
        <v>10</v>
      </c>
      <c r="F919">
        <v>10</v>
      </c>
      <c r="G919">
        <v>3.83</v>
      </c>
      <c r="H919" t="s">
        <v>1153</v>
      </c>
      <c r="I919" t="s">
        <v>1352</v>
      </c>
      <c r="J919" t="s">
        <v>1417</v>
      </c>
      <c r="K919" t="s">
        <v>1423</v>
      </c>
    </row>
    <row r="920" spans="1:11" x14ac:dyDescent="0.25">
      <c r="A920" t="s">
        <v>2346</v>
      </c>
      <c r="B920" s="2">
        <v>45625</v>
      </c>
      <c r="C920" t="s">
        <v>655</v>
      </c>
      <c r="D920" t="s">
        <v>1013</v>
      </c>
      <c r="E920">
        <v>2</v>
      </c>
      <c r="F920">
        <v>25</v>
      </c>
      <c r="G920">
        <v>7.63</v>
      </c>
      <c r="H920" t="s">
        <v>1133</v>
      </c>
      <c r="I920" t="s">
        <v>1332</v>
      </c>
      <c r="J920" t="s">
        <v>1415</v>
      </c>
      <c r="K920" t="s">
        <v>1426</v>
      </c>
    </row>
    <row r="921" spans="1:11" x14ac:dyDescent="0.25">
      <c r="A921" t="s">
        <v>2347</v>
      </c>
      <c r="B921" s="2">
        <v>45625</v>
      </c>
      <c r="C921" t="s">
        <v>660</v>
      </c>
      <c r="D921" t="s">
        <v>1014</v>
      </c>
      <c r="E921">
        <v>4</v>
      </c>
      <c r="F921">
        <v>15</v>
      </c>
      <c r="G921">
        <v>4.93</v>
      </c>
      <c r="H921" t="s">
        <v>1170</v>
      </c>
      <c r="I921" t="s">
        <v>1369</v>
      </c>
      <c r="J921" t="s">
        <v>1414</v>
      </c>
      <c r="K921" t="s">
        <v>1421</v>
      </c>
    </row>
    <row r="922" spans="1:11" x14ac:dyDescent="0.25">
      <c r="A922" t="s">
        <v>2348</v>
      </c>
      <c r="B922" s="2">
        <v>45627</v>
      </c>
      <c r="C922" t="s">
        <v>215</v>
      </c>
      <c r="D922" t="s">
        <v>1013</v>
      </c>
      <c r="E922">
        <v>8</v>
      </c>
      <c r="F922">
        <v>25</v>
      </c>
      <c r="G922">
        <v>7.07</v>
      </c>
      <c r="H922" t="s">
        <v>1106</v>
      </c>
      <c r="I922" t="s">
        <v>1305</v>
      </c>
      <c r="J922" t="s">
        <v>1414</v>
      </c>
      <c r="K922" t="s">
        <v>1419</v>
      </c>
    </row>
    <row r="923" spans="1:11" x14ac:dyDescent="0.25">
      <c r="A923" t="s">
        <v>2349</v>
      </c>
      <c r="B923" s="2">
        <v>45627</v>
      </c>
      <c r="C923" t="s">
        <v>723</v>
      </c>
      <c r="D923" t="s">
        <v>1011</v>
      </c>
      <c r="E923">
        <v>9</v>
      </c>
      <c r="F923">
        <v>12</v>
      </c>
      <c r="G923">
        <v>2.78</v>
      </c>
      <c r="H923" t="s">
        <v>1157</v>
      </c>
      <c r="I923" t="s">
        <v>1356</v>
      </c>
      <c r="J923" t="s">
        <v>1416</v>
      </c>
      <c r="K923" t="s">
        <v>1422</v>
      </c>
    </row>
    <row r="924" spans="1:11" x14ac:dyDescent="0.25">
      <c r="A924" t="s">
        <v>2350</v>
      </c>
      <c r="B924" s="2">
        <v>45627</v>
      </c>
      <c r="C924" t="s">
        <v>734</v>
      </c>
      <c r="D924" t="s">
        <v>1012</v>
      </c>
      <c r="E924">
        <v>3</v>
      </c>
      <c r="F924">
        <v>40</v>
      </c>
      <c r="G924">
        <v>15.33</v>
      </c>
      <c r="H924" t="s">
        <v>1101</v>
      </c>
      <c r="I924" t="s">
        <v>1300</v>
      </c>
      <c r="J924" t="s">
        <v>1414</v>
      </c>
      <c r="K924" t="s">
        <v>1418</v>
      </c>
    </row>
    <row r="925" spans="1:11" x14ac:dyDescent="0.25">
      <c r="A925" t="s">
        <v>2351</v>
      </c>
      <c r="B925" s="2">
        <v>45628</v>
      </c>
      <c r="C925" t="s">
        <v>661</v>
      </c>
      <c r="D925" t="s">
        <v>1011</v>
      </c>
      <c r="E925">
        <v>1</v>
      </c>
      <c r="F925">
        <v>12</v>
      </c>
      <c r="G925">
        <v>4.46</v>
      </c>
      <c r="H925" t="s">
        <v>1067</v>
      </c>
      <c r="I925" t="s">
        <v>1266</v>
      </c>
      <c r="J925" t="s">
        <v>1416</v>
      </c>
      <c r="K925" t="s">
        <v>1422</v>
      </c>
    </row>
    <row r="926" spans="1:11" x14ac:dyDescent="0.25">
      <c r="A926" t="s">
        <v>2352</v>
      </c>
      <c r="B926" s="2">
        <v>45629</v>
      </c>
      <c r="C926" t="s">
        <v>68</v>
      </c>
      <c r="D926" t="s">
        <v>1014</v>
      </c>
      <c r="E926">
        <v>10</v>
      </c>
      <c r="F926">
        <v>15</v>
      </c>
      <c r="G926">
        <v>3.12</v>
      </c>
      <c r="H926" t="s">
        <v>1063</v>
      </c>
      <c r="I926" t="s">
        <v>1262</v>
      </c>
      <c r="J926" t="s">
        <v>1414</v>
      </c>
      <c r="K926" t="s">
        <v>1423</v>
      </c>
    </row>
    <row r="927" spans="1:11" x14ac:dyDescent="0.25">
      <c r="A927" t="s">
        <v>2353</v>
      </c>
      <c r="B927" s="2">
        <v>45629</v>
      </c>
      <c r="C927" t="s">
        <v>176</v>
      </c>
      <c r="D927" t="s">
        <v>1013</v>
      </c>
      <c r="E927">
        <v>5</v>
      </c>
      <c r="F927">
        <v>25</v>
      </c>
      <c r="G927">
        <v>5.22</v>
      </c>
      <c r="H927" t="s">
        <v>1129</v>
      </c>
      <c r="I927" t="s">
        <v>1328</v>
      </c>
      <c r="J927" t="s">
        <v>1415</v>
      </c>
      <c r="K927" t="s">
        <v>1426</v>
      </c>
    </row>
    <row r="928" spans="1:11" x14ac:dyDescent="0.25">
      <c r="A928" t="s">
        <v>2354</v>
      </c>
      <c r="B928" s="2">
        <v>45630</v>
      </c>
      <c r="C928" t="s">
        <v>852</v>
      </c>
      <c r="D928" t="s">
        <v>1013</v>
      </c>
      <c r="E928">
        <v>2</v>
      </c>
      <c r="F928">
        <v>25</v>
      </c>
      <c r="G928">
        <v>7.12</v>
      </c>
      <c r="H928" t="s">
        <v>1096</v>
      </c>
      <c r="I928" t="s">
        <v>1295</v>
      </c>
      <c r="J928" t="s">
        <v>1415</v>
      </c>
      <c r="K928" t="s">
        <v>1420</v>
      </c>
    </row>
    <row r="929" spans="1:11" x14ac:dyDescent="0.25">
      <c r="A929" t="s">
        <v>2355</v>
      </c>
      <c r="B929" s="2">
        <v>45631</v>
      </c>
      <c r="C929" t="s">
        <v>30</v>
      </c>
      <c r="D929" t="s">
        <v>1011</v>
      </c>
      <c r="E929">
        <v>4</v>
      </c>
      <c r="G929">
        <v>4.01</v>
      </c>
      <c r="H929" t="s">
        <v>1033</v>
      </c>
      <c r="I929" t="s">
        <v>1232</v>
      </c>
      <c r="J929" t="s">
        <v>1414</v>
      </c>
      <c r="K929" t="s">
        <v>1426</v>
      </c>
    </row>
    <row r="930" spans="1:11" x14ac:dyDescent="0.25">
      <c r="A930" t="s">
        <v>2356</v>
      </c>
      <c r="B930" s="2">
        <v>45631</v>
      </c>
      <c r="C930" t="s">
        <v>698</v>
      </c>
      <c r="D930" t="s">
        <v>1012</v>
      </c>
      <c r="E930">
        <v>8</v>
      </c>
      <c r="F930">
        <v>40</v>
      </c>
      <c r="G930">
        <v>8.52</v>
      </c>
      <c r="H930" t="s">
        <v>1093</v>
      </c>
      <c r="I930" t="s">
        <v>1292</v>
      </c>
      <c r="J930" t="s">
        <v>1414</v>
      </c>
      <c r="K930" t="s">
        <v>1418</v>
      </c>
    </row>
    <row r="931" spans="1:11" x14ac:dyDescent="0.25">
      <c r="A931" t="s">
        <v>2357</v>
      </c>
      <c r="B931" s="2">
        <v>45631</v>
      </c>
      <c r="C931" t="s">
        <v>791</v>
      </c>
      <c r="D931" t="s">
        <v>1013</v>
      </c>
      <c r="E931">
        <v>10</v>
      </c>
      <c r="F931">
        <v>25</v>
      </c>
      <c r="G931">
        <v>6.39</v>
      </c>
      <c r="H931" t="s">
        <v>1038</v>
      </c>
      <c r="I931" t="s">
        <v>1237</v>
      </c>
      <c r="J931" t="s">
        <v>1416</v>
      </c>
      <c r="K931" t="s">
        <v>1425</v>
      </c>
    </row>
    <row r="932" spans="1:11" x14ac:dyDescent="0.25">
      <c r="A932" t="s">
        <v>2358</v>
      </c>
      <c r="B932" s="2">
        <v>45631</v>
      </c>
      <c r="C932" t="s">
        <v>980</v>
      </c>
      <c r="D932" t="s">
        <v>1013</v>
      </c>
      <c r="E932">
        <v>6</v>
      </c>
      <c r="F932">
        <v>25</v>
      </c>
      <c r="G932">
        <v>7.8</v>
      </c>
      <c r="H932" t="s">
        <v>1077</v>
      </c>
      <c r="I932" t="s">
        <v>1276</v>
      </c>
      <c r="J932" t="s">
        <v>1416</v>
      </c>
      <c r="K932" t="s">
        <v>1420</v>
      </c>
    </row>
    <row r="933" spans="1:11" x14ac:dyDescent="0.25">
      <c r="A933" t="s">
        <v>2359</v>
      </c>
      <c r="B933" s="2">
        <v>45631</v>
      </c>
      <c r="C933" t="s">
        <v>986</v>
      </c>
      <c r="D933" t="s">
        <v>1012</v>
      </c>
      <c r="E933">
        <v>4</v>
      </c>
      <c r="F933">
        <v>40</v>
      </c>
      <c r="G933">
        <v>8.2899999999999991</v>
      </c>
      <c r="H933" t="s">
        <v>1186</v>
      </c>
      <c r="I933" t="s">
        <v>1385</v>
      </c>
      <c r="J933" t="s">
        <v>1416</v>
      </c>
      <c r="K933" t="s">
        <v>1422</v>
      </c>
    </row>
    <row r="934" spans="1:11" x14ac:dyDescent="0.25">
      <c r="A934" t="s">
        <v>2360</v>
      </c>
      <c r="B934" s="2">
        <v>45632</v>
      </c>
      <c r="C934" t="s">
        <v>300</v>
      </c>
      <c r="D934" t="s">
        <v>1015</v>
      </c>
      <c r="E934">
        <v>10</v>
      </c>
      <c r="F934">
        <v>10</v>
      </c>
      <c r="G934">
        <v>3.14</v>
      </c>
      <c r="H934" t="s">
        <v>1169</v>
      </c>
      <c r="I934" t="s">
        <v>1368</v>
      </c>
      <c r="J934" t="s">
        <v>1414</v>
      </c>
      <c r="K934" t="s">
        <v>1421</v>
      </c>
    </row>
    <row r="935" spans="1:11" x14ac:dyDescent="0.25">
      <c r="A935" t="s">
        <v>2361</v>
      </c>
      <c r="B935" s="2">
        <v>45632</v>
      </c>
      <c r="C935" t="s">
        <v>370</v>
      </c>
      <c r="D935" t="s">
        <v>1013</v>
      </c>
      <c r="E935">
        <v>3</v>
      </c>
      <c r="F935">
        <v>25</v>
      </c>
      <c r="G935">
        <v>8.4700000000000006</v>
      </c>
      <c r="H935" t="s">
        <v>1179</v>
      </c>
      <c r="I935" t="s">
        <v>1378</v>
      </c>
      <c r="J935" t="s">
        <v>1416</v>
      </c>
      <c r="K935" t="s">
        <v>1422</v>
      </c>
    </row>
    <row r="936" spans="1:11" x14ac:dyDescent="0.25">
      <c r="A936" t="s">
        <v>2362</v>
      </c>
      <c r="B936" s="2">
        <v>45632</v>
      </c>
      <c r="C936" t="s">
        <v>451</v>
      </c>
      <c r="D936" t="s">
        <v>1012</v>
      </c>
      <c r="E936">
        <v>9</v>
      </c>
      <c r="F936">
        <v>40</v>
      </c>
      <c r="G936">
        <v>14.84</v>
      </c>
      <c r="H936" t="s">
        <v>1121</v>
      </c>
      <c r="I936" t="s">
        <v>1320</v>
      </c>
      <c r="J936" t="s">
        <v>1414</v>
      </c>
      <c r="K936" t="s">
        <v>1418</v>
      </c>
    </row>
    <row r="937" spans="1:11" x14ac:dyDescent="0.25">
      <c r="A937" t="s">
        <v>2363</v>
      </c>
      <c r="B937" s="2">
        <v>45633</v>
      </c>
      <c r="C937" t="s">
        <v>271</v>
      </c>
      <c r="D937" t="s">
        <v>1015</v>
      </c>
      <c r="E937">
        <v>6</v>
      </c>
      <c r="F937">
        <v>10</v>
      </c>
      <c r="G937">
        <v>3.49</v>
      </c>
      <c r="H937" t="s">
        <v>1095</v>
      </c>
      <c r="I937" t="s">
        <v>1294</v>
      </c>
      <c r="J937" t="s">
        <v>1414</v>
      </c>
      <c r="K937" t="s">
        <v>1421</v>
      </c>
    </row>
    <row r="938" spans="1:11" x14ac:dyDescent="0.25">
      <c r="A938" t="s">
        <v>2364</v>
      </c>
      <c r="B938" s="2">
        <v>45633</v>
      </c>
      <c r="C938" t="s">
        <v>702</v>
      </c>
      <c r="D938" t="s">
        <v>1014</v>
      </c>
      <c r="E938">
        <v>2</v>
      </c>
      <c r="F938">
        <v>15</v>
      </c>
      <c r="G938">
        <v>5.61</v>
      </c>
      <c r="H938" t="s">
        <v>1112</v>
      </c>
      <c r="I938" t="s">
        <v>1311</v>
      </c>
      <c r="J938" t="s">
        <v>1414</v>
      </c>
      <c r="K938" t="s">
        <v>1418</v>
      </c>
    </row>
    <row r="939" spans="1:11" x14ac:dyDescent="0.25">
      <c r="A939" t="s">
        <v>2365</v>
      </c>
      <c r="B939" s="2">
        <v>45633</v>
      </c>
      <c r="C939" t="s">
        <v>999</v>
      </c>
      <c r="D939" t="s">
        <v>1013</v>
      </c>
      <c r="E939">
        <v>7</v>
      </c>
      <c r="G939">
        <v>7.45</v>
      </c>
      <c r="H939" t="s">
        <v>1047</v>
      </c>
      <c r="I939" t="s">
        <v>1246</v>
      </c>
      <c r="J939" t="s">
        <v>1414</v>
      </c>
      <c r="K939" t="s">
        <v>1420</v>
      </c>
    </row>
    <row r="940" spans="1:11" x14ac:dyDescent="0.25">
      <c r="A940" t="s">
        <v>2366</v>
      </c>
      <c r="B940" s="2">
        <v>45635</v>
      </c>
      <c r="C940" t="s">
        <v>536</v>
      </c>
      <c r="D940" t="s">
        <v>1012</v>
      </c>
      <c r="E940">
        <v>3</v>
      </c>
      <c r="F940">
        <v>40</v>
      </c>
      <c r="G940">
        <v>13.88</v>
      </c>
      <c r="H940" t="s">
        <v>1200</v>
      </c>
      <c r="I940" t="s">
        <v>1399</v>
      </c>
      <c r="J940" t="s">
        <v>1414</v>
      </c>
      <c r="K940" t="s">
        <v>1426</v>
      </c>
    </row>
    <row r="941" spans="1:11" x14ac:dyDescent="0.25">
      <c r="A941" t="s">
        <v>2367</v>
      </c>
      <c r="B941" s="2">
        <v>45635</v>
      </c>
      <c r="C941" t="s">
        <v>898</v>
      </c>
      <c r="D941" t="s">
        <v>1012</v>
      </c>
      <c r="E941">
        <v>10</v>
      </c>
      <c r="F941">
        <v>40</v>
      </c>
      <c r="G941">
        <v>10.5</v>
      </c>
      <c r="H941" t="s">
        <v>1072</v>
      </c>
      <c r="I941" t="s">
        <v>1271</v>
      </c>
      <c r="J941" t="s">
        <v>1414</v>
      </c>
      <c r="K941" t="s">
        <v>1425</v>
      </c>
    </row>
    <row r="942" spans="1:11" x14ac:dyDescent="0.25">
      <c r="A942" t="s">
        <v>2368</v>
      </c>
      <c r="B942" s="2">
        <v>45636</v>
      </c>
      <c r="C942" t="s">
        <v>124</v>
      </c>
      <c r="D942" t="s">
        <v>1014</v>
      </c>
      <c r="E942">
        <v>3</v>
      </c>
      <c r="F942">
        <v>15</v>
      </c>
      <c r="G942">
        <v>3.32</v>
      </c>
      <c r="H942" t="s">
        <v>1103</v>
      </c>
      <c r="I942" t="s">
        <v>1302</v>
      </c>
      <c r="J942" t="s">
        <v>1414</v>
      </c>
      <c r="K942" t="s">
        <v>1419</v>
      </c>
    </row>
    <row r="943" spans="1:11" x14ac:dyDescent="0.25">
      <c r="A943" t="s">
        <v>2369</v>
      </c>
      <c r="B943" s="2">
        <v>45636</v>
      </c>
      <c r="C943" t="s">
        <v>298</v>
      </c>
      <c r="D943" t="s">
        <v>1012</v>
      </c>
      <c r="E943">
        <v>10</v>
      </c>
      <c r="F943">
        <v>40</v>
      </c>
      <c r="G943">
        <v>11.45</v>
      </c>
      <c r="H943" t="s">
        <v>1100</v>
      </c>
      <c r="I943" t="s">
        <v>1299</v>
      </c>
      <c r="J943" t="s">
        <v>1415</v>
      </c>
      <c r="K943" t="s">
        <v>1425</v>
      </c>
    </row>
    <row r="944" spans="1:11" x14ac:dyDescent="0.25">
      <c r="A944" t="s">
        <v>2370</v>
      </c>
      <c r="B944" s="2">
        <v>45637</v>
      </c>
      <c r="C944" t="s">
        <v>98</v>
      </c>
      <c r="D944" t="s">
        <v>1013</v>
      </c>
      <c r="E944">
        <v>10</v>
      </c>
      <c r="F944">
        <v>25</v>
      </c>
      <c r="G944">
        <v>9.69</v>
      </c>
      <c r="H944" t="s">
        <v>1083</v>
      </c>
      <c r="I944" t="s">
        <v>1282</v>
      </c>
      <c r="J944" t="s">
        <v>1414</v>
      </c>
      <c r="K944" t="s">
        <v>1419</v>
      </c>
    </row>
    <row r="945" spans="1:11" x14ac:dyDescent="0.25">
      <c r="A945" t="s">
        <v>2371</v>
      </c>
      <c r="B945" s="2">
        <v>45637</v>
      </c>
      <c r="C945" t="s">
        <v>369</v>
      </c>
      <c r="D945" t="s">
        <v>1011</v>
      </c>
      <c r="E945">
        <v>9</v>
      </c>
      <c r="F945">
        <v>12</v>
      </c>
      <c r="G945">
        <v>3.65</v>
      </c>
      <c r="H945" t="s">
        <v>1171</v>
      </c>
      <c r="I945" t="s">
        <v>1370</v>
      </c>
      <c r="J945" t="s">
        <v>1415</v>
      </c>
      <c r="K945" t="s">
        <v>1418</v>
      </c>
    </row>
    <row r="946" spans="1:11" x14ac:dyDescent="0.25">
      <c r="A946" t="s">
        <v>2372</v>
      </c>
      <c r="B946" s="2">
        <v>45637</v>
      </c>
      <c r="C946" t="s">
        <v>529</v>
      </c>
      <c r="D946" t="s">
        <v>1013</v>
      </c>
      <c r="E946">
        <v>5</v>
      </c>
      <c r="F946">
        <v>25</v>
      </c>
      <c r="G946">
        <v>8.9600000000000009</v>
      </c>
      <c r="H946" t="s">
        <v>1179</v>
      </c>
      <c r="I946" t="s">
        <v>1378</v>
      </c>
      <c r="J946" t="s">
        <v>1414</v>
      </c>
      <c r="K946" t="s">
        <v>1422</v>
      </c>
    </row>
    <row r="947" spans="1:11" x14ac:dyDescent="0.25">
      <c r="A947" t="s">
        <v>2373</v>
      </c>
      <c r="B947" s="2">
        <v>45637</v>
      </c>
      <c r="C947" t="s">
        <v>674</v>
      </c>
      <c r="D947" t="s">
        <v>1013</v>
      </c>
      <c r="E947">
        <v>4</v>
      </c>
      <c r="F947">
        <v>25</v>
      </c>
      <c r="G947">
        <v>9.9499999999999993</v>
      </c>
      <c r="H947" t="s">
        <v>1052</v>
      </c>
      <c r="I947" t="s">
        <v>1251</v>
      </c>
      <c r="J947" t="s">
        <v>1414</v>
      </c>
      <c r="K947" t="s">
        <v>1422</v>
      </c>
    </row>
    <row r="948" spans="1:11" x14ac:dyDescent="0.25">
      <c r="A948" t="s">
        <v>2374</v>
      </c>
      <c r="B948" s="2">
        <v>45637</v>
      </c>
      <c r="C948" t="s">
        <v>707</v>
      </c>
      <c r="D948" t="s">
        <v>1011</v>
      </c>
      <c r="E948">
        <v>3</v>
      </c>
      <c r="F948">
        <v>12</v>
      </c>
      <c r="G948">
        <v>4.3899999999999997</v>
      </c>
      <c r="H948" t="s">
        <v>1129</v>
      </c>
      <c r="I948" t="s">
        <v>1328</v>
      </c>
      <c r="J948" t="s">
        <v>1416</v>
      </c>
      <c r="K948" t="s">
        <v>1422</v>
      </c>
    </row>
    <row r="949" spans="1:11" x14ac:dyDescent="0.25">
      <c r="A949" t="s">
        <v>2375</v>
      </c>
      <c r="B949" s="2">
        <v>45638</v>
      </c>
      <c r="C949" t="s">
        <v>24</v>
      </c>
      <c r="D949" t="s">
        <v>1013</v>
      </c>
      <c r="E949">
        <v>5</v>
      </c>
      <c r="F949">
        <v>25</v>
      </c>
      <c r="G949">
        <v>9.1199999999999992</v>
      </c>
      <c r="H949" t="s">
        <v>1028</v>
      </c>
      <c r="I949" t="s">
        <v>1227</v>
      </c>
      <c r="J949" t="s">
        <v>1414</v>
      </c>
      <c r="K949" t="s">
        <v>1427</v>
      </c>
    </row>
    <row r="950" spans="1:11" x14ac:dyDescent="0.25">
      <c r="A950" t="s">
        <v>2376</v>
      </c>
      <c r="B950" s="2">
        <v>45638</v>
      </c>
      <c r="C950" t="s">
        <v>571</v>
      </c>
      <c r="D950" t="s">
        <v>1015</v>
      </c>
      <c r="E950">
        <v>5</v>
      </c>
      <c r="F950">
        <v>10</v>
      </c>
      <c r="G950">
        <v>2.04</v>
      </c>
      <c r="H950" t="s">
        <v>1152</v>
      </c>
      <c r="I950" t="s">
        <v>1351</v>
      </c>
      <c r="J950" t="s">
        <v>1414</v>
      </c>
      <c r="K950" t="s">
        <v>1418</v>
      </c>
    </row>
    <row r="951" spans="1:11" x14ac:dyDescent="0.25">
      <c r="A951" t="s">
        <v>2377</v>
      </c>
      <c r="B951" s="2">
        <v>45639</v>
      </c>
      <c r="C951" t="s">
        <v>244</v>
      </c>
      <c r="D951" t="s">
        <v>1014</v>
      </c>
      <c r="E951">
        <v>5</v>
      </c>
      <c r="F951">
        <v>15</v>
      </c>
      <c r="G951">
        <v>5.67</v>
      </c>
      <c r="H951" t="s">
        <v>1154</v>
      </c>
      <c r="I951" t="s">
        <v>1353</v>
      </c>
      <c r="J951" t="s">
        <v>1414</v>
      </c>
      <c r="K951" t="s">
        <v>1420</v>
      </c>
    </row>
    <row r="952" spans="1:11" x14ac:dyDescent="0.25">
      <c r="A952" t="s">
        <v>2378</v>
      </c>
      <c r="B952" s="2">
        <v>45639</v>
      </c>
      <c r="C952" t="s">
        <v>355</v>
      </c>
      <c r="D952" t="s">
        <v>1014</v>
      </c>
      <c r="E952">
        <v>1</v>
      </c>
      <c r="F952">
        <v>15</v>
      </c>
      <c r="G952">
        <v>5.36</v>
      </c>
      <c r="H952" t="s">
        <v>1151</v>
      </c>
      <c r="I952" t="s">
        <v>1350</v>
      </c>
      <c r="J952" t="s">
        <v>1417</v>
      </c>
      <c r="K952" t="s">
        <v>1424</v>
      </c>
    </row>
    <row r="953" spans="1:11" x14ac:dyDescent="0.25">
      <c r="A953" t="s">
        <v>2379</v>
      </c>
      <c r="B953" s="2">
        <v>45640</v>
      </c>
      <c r="C953" t="s">
        <v>439</v>
      </c>
      <c r="D953" t="s">
        <v>1014</v>
      </c>
      <c r="E953">
        <v>5</v>
      </c>
      <c r="F953">
        <v>15</v>
      </c>
      <c r="G953">
        <v>3.45</v>
      </c>
      <c r="H953" t="s">
        <v>1063</v>
      </c>
      <c r="I953" t="s">
        <v>1262</v>
      </c>
      <c r="J953" t="s">
        <v>1414</v>
      </c>
      <c r="K953" t="s">
        <v>1424</v>
      </c>
    </row>
    <row r="954" spans="1:11" x14ac:dyDescent="0.25">
      <c r="A954" t="s">
        <v>2380</v>
      </c>
      <c r="B954" s="2">
        <v>45641</v>
      </c>
      <c r="C954" t="s">
        <v>293</v>
      </c>
      <c r="D954" t="s">
        <v>1011</v>
      </c>
      <c r="E954">
        <v>9</v>
      </c>
      <c r="F954">
        <v>12</v>
      </c>
      <c r="G954">
        <v>3.54</v>
      </c>
      <c r="H954" t="s">
        <v>1149</v>
      </c>
      <c r="I954" t="s">
        <v>1348</v>
      </c>
      <c r="J954" t="s">
        <v>1414</v>
      </c>
      <c r="K954" t="s">
        <v>1421</v>
      </c>
    </row>
    <row r="955" spans="1:11" x14ac:dyDescent="0.25">
      <c r="A955" t="s">
        <v>2381</v>
      </c>
      <c r="B955" s="2">
        <v>45641</v>
      </c>
      <c r="C955" t="s">
        <v>379</v>
      </c>
      <c r="D955" t="s">
        <v>1011</v>
      </c>
      <c r="E955">
        <v>5</v>
      </c>
      <c r="F955">
        <v>12</v>
      </c>
      <c r="G955">
        <v>4.01</v>
      </c>
      <c r="H955" t="s">
        <v>1037</v>
      </c>
      <c r="I955" t="s">
        <v>1236</v>
      </c>
      <c r="J955" t="s">
        <v>1414</v>
      </c>
      <c r="K955" t="s">
        <v>1424</v>
      </c>
    </row>
    <row r="956" spans="1:11" x14ac:dyDescent="0.25">
      <c r="A956" t="s">
        <v>2382</v>
      </c>
      <c r="B956" s="2">
        <v>45641</v>
      </c>
      <c r="C956" t="s">
        <v>497</v>
      </c>
      <c r="D956" t="s">
        <v>1012</v>
      </c>
      <c r="E956">
        <v>10</v>
      </c>
      <c r="F956">
        <v>40</v>
      </c>
      <c r="G956">
        <v>15.7</v>
      </c>
      <c r="H956" t="s">
        <v>1032</v>
      </c>
      <c r="I956" t="s">
        <v>1231</v>
      </c>
      <c r="J956" t="s">
        <v>1416</v>
      </c>
      <c r="K956" t="s">
        <v>1422</v>
      </c>
    </row>
    <row r="957" spans="1:11" x14ac:dyDescent="0.25">
      <c r="A957" t="s">
        <v>2383</v>
      </c>
      <c r="B957" s="2">
        <v>45641</v>
      </c>
      <c r="C957" t="s">
        <v>542</v>
      </c>
      <c r="D957" t="s">
        <v>1012</v>
      </c>
      <c r="E957">
        <v>3</v>
      </c>
      <c r="F957">
        <v>40</v>
      </c>
      <c r="G957">
        <v>12.54</v>
      </c>
      <c r="H957" t="s">
        <v>1091</v>
      </c>
      <c r="I957" t="s">
        <v>1290</v>
      </c>
      <c r="J957" t="s">
        <v>1414</v>
      </c>
      <c r="K957" t="s">
        <v>1422</v>
      </c>
    </row>
    <row r="958" spans="1:11" x14ac:dyDescent="0.25">
      <c r="A958" t="s">
        <v>2384</v>
      </c>
      <c r="B958" s="2">
        <v>45641</v>
      </c>
      <c r="C958" t="s">
        <v>771</v>
      </c>
      <c r="D958" t="s">
        <v>1013</v>
      </c>
      <c r="E958">
        <v>5</v>
      </c>
      <c r="F958">
        <v>25</v>
      </c>
      <c r="G958">
        <v>8.98</v>
      </c>
      <c r="H958" t="s">
        <v>1113</v>
      </c>
      <c r="I958" t="s">
        <v>1312</v>
      </c>
      <c r="J958" t="s">
        <v>1415</v>
      </c>
      <c r="K958" t="s">
        <v>1418</v>
      </c>
    </row>
    <row r="959" spans="1:11" x14ac:dyDescent="0.25">
      <c r="A959" t="s">
        <v>2385</v>
      </c>
      <c r="B959" s="2">
        <v>45642</v>
      </c>
      <c r="C959" t="s">
        <v>49</v>
      </c>
      <c r="D959" t="s">
        <v>1012</v>
      </c>
      <c r="E959">
        <v>7</v>
      </c>
      <c r="F959">
        <v>40</v>
      </c>
      <c r="G959">
        <v>14.44</v>
      </c>
      <c r="H959" t="s">
        <v>1048</v>
      </c>
      <c r="I959" t="s">
        <v>1247</v>
      </c>
      <c r="J959" t="s">
        <v>1414</v>
      </c>
      <c r="K959" t="s">
        <v>1420</v>
      </c>
    </row>
    <row r="960" spans="1:11" x14ac:dyDescent="0.25">
      <c r="A960" t="s">
        <v>2386</v>
      </c>
      <c r="B960" s="2">
        <v>45642</v>
      </c>
      <c r="C960" t="s">
        <v>90</v>
      </c>
      <c r="D960" t="s">
        <v>1012</v>
      </c>
      <c r="E960">
        <v>8</v>
      </c>
      <c r="F960">
        <v>40</v>
      </c>
      <c r="G960">
        <v>9.3699999999999992</v>
      </c>
      <c r="H960" t="s">
        <v>1077</v>
      </c>
      <c r="I960" t="s">
        <v>1276</v>
      </c>
      <c r="J960" t="s">
        <v>1414</v>
      </c>
      <c r="K960" t="s">
        <v>1420</v>
      </c>
    </row>
    <row r="961" spans="1:11" x14ac:dyDescent="0.25">
      <c r="A961" t="s">
        <v>2387</v>
      </c>
      <c r="B961" s="2">
        <v>45642</v>
      </c>
      <c r="C961" t="s">
        <v>602</v>
      </c>
      <c r="D961" t="s">
        <v>1011</v>
      </c>
      <c r="E961">
        <v>8</v>
      </c>
      <c r="F961">
        <v>12</v>
      </c>
      <c r="G961">
        <v>2.73</v>
      </c>
      <c r="H961" t="s">
        <v>1101</v>
      </c>
      <c r="I961" t="s">
        <v>1300</v>
      </c>
      <c r="J961" t="s">
        <v>1416</v>
      </c>
      <c r="K961" t="s">
        <v>1418</v>
      </c>
    </row>
    <row r="962" spans="1:11" x14ac:dyDescent="0.25">
      <c r="A962" t="s">
        <v>2388</v>
      </c>
      <c r="B962" s="2">
        <v>45643</v>
      </c>
      <c r="C962" t="s">
        <v>214</v>
      </c>
      <c r="D962" t="s">
        <v>1014</v>
      </c>
      <c r="E962">
        <v>5</v>
      </c>
      <c r="F962">
        <v>15</v>
      </c>
      <c r="G962">
        <v>5.13</v>
      </c>
      <c r="H962" t="s">
        <v>1145</v>
      </c>
      <c r="I962" t="s">
        <v>1344</v>
      </c>
      <c r="J962" t="s">
        <v>1414</v>
      </c>
      <c r="K962" t="s">
        <v>1424</v>
      </c>
    </row>
    <row r="963" spans="1:11" x14ac:dyDescent="0.25">
      <c r="A963" t="s">
        <v>2389</v>
      </c>
      <c r="B963" s="2">
        <v>45643</v>
      </c>
      <c r="C963" t="s">
        <v>235</v>
      </c>
      <c r="D963" t="s">
        <v>1015</v>
      </c>
      <c r="E963">
        <v>3</v>
      </c>
      <c r="F963">
        <v>10</v>
      </c>
      <c r="G963">
        <v>2.86</v>
      </c>
      <c r="H963" t="s">
        <v>1097</v>
      </c>
      <c r="I963" t="s">
        <v>1296</v>
      </c>
      <c r="J963" t="s">
        <v>1414</v>
      </c>
      <c r="K963" t="s">
        <v>1423</v>
      </c>
    </row>
    <row r="964" spans="1:11" x14ac:dyDescent="0.25">
      <c r="A964" t="s">
        <v>2390</v>
      </c>
      <c r="B964" s="2">
        <v>45643</v>
      </c>
      <c r="C964" t="s">
        <v>928</v>
      </c>
      <c r="D964" t="s">
        <v>1014</v>
      </c>
      <c r="E964">
        <v>10</v>
      </c>
      <c r="F964">
        <v>15</v>
      </c>
      <c r="G964">
        <v>5.18</v>
      </c>
      <c r="H964" t="s">
        <v>1040</v>
      </c>
      <c r="I964" t="s">
        <v>1239</v>
      </c>
      <c r="J964" t="s">
        <v>1414</v>
      </c>
      <c r="K964" t="s">
        <v>1418</v>
      </c>
    </row>
    <row r="965" spans="1:11" x14ac:dyDescent="0.25">
      <c r="A965" t="s">
        <v>2391</v>
      </c>
      <c r="B965" s="2">
        <v>45643</v>
      </c>
      <c r="C965" t="s">
        <v>982</v>
      </c>
      <c r="D965" t="s">
        <v>1013</v>
      </c>
      <c r="E965">
        <v>7</v>
      </c>
      <c r="F965">
        <v>25</v>
      </c>
      <c r="G965">
        <v>9.41</v>
      </c>
      <c r="H965" t="s">
        <v>1208</v>
      </c>
      <c r="I965" t="s">
        <v>1407</v>
      </c>
      <c r="J965" t="s">
        <v>1414</v>
      </c>
      <c r="K965" t="s">
        <v>1418</v>
      </c>
    </row>
    <row r="966" spans="1:11" x14ac:dyDescent="0.25">
      <c r="A966" t="s">
        <v>2392</v>
      </c>
      <c r="B966" s="2">
        <v>45644</v>
      </c>
      <c r="C966" t="s">
        <v>311</v>
      </c>
      <c r="D966" t="s">
        <v>1012</v>
      </c>
      <c r="E966">
        <v>3</v>
      </c>
      <c r="F966">
        <v>40</v>
      </c>
      <c r="G966">
        <v>12.72</v>
      </c>
      <c r="H966" t="s">
        <v>1046</v>
      </c>
      <c r="I966" t="s">
        <v>1245</v>
      </c>
      <c r="J966" t="s">
        <v>1416</v>
      </c>
      <c r="K966" t="s">
        <v>1423</v>
      </c>
    </row>
    <row r="967" spans="1:11" x14ac:dyDescent="0.25">
      <c r="A967" t="s">
        <v>2393</v>
      </c>
      <c r="B967" s="2">
        <v>45644</v>
      </c>
      <c r="C967" t="s">
        <v>358</v>
      </c>
      <c r="D967" t="s">
        <v>1013</v>
      </c>
      <c r="E967">
        <v>2</v>
      </c>
      <c r="F967">
        <v>25</v>
      </c>
      <c r="G967">
        <v>7.31</v>
      </c>
      <c r="H967" t="s">
        <v>1024</v>
      </c>
      <c r="I967" t="s">
        <v>1223</v>
      </c>
      <c r="J967" t="s">
        <v>1416</v>
      </c>
      <c r="K967" t="s">
        <v>1426</v>
      </c>
    </row>
    <row r="968" spans="1:11" x14ac:dyDescent="0.25">
      <c r="A968" t="s">
        <v>2394</v>
      </c>
      <c r="B968" s="2">
        <v>45644</v>
      </c>
      <c r="C968" t="s">
        <v>380</v>
      </c>
      <c r="D968" t="s">
        <v>1015</v>
      </c>
      <c r="E968">
        <v>2</v>
      </c>
      <c r="F968">
        <v>10</v>
      </c>
      <c r="G968">
        <v>3.87</v>
      </c>
      <c r="H968" t="s">
        <v>1098</v>
      </c>
      <c r="I968" t="s">
        <v>1297</v>
      </c>
      <c r="J968" t="s">
        <v>1414</v>
      </c>
      <c r="K968" t="s">
        <v>1418</v>
      </c>
    </row>
    <row r="969" spans="1:11" x14ac:dyDescent="0.25">
      <c r="A969" t="s">
        <v>2395</v>
      </c>
      <c r="B969" s="2">
        <v>45644</v>
      </c>
      <c r="C969" t="s">
        <v>561</v>
      </c>
      <c r="D969" t="s">
        <v>1013</v>
      </c>
      <c r="E969">
        <v>3</v>
      </c>
      <c r="F969">
        <v>25</v>
      </c>
      <c r="G969">
        <v>8.4600000000000009</v>
      </c>
      <c r="H969" t="s">
        <v>1161</v>
      </c>
      <c r="I969" t="s">
        <v>1360</v>
      </c>
      <c r="J969" t="s">
        <v>1414</v>
      </c>
      <c r="K969" t="s">
        <v>1419</v>
      </c>
    </row>
    <row r="970" spans="1:11" x14ac:dyDescent="0.25">
      <c r="A970" t="s">
        <v>2396</v>
      </c>
      <c r="B970" s="2">
        <v>45645</v>
      </c>
      <c r="C970" t="s">
        <v>147</v>
      </c>
      <c r="D970" t="s">
        <v>1014</v>
      </c>
      <c r="E970">
        <v>8</v>
      </c>
      <c r="F970">
        <v>15</v>
      </c>
      <c r="G970">
        <v>4.0199999999999996</v>
      </c>
      <c r="H970" t="s">
        <v>1119</v>
      </c>
      <c r="I970" t="s">
        <v>1318</v>
      </c>
      <c r="J970" t="s">
        <v>1414</v>
      </c>
      <c r="K970" t="s">
        <v>1418</v>
      </c>
    </row>
    <row r="971" spans="1:11" x14ac:dyDescent="0.25">
      <c r="A971" t="s">
        <v>2397</v>
      </c>
      <c r="B971" s="2">
        <v>45645</v>
      </c>
      <c r="C971" t="s">
        <v>306</v>
      </c>
      <c r="D971" t="s">
        <v>1012</v>
      </c>
      <c r="E971">
        <v>6</v>
      </c>
      <c r="F971">
        <v>40</v>
      </c>
      <c r="G971">
        <v>8.58</v>
      </c>
      <c r="H971" t="s">
        <v>1018</v>
      </c>
      <c r="I971" t="s">
        <v>1217</v>
      </c>
      <c r="J971" t="s">
        <v>1416</v>
      </c>
      <c r="K971" t="s">
        <v>1423</v>
      </c>
    </row>
    <row r="972" spans="1:11" x14ac:dyDescent="0.25">
      <c r="A972" t="s">
        <v>2398</v>
      </c>
      <c r="B972" s="2">
        <v>45645</v>
      </c>
      <c r="C972" t="s">
        <v>654</v>
      </c>
      <c r="D972" t="s">
        <v>1011</v>
      </c>
      <c r="E972">
        <v>10</v>
      </c>
      <c r="F972">
        <v>12</v>
      </c>
      <c r="G972">
        <v>2.78</v>
      </c>
      <c r="H972" t="s">
        <v>1079</v>
      </c>
      <c r="I972" t="s">
        <v>1278</v>
      </c>
      <c r="J972" t="s">
        <v>1414</v>
      </c>
      <c r="K972" t="s">
        <v>1421</v>
      </c>
    </row>
    <row r="973" spans="1:11" x14ac:dyDescent="0.25">
      <c r="A973" t="s">
        <v>2399</v>
      </c>
      <c r="B973" s="2">
        <v>45646</v>
      </c>
      <c r="C973" t="s">
        <v>641</v>
      </c>
      <c r="D973" t="s">
        <v>1012</v>
      </c>
      <c r="E973">
        <v>5</v>
      </c>
      <c r="G973">
        <v>14.51</v>
      </c>
      <c r="H973" t="s">
        <v>1200</v>
      </c>
      <c r="I973" t="s">
        <v>1399</v>
      </c>
      <c r="J973" t="s">
        <v>1414</v>
      </c>
      <c r="K973" t="s">
        <v>1418</v>
      </c>
    </row>
    <row r="974" spans="1:11" x14ac:dyDescent="0.25">
      <c r="A974" t="s">
        <v>2400</v>
      </c>
      <c r="B974" s="2">
        <v>45646</v>
      </c>
      <c r="C974" t="s">
        <v>866</v>
      </c>
      <c r="D974" t="s">
        <v>1015</v>
      </c>
      <c r="E974">
        <v>9</v>
      </c>
      <c r="F974">
        <v>10</v>
      </c>
      <c r="G974">
        <v>3.78</v>
      </c>
      <c r="H974" t="s">
        <v>1085</v>
      </c>
      <c r="I974" t="s">
        <v>1284</v>
      </c>
      <c r="J974" t="s">
        <v>1417</v>
      </c>
      <c r="K974" t="s">
        <v>1420</v>
      </c>
    </row>
    <row r="975" spans="1:11" x14ac:dyDescent="0.25">
      <c r="A975" t="s">
        <v>2401</v>
      </c>
      <c r="B975" s="2">
        <v>45646</v>
      </c>
      <c r="C975" t="s">
        <v>905</v>
      </c>
      <c r="D975" t="s">
        <v>1013</v>
      </c>
      <c r="E975">
        <v>2</v>
      </c>
      <c r="F975">
        <v>25</v>
      </c>
      <c r="G975">
        <v>9.3000000000000007</v>
      </c>
      <c r="H975" t="s">
        <v>1019</v>
      </c>
      <c r="I975" t="s">
        <v>1218</v>
      </c>
      <c r="J975" t="s">
        <v>1415</v>
      </c>
      <c r="K975" t="s">
        <v>1420</v>
      </c>
    </row>
    <row r="976" spans="1:11" x14ac:dyDescent="0.25">
      <c r="A976" t="s">
        <v>2402</v>
      </c>
      <c r="B976" s="2">
        <v>45647</v>
      </c>
      <c r="C976" t="s">
        <v>75</v>
      </c>
      <c r="D976" t="s">
        <v>1014</v>
      </c>
      <c r="E976">
        <v>9</v>
      </c>
      <c r="F976">
        <v>15</v>
      </c>
      <c r="G976">
        <v>4.68</v>
      </c>
      <c r="H976" t="s">
        <v>1069</v>
      </c>
      <c r="I976" t="s">
        <v>1268</v>
      </c>
      <c r="J976" t="s">
        <v>1415</v>
      </c>
      <c r="K976" t="s">
        <v>1419</v>
      </c>
    </row>
    <row r="977" spans="1:11" x14ac:dyDescent="0.25">
      <c r="A977" t="s">
        <v>2403</v>
      </c>
      <c r="B977" s="2">
        <v>45647</v>
      </c>
      <c r="C977" t="s">
        <v>166</v>
      </c>
      <c r="D977" t="s">
        <v>1012</v>
      </c>
      <c r="E977">
        <v>8</v>
      </c>
      <c r="F977">
        <v>40</v>
      </c>
      <c r="G977">
        <v>15.62</v>
      </c>
      <c r="H977" t="s">
        <v>1126</v>
      </c>
      <c r="I977" t="s">
        <v>1325</v>
      </c>
      <c r="J977" t="s">
        <v>1414</v>
      </c>
      <c r="K977" t="s">
        <v>1422</v>
      </c>
    </row>
    <row r="978" spans="1:11" x14ac:dyDescent="0.25">
      <c r="A978" t="s">
        <v>2404</v>
      </c>
      <c r="B978" s="2">
        <v>45647</v>
      </c>
      <c r="C978" t="s">
        <v>169</v>
      </c>
      <c r="D978" t="s">
        <v>1015</v>
      </c>
      <c r="E978">
        <v>5</v>
      </c>
      <c r="F978">
        <v>10</v>
      </c>
      <c r="G978">
        <v>3.28</v>
      </c>
      <c r="H978" t="s">
        <v>1049</v>
      </c>
      <c r="I978" t="s">
        <v>1248</v>
      </c>
      <c r="J978" t="s">
        <v>1414</v>
      </c>
      <c r="K978" t="s">
        <v>1419</v>
      </c>
    </row>
    <row r="979" spans="1:11" x14ac:dyDescent="0.25">
      <c r="A979" t="s">
        <v>2405</v>
      </c>
      <c r="B979" s="2">
        <v>45647</v>
      </c>
      <c r="C979" t="s">
        <v>805</v>
      </c>
      <c r="D979" t="s">
        <v>1015</v>
      </c>
      <c r="E979">
        <v>3</v>
      </c>
      <c r="F979">
        <v>10</v>
      </c>
      <c r="G979">
        <v>3.25</v>
      </c>
      <c r="H979" t="s">
        <v>1183</v>
      </c>
      <c r="I979" t="s">
        <v>1382</v>
      </c>
      <c r="J979" t="s">
        <v>1414</v>
      </c>
      <c r="K979" t="s">
        <v>1424</v>
      </c>
    </row>
    <row r="980" spans="1:11" x14ac:dyDescent="0.25">
      <c r="A980" t="s">
        <v>2406</v>
      </c>
      <c r="B980" s="2">
        <v>45648</v>
      </c>
      <c r="C980" t="s">
        <v>19</v>
      </c>
      <c r="D980" t="s">
        <v>1014</v>
      </c>
      <c r="E980">
        <v>3</v>
      </c>
      <c r="F980">
        <v>15</v>
      </c>
      <c r="G980">
        <v>3.77</v>
      </c>
      <c r="H980" t="s">
        <v>1024</v>
      </c>
      <c r="I980" t="s">
        <v>1223</v>
      </c>
      <c r="J980" t="s">
        <v>1414</v>
      </c>
      <c r="K980" t="s">
        <v>1423</v>
      </c>
    </row>
    <row r="981" spans="1:11" x14ac:dyDescent="0.25">
      <c r="A981" t="s">
        <v>2407</v>
      </c>
      <c r="B981" s="2">
        <v>45648</v>
      </c>
      <c r="C981" t="s">
        <v>351</v>
      </c>
      <c r="D981" t="s">
        <v>1012</v>
      </c>
      <c r="E981">
        <v>1</v>
      </c>
      <c r="F981">
        <v>40</v>
      </c>
      <c r="G981">
        <v>14.45</v>
      </c>
      <c r="H981" t="s">
        <v>1178</v>
      </c>
      <c r="I981" t="s">
        <v>1377</v>
      </c>
      <c r="J981" t="s">
        <v>1416</v>
      </c>
      <c r="K981" t="s">
        <v>1424</v>
      </c>
    </row>
    <row r="982" spans="1:11" x14ac:dyDescent="0.25">
      <c r="A982" t="s">
        <v>2408</v>
      </c>
      <c r="B982" s="2">
        <v>45648</v>
      </c>
      <c r="C982" t="s">
        <v>568</v>
      </c>
      <c r="D982" t="s">
        <v>1011</v>
      </c>
      <c r="E982">
        <v>8</v>
      </c>
      <c r="F982">
        <v>12</v>
      </c>
      <c r="G982">
        <v>2.61</v>
      </c>
      <c r="H982" t="s">
        <v>1149</v>
      </c>
      <c r="I982" t="s">
        <v>1348</v>
      </c>
      <c r="J982" t="s">
        <v>1414</v>
      </c>
      <c r="K982" t="s">
        <v>1422</v>
      </c>
    </row>
    <row r="983" spans="1:11" x14ac:dyDescent="0.25">
      <c r="A983" t="s">
        <v>2409</v>
      </c>
      <c r="B983" s="2">
        <v>45648</v>
      </c>
      <c r="C983" t="s">
        <v>697</v>
      </c>
      <c r="D983" t="s">
        <v>1014</v>
      </c>
      <c r="E983">
        <v>4</v>
      </c>
      <c r="F983">
        <v>15</v>
      </c>
      <c r="G983">
        <v>4.01</v>
      </c>
      <c r="H983" t="s">
        <v>1126</v>
      </c>
      <c r="I983" t="s">
        <v>1325</v>
      </c>
      <c r="J983" t="s">
        <v>1415</v>
      </c>
      <c r="K983" t="s">
        <v>1420</v>
      </c>
    </row>
    <row r="984" spans="1:11" x14ac:dyDescent="0.25">
      <c r="A984" t="s">
        <v>2410</v>
      </c>
      <c r="B984" s="2">
        <v>45648</v>
      </c>
      <c r="C984" t="s">
        <v>796</v>
      </c>
      <c r="D984" t="s">
        <v>1015</v>
      </c>
      <c r="E984">
        <v>10</v>
      </c>
      <c r="F984">
        <v>10</v>
      </c>
      <c r="G984">
        <v>2.96</v>
      </c>
      <c r="H984" t="s">
        <v>1164</v>
      </c>
      <c r="I984" t="s">
        <v>1363</v>
      </c>
      <c r="J984" t="s">
        <v>1416</v>
      </c>
      <c r="K984" t="s">
        <v>1422</v>
      </c>
    </row>
    <row r="985" spans="1:11" x14ac:dyDescent="0.25">
      <c r="A985" t="s">
        <v>2411</v>
      </c>
      <c r="B985" s="2">
        <v>45648</v>
      </c>
      <c r="C985" t="s">
        <v>864</v>
      </c>
      <c r="D985" t="s">
        <v>1013</v>
      </c>
      <c r="E985">
        <v>2</v>
      </c>
      <c r="F985">
        <v>25</v>
      </c>
      <c r="G985">
        <v>9.57</v>
      </c>
      <c r="H985" t="s">
        <v>1154</v>
      </c>
      <c r="I985" t="s">
        <v>1353</v>
      </c>
      <c r="J985" t="s">
        <v>1416</v>
      </c>
      <c r="K985" t="s">
        <v>1421</v>
      </c>
    </row>
    <row r="986" spans="1:11" x14ac:dyDescent="0.25">
      <c r="A986" t="s">
        <v>2412</v>
      </c>
      <c r="B986" s="2">
        <v>45649</v>
      </c>
      <c r="C986" t="s">
        <v>418</v>
      </c>
      <c r="D986" t="s">
        <v>1014</v>
      </c>
      <c r="E986">
        <v>10</v>
      </c>
      <c r="G986">
        <v>3.45</v>
      </c>
      <c r="H986" t="s">
        <v>1119</v>
      </c>
      <c r="I986" t="s">
        <v>1318</v>
      </c>
      <c r="J986" t="s">
        <v>1414</v>
      </c>
      <c r="K986" t="s">
        <v>1423</v>
      </c>
    </row>
    <row r="987" spans="1:11" x14ac:dyDescent="0.25">
      <c r="A987" t="s">
        <v>2413</v>
      </c>
      <c r="B987" s="2">
        <v>45650</v>
      </c>
      <c r="C987" t="s">
        <v>498</v>
      </c>
      <c r="D987" t="s">
        <v>1014</v>
      </c>
      <c r="E987">
        <v>1</v>
      </c>
      <c r="F987">
        <v>15</v>
      </c>
      <c r="G987">
        <v>3.86</v>
      </c>
      <c r="H987" t="s">
        <v>1156</v>
      </c>
      <c r="I987" t="s">
        <v>1355</v>
      </c>
      <c r="J987" t="s">
        <v>1414</v>
      </c>
      <c r="K987" t="s">
        <v>1425</v>
      </c>
    </row>
    <row r="988" spans="1:11" x14ac:dyDescent="0.25">
      <c r="A988" t="s">
        <v>2414</v>
      </c>
      <c r="B988" s="2">
        <v>45650</v>
      </c>
      <c r="C988" t="s">
        <v>504</v>
      </c>
      <c r="D988" t="s">
        <v>1013</v>
      </c>
      <c r="E988">
        <v>8</v>
      </c>
      <c r="F988">
        <v>25</v>
      </c>
      <c r="G988">
        <v>8.4499999999999993</v>
      </c>
      <c r="H988" t="s">
        <v>1151</v>
      </c>
      <c r="I988" t="s">
        <v>1350</v>
      </c>
      <c r="J988" t="s">
        <v>1414</v>
      </c>
      <c r="K988" t="s">
        <v>1427</v>
      </c>
    </row>
    <row r="989" spans="1:11" x14ac:dyDescent="0.25">
      <c r="A989" t="s">
        <v>2415</v>
      </c>
      <c r="B989" s="2">
        <v>45650</v>
      </c>
      <c r="C989" t="s">
        <v>657</v>
      </c>
      <c r="D989" t="s">
        <v>1014</v>
      </c>
      <c r="E989">
        <v>1</v>
      </c>
      <c r="F989">
        <v>15</v>
      </c>
      <c r="G989">
        <v>5.61</v>
      </c>
      <c r="H989" t="s">
        <v>1025</v>
      </c>
      <c r="I989" t="s">
        <v>1224</v>
      </c>
      <c r="J989" t="s">
        <v>1414</v>
      </c>
      <c r="K989" t="s">
        <v>1421</v>
      </c>
    </row>
    <row r="990" spans="1:11" x14ac:dyDescent="0.25">
      <c r="A990" t="s">
        <v>2416</v>
      </c>
      <c r="B990" s="2">
        <v>45650</v>
      </c>
      <c r="C990" t="s">
        <v>887</v>
      </c>
      <c r="D990" t="s">
        <v>1011</v>
      </c>
      <c r="E990">
        <v>7</v>
      </c>
      <c r="F990">
        <v>12</v>
      </c>
      <c r="G990">
        <v>3.23</v>
      </c>
      <c r="H990" t="s">
        <v>1098</v>
      </c>
      <c r="I990" t="s">
        <v>1297</v>
      </c>
      <c r="J990" t="s">
        <v>1414</v>
      </c>
      <c r="K990" t="s">
        <v>1424</v>
      </c>
    </row>
    <row r="991" spans="1:11" x14ac:dyDescent="0.25">
      <c r="A991" t="s">
        <v>2417</v>
      </c>
      <c r="B991" s="2">
        <v>45651</v>
      </c>
      <c r="C991" t="s">
        <v>145</v>
      </c>
      <c r="D991" t="s">
        <v>1012</v>
      </c>
      <c r="E991">
        <v>8</v>
      </c>
      <c r="F991">
        <v>40</v>
      </c>
      <c r="G991">
        <v>12.11</v>
      </c>
      <c r="H991" t="s">
        <v>1117</v>
      </c>
      <c r="I991" t="s">
        <v>1316</v>
      </c>
      <c r="J991" t="s">
        <v>1414</v>
      </c>
      <c r="K991" t="s">
        <v>1426</v>
      </c>
    </row>
    <row r="992" spans="1:11" x14ac:dyDescent="0.25">
      <c r="A992" t="s">
        <v>2418</v>
      </c>
      <c r="B992" s="2">
        <v>45651</v>
      </c>
      <c r="C992" t="s">
        <v>453</v>
      </c>
      <c r="D992" t="s">
        <v>1013</v>
      </c>
      <c r="E992">
        <v>10</v>
      </c>
      <c r="F992">
        <v>25</v>
      </c>
      <c r="G992">
        <v>5.58</v>
      </c>
      <c r="H992" t="s">
        <v>1195</v>
      </c>
      <c r="I992" t="s">
        <v>1394</v>
      </c>
      <c r="J992" t="s">
        <v>1414</v>
      </c>
      <c r="K992" t="s">
        <v>1420</v>
      </c>
    </row>
    <row r="993" spans="1:11" x14ac:dyDescent="0.25">
      <c r="A993" t="s">
        <v>2419</v>
      </c>
      <c r="B993" s="2">
        <v>45651</v>
      </c>
      <c r="C993" t="s">
        <v>551</v>
      </c>
      <c r="D993" t="s">
        <v>1012</v>
      </c>
      <c r="E993">
        <v>7</v>
      </c>
      <c r="F993">
        <v>40</v>
      </c>
      <c r="G993">
        <v>8.07</v>
      </c>
      <c r="H993" t="s">
        <v>1067</v>
      </c>
      <c r="I993" t="s">
        <v>1266</v>
      </c>
      <c r="J993" t="s">
        <v>1414</v>
      </c>
      <c r="K993" t="s">
        <v>1424</v>
      </c>
    </row>
    <row r="994" spans="1:11" x14ac:dyDescent="0.25">
      <c r="A994" t="s">
        <v>2420</v>
      </c>
      <c r="B994" s="2">
        <v>45652</v>
      </c>
      <c r="C994" t="s">
        <v>824</v>
      </c>
      <c r="D994" t="s">
        <v>1013</v>
      </c>
      <c r="E994">
        <v>1</v>
      </c>
      <c r="F994">
        <v>25</v>
      </c>
      <c r="G994">
        <v>7.33</v>
      </c>
      <c r="H994" t="s">
        <v>1146</v>
      </c>
      <c r="I994" t="s">
        <v>1345</v>
      </c>
      <c r="J994" t="s">
        <v>1416</v>
      </c>
      <c r="K994" t="s">
        <v>1423</v>
      </c>
    </row>
    <row r="995" spans="1:11" x14ac:dyDescent="0.25">
      <c r="A995" t="s">
        <v>2421</v>
      </c>
      <c r="B995" s="2">
        <v>45653</v>
      </c>
      <c r="C995" t="s">
        <v>430</v>
      </c>
      <c r="D995" t="s">
        <v>1011</v>
      </c>
      <c r="E995">
        <v>5</v>
      </c>
      <c r="F995">
        <v>12</v>
      </c>
      <c r="G995">
        <v>4.26</v>
      </c>
      <c r="H995" t="s">
        <v>1124</v>
      </c>
      <c r="I995" t="s">
        <v>1323</v>
      </c>
      <c r="J995" t="s">
        <v>1414</v>
      </c>
      <c r="K995" t="s">
        <v>1418</v>
      </c>
    </row>
    <row r="996" spans="1:11" x14ac:dyDescent="0.25">
      <c r="A996" t="s">
        <v>2422</v>
      </c>
      <c r="B996" s="2">
        <v>45653</v>
      </c>
      <c r="C996" t="s">
        <v>595</v>
      </c>
      <c r="D996" t="s">
        <v>1014</v>
      </c>
      <c r="E996">
        <v>8</v>
      </c>
      <c r="F996">
        <v>15</v>
      </c>
      <c r="G996">
        <v>3.68</v>
      </c>
      <c r="H996" t="s">
        <v>1195</v>
      </c>
      <c r="I996" t="s">
        <v>1394</v>
      </c>
      <c r="J996" t="s">
        <v>1414</v>
      </c>
      <c r="K996" t="s">
        <v>1418</v>
      </c>
    </row>
    <row r="997" spans="1:11" x14ac:dyDescent="0.25">
      <c r="A997" t="s">
        <v>2423</v>
      </c>
      <c r="B997" s="2">
        <v>45654</v>
      </c>
      <c r="C997" t="s">
        <v>505</v>
      </c>
      <c r="D997" t="s">
        <v>1014</v>
      </c>
      <c r="E997">
        <v>1</v>
      </c>
      <c r="F997">
        <v>15</v>
      </c>
      <c r="G997">
        <v>3.83</v>
      </c>
      <c r="H997" t="s">
        <v>1055</v>
      </c>
      <c r="I997" t="s">
        <v>1254</v>
      </c>
      <c r="J997" t="s">
        <v>1417</v>
      </c>
      <c r="K997" t="s">
        <v>1419</v>
      </c>
    </row>
    <row r="998" spans="1:11" x14ac:dyDescent="0.25">
      <c r="A998" t="s">
        <v>2424</v>
      </c>
      <c r="B998" s="2">
        <v>45654</v>
      </c>
      <c r="C998" t="s">
        <v>550</v>
      </c>
      <c r="D998" t="s">
        <v>1014</v>
      </c>
      <c r="E998">
        <v>3</v>
      </c>
      <c r="F998">
        <v>15</v>
      </c>
      <c r="G998">
        <v>3.05</v>
      </c>
      <c r="H998" t="s">
        <v>1120</v>
      </c>
      <c r="I998" t="s">
        <v>1319</v>
      </c>
      <c r="J998" t="s">
        <v>1414</v>
      </c>
      <c r="K998" t="s">
        <v>1424</v>
      </c>
    </row>
    <row r="999" spans="1:11" x14ac:dyDescent="0.25">
      <c r="A999" t="s">
        <v>2425</v>
      </c>
      <c r="B999" s="2">
        <v>45655</v>
      </c>
      <c r="C999" t="s">
        <v>121</v>
      </c>
      <c r="D999" t="s">
        <v>1015</v>
      </c>
      <c r="E999">
        <v>1</v>
      </c>
      <c r="F999">
        <v>10</v>
      </c>
      <c r="G999">
        <v>3.56</v>
      </c>
      <c r="H999" t="s">
        <v>1101</v>
      </c>
      <c r="I999" t="s">
        <v>1300</v>
      </c>
      <c r="J999" t="s">
        <v>1416</v>
      </c>
      <c r="K999" t="s">
        <v>1419</v>
      </c>
    </row>
    <row r="1000" spans="1:11" x14ac:dyDescent="0.25">
      <c r="A1000" t="s">
        <v>2426</v>
      </c>
      <c r="B1000" s="2">
        <v>45656</v>
      </c>
      <c r="C1000" t="s">
        <v>671</v>
      </c>
      <c r="D1000" t="s">
        <v>1012</v>
      </c>
      <c r="E1000">
        <v>3</v>
      </c>
      <c r="F1000">
        <v>40</v>
      </c>
      <c r="G1000">
        <v>13.05</v>
      </c>
      <c r="H1000" t="s">
        <v>1150</v>
      </c>
      <c r="I1000" t="s">
        <v>1349</v>
      </c>
      <c r="J1000" t="s">
        <v>1414</v>
      </c>
      <c r="K1000" t="s">
        <v>1421</v>
      </c>
    </row>
    <row r="1001" spans="1:11" x14ac:dyDescent="0.25">
      <c r="A1001" t="s">
        <v>2427</v>
      </c>
      <c r="B1001" s="2">
        <v>45656</v>
      </c>
      <c r="C1001" t="s">
        <v>907</v>
      </c>
      <c r="D1001" t="s">
        <v>1014</v>
      </c>
      <c r="E1001">
        <v>6</v>
      </c>
      <c r="F1001">
        <v>15</v>
      </c>
      <c r="G1001">
        <v>5.15</v>
      </c>
      <c r="H1001" t="s">
        <v>1212</v>
      </c>
      <c r="I1001" t="s">
        <v>1411</v>
      </c>
      <c r="J1001" t="s">
        <v>1414</v>
      </c>
      <c r="K1001" t="s">
        <v>1424</v>
      </c>
    </row>
  </sheetData>
  <sortState xmlns:xlrd2="http://schemas.microsoft.com/office/spreadsheetml/2017/richdata2" ref="A2:K1001">
    <sortCondition ref="B1:B1001"/>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B052-40AA-4C55-88FC-A317C2AE53B7}">
  <dimension ref="A1:V1001"/>
  <sheetViews>
    <sheetView workbookViewId="0">
      <selection activeCell="L1" sqref="L1:L1048576"/>
    </sheetView>
  </sheetViews>
  <sheetFormatPr defaultRowHeight="13.8" x14ac:dyDescent="0.25"/>
  <cols>
    <col min="1" max="1" width="10.5" customWidth="1"/>
    <col min="2" max="2" width="12.69921875" style="5" customWidth="1"/>
    <col min="3" max="3" width="12.69921875" customWidth="1"/>
    <col min="4" max="5" width="19.3984375" style="7" customWidth="1"/>
    <col min="6" max="6" width="30.8984375" customWidth="1"/>
    <col min="7" max="7" width="27.59765625" customWidth="1"/>
    <col min="8" max="8" width="18.19921875" customWidth="1"/>
    <col min="9" max="9" width="28.69921875" customWidth="1"/>
    <col min="10" max="10" width="15" customWidth="1"/>
    <col min="11" max="11" width="14.19921875" customWidth="1"/>
    <col min="12" max="12" width="22.19921875" style="15" customWidth="1"/>
    <col min="13" max="13" width="13.59765625" style="15" customWidth="1"/>
    <col min="14" max="16" width="13.3984375" style="15" customWidth="1"/>
    <col min="17" max="17" width="17.19921875" customWidth="1"/>
    <col min="18" max="18" width="16.3984375" customWidth="1"/>
    <col min="19" max="19" width="17.3984375" customWidth="1"/>
    <col min="20" max="20" width="28.3984375" customWidth="1"/>
    <col min="21" max="21" width="17.5" customWidth="1"/>
    <col min="22" max="22" width="13.8984375" customWidth="1"/>
  </cols>
  <sheetData>
    <row r="1" spans="1:22" x14ac:dyDescent="0.25">
      <c r="A1" s="3" t="s">
        <v>0</v>
      </c>
      <c r="B1" s="4" t="s">
        <v>1</v>
      </c>
      <c r="C1" s="3" t="s">
        <v>2437</v>
      </c>
      <c r="D1" s="6" t="s">
        <v>2438</v>
      </c>
      <c r="E1" s="6" t="s">
        <v>2439</v>
      </c>
      <c r="F1" s="3" t="s">
        <v>2</v>
      </c>
      <c r="G1" s="3" t="s">
        <v>2429</v>
      </c>
      <c r="H1" s="3" t="s">
        <v>3</v>
      </c>
      <c r="I1" s="3" t="s">
        <v>2430</v>
      </c>
      <c r="J1" s="3" t="s">
        <v>4</v>
      </c>
      <c r="K1" s="3" t="s">
        <v>5</v>
      </c>
      <c r="L1" s="14" t="s">
        <v>2432</v>
      </c>
      <c r="M1" s="14" t="s">
        <v>6</v>
      </c>
      <c r="N1" s="14" t="s">
        <v>2433</v>
      </c>
      <c r="O1" s="14" t="s">
        <v>2434</v>
      </c>
      <c r="P1" s="14" t="s">
        <v>2435</v>
      </c>
      <c r="Q1" s="3" t="s">
        <v>2436</v>
      </c>
      <c r="R1" s="3" t="s">
        <v>7</v>
      </c>
      <c r="S1" s="3" t="s">
        <v>8</v>
      </c>
      <c r="T1" s="3" t="s">
        <v>2428</v>
      </c>
      <c r="U1" s="3" t="s">
        <v>9</v>
      </c>
      <c r="V1" s="3" t="s">
        <v>10</v>
      </c>
    </row>
    <row r="2" spans="1:22" x14ac:dyDescent="0.25">
      <c r="A2" t="s">
        <v>1428</v>
      </c>
      <c r="B2" s="5">
        <v>45292</v>
      </c>
      <c r="C2" s="2" t="str">
        <f>TEXT(SalesData[[#This Row],[Order Date]],"mmm")</f>
        <v>Jan</v>
      </c>
      <c r="D2" s="7">
        <f>MONTH(SalesData[[#This Row],[Order Date]])</f>
        <v>1</v>
      </c>
      <c r="E2" s="7">
        <f>YEAR(SalesData[[#This Row],[Order Date]])</f>
        <v>2024</v>
      </c>
      <c r="F2" t="s">
        <v>642</v>
      </c>
      <c r="G2" t="str">
        <f>PROPER(SalesData[[#This Row],[Product Name]])</f>
        <v>Biodegradable Cleaning Cloth</v>
      </c>
      <c r="H2" t="s">
        <v>2431</v>
      </c>
      <c r="I2" t="str">
        <f>UPPER(SalesData[[#This Row],[Product Category]])</f>
        <v>CLEANING</v>
      </c>
      <c r="J2">
        <v>10</v>
      </c>
      <c r="K2">
        <v>10</v>
      </c>
      <c r="L2" s="15">
        <f>IF(SalesData[[#This Row],[Unit Price]]="",
    AVERAGEIFS(SalesData[Unit Price],
               SalesData[Product Name],SalesData[[#This Row],[Product Name]]),
    SalesData[[#This Row],[Unit Price]])</f>
        <v>10</v>
      </c>
      <c r="M2" s="15">
        <v>3.42</v>
      </c>
      <c r="N2" s="15">
        <f>SalesData[[#This Row],[Quantity Sold]] * SalesData[[#This Row],[Cleaned Unit Price]]</f>
        <v>100</v>
      </c>
      <c r="O2" s="15">
        <f>SalesData[[#This Row],[Quantity Sold]] * SalesData[[#This Row],[Unit Cost]]</f>
        <v>34.200000000000003</v>
      </c>
      <c r="P2" s="15">
        <f>SalesData[[#This Row],[Revenue]] - SalesData[[#This Row],[Cost]]</f>
        <v>65.8</v>
      </c>
      <c r="Q2" s="13">
        <f>IF(SalesData[[#This Row],[Revenue]]=0,0,SalesData[[#This Row],[Profit]]/SalesData[[#This Row],[Revenue]])</f>
        <v>0.65799999999999992</v>
      </c>
      <c r="R2" t="s">
        <v>1029</v>
      </c>
      <c r="S2" t="s">
        <v>1228</v>
      </c>
      <c r="T2" t="str">
        <f>PROPER(SalesData[[#This Row],[Customer Name]])</f>
        <v>Mason Johnson</v>
      </c>
      <c r="U2" t="s">
        <v>1416</v>
      </c>
      <c r="V2" t="s">
        <v>1418</v>
      </c>
    </row>
    <row r="3" spans="1:22" x14ac:dyDescent="0.25">
      <c r="A3" t="s">
        <v>1429</v>
      </c>
      <c r="B3" s="5">
        <v>45292</v>
      </c>
      <c r="C3" s="2" t="str">
        <f>TEXT(SalesData[[#This Row],[Order Date]],"mmm")</f>
        <v>Jan</v>
      </c>
      <c r="D3" s="7">
        <f>MONTH(SalesData[[#This Row],[Order Date]])</f>
        <v>1</v>
      </c>
      <c r="E3" s="7">
        <f>YEAR(SalesData[[#This Row],[Order Date]])</f>
        <v>2024</v>
      </c>
      <c r="F3" t="s">
        <v>680</v>
      </c>
      <c r="G3" t="str">
        <f>PROPER(SalesData[[#This Row],[Product Name]])</f>
        <v>Eco Canvas Tote Bag</v>
      </c>
      <c r="H3" t="s">
        <v>1013</v>
      </c>
      <c r="I3" t="str">
        <f>UPPER(SalesData[[#This Row],[Product Category]])</f>
        <v>BAGS</v>
      </c>
      <c r="J3">
        <v>6</v>
      </c>
      <c r="K3">
        <v>25</v>
      </c>
      <c r="L3" s="15">
        <f>IF(SalesData[[#This Row],[Unit Price]]="",
    AVERAGEIFS(SalesData[Unit Price],
               SalesData[Product Name],SalesData[[#This Row],[Product Name]]),
    SalesData[[#This Row],[Unit Price]])</f>
        <v>25</v>
      </c>
      <c r="M3" s="15">
        <v>5.08</v>
      </c>
      <c r="N3" s="15">
        <f>SalesData[[#This Row],[Quantity Sold]] * SalesData[[#This Row],[Cleaned Unit Price]]</f>
        <v>150</v>
      </c>
      <c r="O3" s="15">
        <f>SalesData[[#This Row],[Quantity Sold]] * SalesData[[#This Row],[Unit Cost]]</f>
        <v>30.48</v>
      </c>
      <c r="P3" s="15">
        <f>SalesData[[#This Row],[Revenue]] - SalesData[[#This Row],[Cost]]</f>
        <v>119.52</v>
      </c>
      <c r="Q3" s="13">
        <f>IF(SalesData[[#This Row],[Revenue]]=0,0,SalesData[[#This Row],[Profit]]/SalesData[[#This Row],[Revenue]])</f>
        <v>0.79679999999999995</v>
      </c>
      <c r="R3" t="s">
        <v>1025</v>
      </c>
      <c r="S3" t="s">
        <v>1224</v>
      </c>
      <c r="T3" t="str">
        <f>PROPER(SalesData[[#This Row],[Customer Name]])</f>
        <v>Aiden Davis</v>
      </c>
      <c r="U3" t="s">
        <v>1414</v>
      </c>
      <c r="V3" t="s">
        <v>1420</v>
      </c>
    </row>
    <row r="4" spans="1:22" x14ac:dyDescent="0.25">
      <c r="A4" t="s">
        <v>1430</v>
      </c>
      <c r="B4" s="5">
        <v>45293</v>
      </c>
      <c r="C4" s="2" t="str">
        <f>TEXT(SalesData[[#This Row],[Order Date]],"mmm")</f>
        <v>Jan</v>
      </c>
      <c r="D4" s="7">
        <f>MONTH(SalesData[[#This Row],[Order Date]])</f>
        <v>1</v>
      </c>
      <c r="E4" s="7">
        <f>YEAR(SalesData[[#This Row],[Order Date]])</f>
        <v>2024</v>
      </c>
      <c r="F4" t="s">
        <v>273</v>
      </c>
      <c r="G4" t="str">
        <f>PROPER(SalesData[[#This Row],[Product Name]])</f>
        <v>Solar Led Lantern</v>
      </c>
      <c r="H4" t="s">
        <v>1012</v>
      </c>
      <c r="I4" t="str">
        <f>UPPER(SalesData[[#This Row],[Product Category]])</f>
        <v>LIGHTING</v>
      </c>
      <c r="J4">
        <v>7</v>
      </c>
      <c r="K4">
        <v>40</v>
      </c>
      <c r="L4" s="15">
        <f>IF(SalesData[[#This Row],[Unit Price]]="",
    AVERAGEIFS(SalesData[Unit Price],
               SalesData[Product Name],SalesData[[#This Row],[Product Name]]),
    SalesData[[#This Row],[Unit Price]])</f>
        <v>40</v>
      </c>
      <c r="M4" s="15">
        <v>12.35</v>
      </c>
      <c r="N4" s="15">
        <f>SalesData[[#This Row],[Quantity Sold]] * SalesData[[#This Row],[Cleaned Unit Price]]</f>
        <v>280</v>
      </c>
      <c r="O4" s="15">
        <f>SalesData[[#This Row],[Quantity Sold]] * SalesData[[#This Row],[Unit Cost]]</f>
        <v>86.45</v>
      </c>
      <c r="P4" s="15">
        <f>SalesData[[#This Row],[Revenue]] - SalesData[[#This Row],[Cost]]</f>
        <v>193.55</v>
      </c>
      <c r="Q4" s="13">
        <f>IF(SalesData[[#This Row],[Revenue]]=0,0,SalesData[[#This Row],[Profit]]/SalesData[[#This Row],[Revenue]])</f>
        <v>0.69125000000000003</v>
      </c>
      <c r="R4" t="s">
        <v>1039</v>
      </c>
      <c r="S4" t="s">
        <v>1238</v>
      </c>
      <c r="T4" t="str">
        <f>PROPER(SalesData[[#This Row],[Customer Name]])</f>
        <v>Mia Jones</v>
      </c>
      <c r="U4" t="s">
        <v>1416</v>
      </c>
      <c r="V4" t="s">
        <v>1423</v>
      </c>
    </row>
    <row r="5" spans="1:22" x14ac:dyDescent="0.25">
      <c r="A5" t="s">
        <v>1431</v>
      </c>
      <c r="B5" s="5">
        <v>45293</v>
      </c>
      <c r="C5" s="2" t="str">
        <f>TEXT(SalesData[[#This Row],[Order Date]],"mmm")</f>
        <v>Jan</v>
      </c>
      <c r="D5" s="7">
        <f>MONTH(SalesData[[#This Row],[Order Date]])</f>
        <v>1</v>
      </c>
      <c r="E5" s="7">
        <f>YEAR(SalesData[[#This Row],[Order Date]])</f>
        <v>2024</v>
      </c>
      <c r="F5" t="s">
        <v>432</v>
      </c>
      <c r="G5" t="str">
        <f>PROPER(SalesData[[#This Row],[Product Name]])</f>
        <v>Biodegradable Cleaning Cloth</v>
      </c>
      <c r="H5" t="s">
        <v>1015</v>
      </c>
      <c r="I5" t="str">
        <f>UPPER(SalesData[[#This Row],[Product Category]])</f>
        <v>CLEANING</v>
      </c>
      <c r="J5">
        <v>5</v>
      </c>
      <c r="K5">
        <v>10</v>
      </c>
      <c r="L5" s="15">
        <f>IF(SalesData[[#This Row],[Unit Price]]="",
    AVERAGEIFS(SalesData[Unit Price],
               SalesData[Product Name],SalesData[[#This Row],[Product Name]]),
    SalesData[[#This Row],[Unit Price]])</f>
        <v>10</v>
      </c>
      <c r="M5" s="15">
        <v>3.55</v>
      </c>
      <c r="N5" s="15">
        <f>SalesData[[#This Row],[Quantity Sold]] * SalesData[[#This Row],[Cleaned Unit Price]]</f>
        <v>50</v>
      </c>
      <c r="O5" s="15">
        <f>SalesData[[#This Row],[Quantity Sold]] * SalesData[[#This Row],[Unit Cost]]</f>
        <v>17.75</v>
      </c>
      <c r="P5" s="15">
        <f>SalesData[[#This Row],[Revenue]] - SalesData[[#This Row],[Cost]]</f>
        <v>32.25</v>
      </c>
      <c r="Q5" s="13">
        <f>IF(SalesData[[#This Row],[Revenue]]=0,0,SalesData[[#This Row],[Profit]]/SalesData[[#This Row],[Revenue]])</f>
        <v>0.64500000000000002</v>
      </c>
      <c r="R5" t="s">
        <v>1034</v>
      </c>
      <c r="S5" t="s">
        <v>1233</v>
      </c>
      <c r="T5" t="str">
        <f>PROPER(SalesData[[#This Row],[Customer Name]])</f>
        <v>Liam Garcia</v>
      </c>
      <c r="U5" t="s">
        <v>1414</v>
      </c>
      <c r="V5" t="s">
        <v>1419</v>
      </c>
    </row>
    <row r="6" spans="1:22" x14ac:dyDescent="0.25">
      <c r="A6" t="s">
        <v>1432</v>
      </c>
      <c r="B6" s="5">
        <v>45293</v>
      </c>
      <c r="C6" s="2" t="str">
        <f>TEXT(SalesData[[#This Row],[Order Date]],"mmm")</f>
        <v>Jan</v>
      </c>
      <c r="D6" s="7">
        <f>MONTH(SalesData[[#This Row],[Order Date]])</f>
        <v>1</v>
      </c>
      <c r="E6" s="7">
        <f>YEAR(SalesData[[#This Row],[Order Date]])</f>
        <v>2024</v>
      </c>
      <c r="F6" t="s">
        <v>548</v>
      </c>
      <c r="G6" t="str">
        <f>PROPER(SalesData[[#This Row],[Product Name]])</f>
        <v>Biodegradable Cleaning Cloth</v>
      </c>
      <c r="H6" t="s">
        <v>1015</v>
      </c>
      <c r="I6" t="str">
        <f>UPPER(SalesData[[#This Row],[Product Category]])</f>
        <v>CLEANING</v>
      </c>
      <c r="J6">
        <v>2</v>
      </c>
      <c r="K6">
        <v>10</v>
      </c>
      <c r="L6" s="15">
        <f>IF(SalesData[[#This Row],[Unit Price]]="",
    AVERAGEIFS(SalesData[Unit Price],
               SalesData[Product Name],SalesData[[#This Row],[Product Name]]),
    SalesData[[#This Row],[Unit Price]])</f>
        <v>10</v>
      </c>
      <c r="M6" s="15">
        <v>3.27</v>
      </c>
      <c r="N6" s="15">
        <f>SalesData[[#This Row],[Quantity Sold]] * SalesData[[#This Row],[Cleaned Unit Price]]</f>
        <v>20</v>
      </c>
      <c r="O6" s="15">
        <f>SalesData[[#This Row],[Quantity Sold]] * SalesData[[#This Row],[Unit Cost]]</f>
        <v>6.54</v>
      </c>
      <c r="P6" s="15">
        <f>SalesData[[#This Row],[Revenue]] - SalesData[[#This Row],[Cost]]</f>
        <v>13.46</v>
      </c>
      <c r="Q6" s="13">
        <f>IF(SalesData[[#This Row],[Revenue]]=0,0,SalesData[[#This Row],[Profit]]/SalesData[[#This Row],[Revenue]])</f>
        <v>0.67300000000000004</v>
      </c>
      <c r="R6" t="s">
        <v>1043</v>
      </c>
      <c r="S6" t="s">
        <v>1242</v>
      </c>
      <c r="T6" t="str">
        <f>PROPER(SalesData[[#This Row],[Customer Name]])</f>
        <v>Ethan Miller</v>
      </c>
      <c r="U6" t="s">
        <v>1417</v>
      </c>
      <c r="V6" t="s">
        <v>1422</v>
      </c>
    </row>
    <row r="7" spans="1:22" x14ac:dyDescent="0.25">
      <c r="A7" t="s">
        <v>1433</v>
      </c>
      <c r="B7" s="5">
        <v>45293</v>
      </c>
      <c r="C7" s="2" t="str">
        <f>TEXT(SalesData[[#This Row],[Order Date]],"mmm")</f>
        <v>Jan</v>
      </c>
      <c r="D7" s="7">
        <f>MONTH(SalesData[[#This Row],[Order Date]])</f>
        <v>1</v>
      </c>
      <c r="E7" s="7">
        <f>YEAR(SalesData[[#This Row],[Order Date]])</f>
        <v>2024</v>
      </c>
      <c r="F7" t="s">
        <v>710</v>
      </c>
      <c r="G7" t="str">
        <f>PROPER(SalesData[[#This Row],[Product Name]])</f>
        <v>Solar Led Lantern</v>
      </c>
      <c r="H7" t="s">
        <v>1012</v>
      </c>
      <c r="I7" t="str">
        <f>UPPER(SalesData[[#This Row],[Product Category]])</f>
        <v>LIGHTING</v>
      </c>
      <c r="J7">
        <v>8</v>
      </c>
      <c r="K7">
        <v>40</v>
      </c>
      <c r="L7" s="15">
        <f>IF(SalesData[[#This Row],[Unit Price]]="",
    AVERAGEIFS(SalesData[Unit Price],
               SalesData[Product Name],SalesData[[#This Row],[Product Name]]),
    SalesData[[#This Row],[Unit Price]])</f>
        <v>40</v>
      </c>
      <c r="M7" s="15">
        <v>14.7</v>
      </c>
      <c r="N7" s="15">
        <f>SalesData[[#This Row],[Quantity Sold]] * SalesData[[#This Row],[Cleaned Unit Price]]</f>
        <v>320</v>
      </c>
      <c r="O7" s="15">
        <f>SalesData[[#This Row],[Quantity Sold]] * SalesData[[#This Row],[Unit Cost]]</f>
        <v>117.6</v>
      </c>
      <c r="P7" s="15">
        <f>SalesData[[#This Row],[Revenue]] - SalesData[[#This Row],[Cost]]</f>
        <v>202.4</v>
      </c>
      <c r="Q7" s="13">
        <f>IF(SalesData[[#This Row],[Revenue]]=0,0,SalesData[[#This Row],[Profit]]/SalesData[[#This Row],[Revenue]])</f>
        <v>0.63250000000000006</v>
      </c>
      <c r="R7" t="s">
        <v>1067</v>
      </c>
      <c r="S7" t="s">
        <v>1266</v>
      </c>
      <c r="T7" t="str">
        <f>PROPER(SalesData[[#This Row],[Customer Name]])</f>
        <v>Charlotte Jones</v>
      </c>
      <c r="U7" t="s">
        <v>1415</v>
      </c>
      <c r="V7" t="s">
        <v>1423</v>
      </c>
    </row>
    <row r="8" spans="1:22" x14ac:dyDescent="0.25">
      <c r="A8" t="s">
        <v>1434</v>
      </c>
      <c r="B8" s="5">
        <v>45293</v>
      </c>
      <c r="C8" s="2" t="str">
        <f>TEXT(SalesData[[#This Row],[Order Date]],"mmm")</f>
        <v>Jan</v>
      </c>
      <c r="D8" s="7">
        <f>MONTH(SalesData[[#This Row],[Order Date]])</f>
        <v>1</v>
      </c>
      <c r="E8" s="7">
        <f>YEAR(SalesData[[#This Row],[Order Date]])</f>
        <v>2024</v>
      </c>
      <c r="F8" t="s">
        <v>730</v>
      </c>
      <c r="G8" t="str">
        <f>PROPER(SalesData[[#This Row],[Product Name]])</f>
        <v>Reusable Bamboo Utensil Set</v>
      </c>
      <c r="H8" t="s">
        <v>1014</v>
      </c>
      <c r="I8" t="str">
        <f>UPPER(SalesData[[#This Row],[Product Category]])</f>
        <v>KITCHENWARE</v>
      </c>
      <c r="J8">
        <v>10</v>
      </c>
      <c r="K8">
        <v>15</v>
      </c>
      <c r="L8" s="15">
        <f>IF(SalesData[[#This Row],[Unit Price]]="",
    AVERAGEIFS(SalesData[Unit Price],
               SalesData[Product Name],SalesData[[#This Row],[Product Name]]),
    SalesData[[#This Row],[Unit Price]])</f>
        <v>15</v>
      </c>
      <c r="M8" s="15">
        <v>5.5</v>
      </c>
      <c r="N8" s="15">
        <f>SalesData[[#This Row],[Quantity Sold]] * SalesData[[#This Row],[Cleaned Unit Price]]</f>
        <v>150</v>
      </c>
      <c r="O8" s="15">
        <f>SalesData[[#This Row],[Quantity Sold]] * SalesData[[#This Row],[Unit Cost]]</f>
        <v>55</v>
      </c>
      <c r="P8" s="15">
        <f>SalesData[[#This Row],[Revenue]] - SalesData[[#This Row],[Cost]]</f>
        <v>95</v>
      </c>
      <c r="Q8" s="13">
        <f>IF(SalesData[[#This Row],[Revenue]]=0,0,SalesData[[#This Row],[Profit]]/SalesData[[#This Row],[Revenue]])</f>
        <v>0.6333333333333333</v>
      </c>
      <c r="R8" t="s">
        <v>1047</v>
      </c>
      <c r="S8" t="s">
        <v>1246</v>
      </c>
      <c r="T8" t="str">
        <f>PROPER(SalesData[[#This Row],[Customer Name]])</f>
        <v>Mia Johnson</v>
      </c>
      <c r="U8" t="s">
        <v>1414</v>
      </c>
      <c r="V8" t="s">
        <v>1423</v>
      </c>
    </row>
    <row r="9" spans="1:22" x14ac:dyDescent="0.25">
      <c r="A9" t="s">
        <v>1435</v>
      </c>
      <c r="B9" s="5">
        <v>45293</v>
      </c>
      <c r="C9" s="2" t="str">
        <f>TEXT(SalesData[[#This Row],[Order Date]],"mmm")</f>
        <v>Jan</v>
      </c>
      <c r="D9" s="7">
        <f>MONTH(SalesData[[#This Row],[Order Date]])</f>
        <v>1</v>
      </c>
      <c r="E9" s="7">
        <f>YEAR(SalesData[[#This Row],[Order Date]])</f>
        <v>2024</v>
      </c>
      <c r="F9" t="s">
        <v>797</v>
      </c>
      <c r="G9" t="str">
        <f>PROPER(SalesData[[#This Row],[Product Name]])</f>
        <v>Solar Led Lantern</v>
      </c>
      <c r="H9" t="s">
        <v>1012</v>
      </c>
      <c r="I9" t="str">
        <f>UPPER(SalesData[[#This Row],[Product Category]])</f>
        <v>LIGHTING</v>
      </c>
      <c r="J9">
        <v>6</v>
      </c>
      <c r="K9">
        <v>40</v>
      </c>
      <c r="L9" s="15">
        <f>IF(SalesData[[#This Row],[Unit Price]]="",
    AVERAGEIFS(SalesData[Unit Price],
               SalesData[Product Name],SalesData[[#This Row],[Product Name]]),
    SalesData[[#This Row],[Unit Price]])</f>
        <v>40</v>
      </c>
      <c r="M9" s="15">
        <v>8.8000000000000007</v>
      </c>
      <c r="N9" s="15">
        <f>SalesData[[#This Row],[Quantity Sold]] * SalesData[[#This Row],[Cleaned Unit Price]]</f>
        <v>240</v>
      </c>
      <c r="O9" s="15">
        <f>SalesData[[#This Row],[Quantity Sold]] * SalesData[[#This Row],[Unit Cost]]</f>
        <v>52.800000000000004</v>
      </c>
      <c r="P9" s="15">
        <f>SalesData[[#This Row],[Revenue]] - SalesData[[#This Row],[Cost]]</f>
        <v>187.2</v>
      </c>
      <c r="Q9" s="13">
        <f>IF(SalesData[[#This Row],[Revenue]]=0,0,SalesData[[#This Row],[Profit]]/SalesData[[#This Row],[Revenue]])</f>
        <v>0.77999999999999992</v>
      </c>
      <c r="R9" t="s">
        <v>1134</v>
      </c>
      <c r="S9" t="s">
        <v>1333</v>
      </c>
      <c r="T9" t="str">
        <f>PROPER(SalesData[[#This Row],[Customer Name]])</f>
        <v>Ava Martinez</v>
      </c>
      <c r="U9" t="s">
        <v>1414</v>
      </c>
      <c r="V9" t="s">
        <v>1424</v>
      </c>
    </row>
    <row r="10" spans="1:22" x14ac:dyDescent="0.25">
      <c r="A10" t="s">
        <v>1436</v>
      </c>
      <c r="B10" s="5">
        <v>45293</v>
      </c>
      <c r="C10" s="2" t="str">
        <f>TEXT(SalesData[[#This Row],[Order Date]],"mmm")</f>
        <v>Jan</v>
      </c>
      <c r="D10" s="7">
        <f>MONTH(SalesData[[#This Row],[Order Date]])</f>
        <v>1</v>
      </c>
      <c r="E10" s="7">
        <f>YEAR(SalesData[[#This Row],[Order Date]])</f>
        <v>2024</v>
      </c>
      <c r="F10" t="s">
        <v>1008</v>
      </c>
      <c r="G10" t="str">
        <f>PROPER(SalesData[[#This Row],[Product Name]])</f>
        <v>Eco Canvas Tote Bag</v>
      </c>
      <c r="H10" t="s">
        <v>1013</v>
      </c>
      <c r="I10" t="str">
        <f>UPPER(SalesData[[#This Row],[Product Category]])</f>
        <v>BAGS</v>
      </c>
      <c r="J10">
        <v>1</v>
      </c>
      <c r="K10">
        <v>25</v>
      </c>
      <c r="L10" s="15">
        <f>IF(SalesData[[#This Row],[Unit Price]]="",
    AVERAGEIFS(SalesData[Unit Price],
               SalesData[Product Name],SalesData[[#This Row],[Product Name]]),
    SalesData[[#This Row],[Unit Price]])</f>
        <v>25</v>
      </c>
      <c r="M10" s="15">
        <v>9.01</v>
      </c>
      <c r="N10" s="15">
        <f>SalesData[[#This Row],[Quantity Sold]] * SalesData[[#This Row],[Cleaned Unit Price]]</f>
        <v>25</v>
      </c>
      <c r="O10" s="15">
        <f>SalesData[[#This Row],[Quantity Sold]] * SalesData[[#This Row],[Unit Cost]]</f>
        <v>9.01</v>
      </c>
      <c r="P10" s="15">
        <f>SalesData[[#This Row],[Revenue]] - SalesData[[#This Row],[Cost]]</f>
        <v>15.99</v>
      </c>
      <c r="Q10" s="13">
        <f>IF(SalesData[[#This Row],[Revenue]]=0,0,SalesData[[#This Row],[Profit]]/SalesData[[#This Row],[Revenue]])</f>
        <v>0.63960000000000006</v>
      </c>
      <c r="R10" t="s">
        <v>1021</v>
      </c>
      <c r="S10" t="s">
        <v>1220</v>
      </c>
      <c r="T10" t="str">
        <f>PROPER(SalesData[[#This Row],[Customer Name]])</f>
        <v>Liam Garcia</v>
      </c>
      <c r="U10" t="s">
        <v>1414</v>
      </c>
      <c r="V10" t="s">
        <v>1425</v>
      </c>
    </row>
    <row r="11" spans="1:22" x14ac:dyDescent="0.25">
      <c r="A11" t="s">
        <v>1437</v>
      </c>
      <c r="B11" s="5">
        <v>45294</v>
      </c>
      <c r="C11" s="2" t="str">
        <f>TEXT(SalesData[[#This Row],[Order Date]],"mmm")</f>
        <v>Jan</v>
      </c>
      <c r="D11" s="7">
        <f>MONTH(SalesData[[#This Row],[Order Date]])</f>
        <v>1</v>
      </c>
      <c r="E11" s="7">
        <f>YEAR(SalesData[[#This Row],[Order Date]])</f>
        <v>2024</v>
      </c>
      <c r="F11" t="s">
        <v>39</v>
      </c>
      <c r="G11" t="str">
        <f>PROPER(SalesData[[#This Row],[Product Name]])</f>
        <v>Biodegradable Cleaning Cloth</v>
      </c>
      <c r="H11" t="s">
        <v>1015</v>
      </c>
      <c r="I11" t="str">
        <f>UPPER(SalesData[[#This Row],[Product Category]])</f>
        <v>CLEANING</v>
      </c>
      <c r="J11">
        <v>2</v>
      </c>
      <c r="K11">
        <v>10</v>
      </c>
      <c r="L11" s="15">
        <f>IF(SalesData[[#This Row],[Unit Price]]="",
    AVERAGEIFS(SalesData[Unit Price],
               SalesData[Product Name],SalesData[[#This Row],[Product Name]]),
    SalesData[[#This Row],[Unit Price]])</f>
        <v>10</v>
      </c>
      <c r="M11" s="15">
        <v>2.89</v>
      </c>
      <c r="N11" s="15">
        <f>SalesData[[#This Row],[Quantity Sold]] * SalesData[[#This Row],[Cleaned Unit Price]]</f>
        <v>20</v>
      </c>
      <c r="O11" s="15">
        <f>SalesData[[#This Row],[Quantity Sold]] * SalesData[[#This Row],[Unit Cost]]</f>
        <v>5.78</v>
      </c>
      <c r="P11" s="15">
        <f>SalesData[[#This Row],[Revenue]] - SalesData[[#This Row],[Cost]]</f>
        <v>14.219999999999999</v>
      </c>
      <c r="Q11" s="13">
        <f>IF(SalesData[[#This Row],[Revenue]]=0,0,SalesData[[#This Row],[Profit]]/SalesData[[#This Row],[Revenue]])</f>
        <v>0.71099999999999997</v>
      </c>
      <c r="R11" t="s">
        <v>1016</v>
      </c>
      <c r="S11" t="s">
        <v>1215</v>
      </c>
      <c r="T11" t="str">
        <f>PROPER(SalesData[[#This Row],[Customer Name]])</f>
        <v>Harper Davis</v>
      </c>
      <c r="U11" t="s">
        <v>1414</v>
      </c>
      <c r="V11" t="s">
        <v>1420</v>
      </c>
    </row>
    <row r="12" spans="1:22" x14ac:dyDescent="0.25">
      <c r="A12" t="s">
        <v>1438</v>
      </c>
      <c r="B12" s="5">
        <v>45294</v>
      </c>
      <c r="C12" s="2" t="str">
        <f>TEXT(SalesData[[#This Row],[Order Date]],"mmm")</f>
        <v>Jan</v>
      </c>
      <c r="D12" s="7">
        <f>MONTH(SalesData[[#This Row],[Order Date]])</f>
        <v>1</v>
      </c>
      <c r="E12" s="7">
        <f>YEAR(SalesData[[#This Row],[Order Date]])</f>
        <v>2024</v>
      </c>
      <c r="F12" t="s">
        <v>247</v>
      </c>
      <c r="G12" t="str">
        <f>PROPER(SalesData[[#This Row],[Product Name]])</f>
        <v>Solar Led Lantern</v>
      </c>
      <c r="H12" t="s">
        <v>1012</v>
      </c>
      <c r="I12" t="str">
        <f>UPPER(SalesData[[#This Row],[Product Category]])</f>
        <v>LIGHTING</v>
      </c>
      <c r="J12">
        <v>8</v>
      </c>
      <c r="K12">
        <v>40</v>
      </c>
      <c r="L12" s="15">
        <f>IF(SalesData[[#This Row],[Unit Price]]="",
    AVERAGEIFS(SalesData[Unit Price],
               SalesData[Product Name],SalesData[[#This Row],[Product Name]]),
    SalesData[[#This Row],[Unit Price]])</f>
        <v>40</v>
      </c>
      <c r="M12" s="15">
        <v>9.99</v>
      </c>
      <c r="N12" s="15">
        <f>SalesData[[#This Row],[Quantity Sold]] * SalesData[[#This Row],[Cleaned Unit Price]]</f>
        <v>320</v>
      </c>
      <c r="O12" s="15">
        <f>SalesData[[#This Row],[Quantity Sold]] * SalesData[[#This Row],[Unit Cost]]</f>
        <v>79.92</v>
      </c>
      <c r="P12" s="15">
        <f>SalesData[[#This Row],[Revenue]] - SalesData[[#This Row],[Cost]]</f>
        <v>240.07999999999998</v>
      </c>
      <c r="Q12" s="13">
        <f>IF(SalesData[[#This Row],[Revenue]]=0,0,SalesData[[#This Row],[Profit]]/SalesData[[#This Row],[Revenue]])</f>
        <v>0.75024999999999997</v>
      </c>
      <c r="R12" t="s">
        <v>1156</v>
      </c>
      <c r="S12" t="s">
        <v>1355</v>
      </c>
      <c r="T12" t="str">
        <f>PROPER(SalesData[[#This Row],[Customer Name]])</f>
        <v>Mason Johnson</v>
      </c>
      <c r="U12" t="s">
        <v>1414</v>
      </c>
      <c r="V12" t="s">
        <v>1422</v>
      </c>
    </row>
    <row r="13" spans="1:22" x14ac:dyDescent="0.25">
      <c r="A13" t="s">
        <v>1439</v>
      </c>
      <c r="B13" s="5">
        <v>45294</v>
      </c>
      <c r="C13" s="2" t="str">
        <f>TEXT(SalesData[[#This Row],[Order Date]],"mmm")</f>
        <v>Jan</v>
      </c>
      <c r="D13" s="7">
        <f>MONTH(SalesData[[#This Row],[Order Date]])</f>
        <v>1</v>
      </c>
      <c r="E13" s="7">
        <f>YEAR(SalesData[[#This Row],[Order Date]])</f>
        <v>2024</v>
      </c>
      <c r="F13" t="s">
        <v>400</v>
      </c>
      <c r="G13" t="str">
        <f>PROPER(SalesData[[#This Row],[Product Name]])</f>
        <v>Compostable Plant Pots</v>
      </c>
      <c r="H13" t="s">
        <v>1011</v>
      </c>
      <c r="I13" t="str">
        <f>UPPER(SalesData[[#This Row],[Product Category]])</f>
        <v>GARDENING</v>
      </c>
      <c r="J13">
        <v>3</v>
      </c>
      <c r="K13">
        <v>12</v>
      </c>
      <c r="L13" s="15">
        <f>IF(SalesData[[#This Row],[Unit Price]]="",
    AVERAGEIFS(SalesData[Unit Price],
               SalesData[Product Name],SalesData[[#This Row],[Product Name]]),
    SalesData[[#This Row],[Unit Price]])</f>
        <v>12</v>
      </c>
      <c r="M13" s="15">
        <v>2.88</v>
      </c>
      <c r="N13" s="15">
        <f>SalesData[[#This Row],[Quantity Sold]] * SalesData[[#This Row],[Cleaned Unit Price]]</f>
        <v>36</v>
      </c>
      <c r="O13" s="15">
        <f>SalesData[[#This Row],[Quantity Sold]] * SalesData[[#This Row],[Unit Cost]]</f>
        <v>8.64</v>
      </c>
      <c r="P13" s="15">
        <f>SalesData[[#This Row],[Revenue]] - SalesData[[#This Row],[Cost]]</f>
        <v>27.36</v>
      </c>
      <c r="Q13" s="13">
        <f>IF(SalesData[[#This Row],[Revenue]]=0,0,SalesData[[#This Row],[Profit]]/SalesData[[#This Row],[Revenue]])</f>
        <v>0.76</v>
      </c>
      <c r="R13" t="s">
        <v>1139</v>
      </c>
      <c r="S13" t="s">
        <v>1338</v>
      </c>
      <c r="T13" t="str">
        <f>PROPER(SalesData[[#This Row],[Customer Name]])</f>
        <v>Oliver Miller</v>
      </c>
      <c r="U13" t="s">
        <v>1414</v>
      </c>
      <c r="V13" t="s">
        <v>1421</v>
      </c>
    </row>
    <row r="14" spans="1:22" x14ac:dyDescent="0.25">
      <c r="A14" t="s">
        <v>1440</v>
      </c>
      <c r="B14" s="5">
        <v>45294</v>
      </c>
      <c r="C14" s="2" t="str">
        <f>TEXT(SalesData[[#This Row],[Order Date]],"mmm")</f>
        <v>Jan</v>
      </c>
      <c r="D14" s="7">
        <f>MONTH(SalesData[[#This Row],[Order Date]])</f>
        <v>1</v>
      </c>
      <c r="E14" s="7">
        <f>YEAR(SalesData[[#This Row],[Order Date]])</f>
        <v>2024</v>
      </c>
      <c r="F14" t="s">
        <v>813</v>
      </c>
      <c r="G14" t="str">
        <f>PROPER(SalesData[[#This Row],[Product Name]])</f>
        <v>Biodegradable Cleaning Cloth</v>
      </c>
      <c r="H14" t="s">
        <v>1015</v>
      </c>
      <c r="I14" t="str">
        <f>UPPER(SalesData[[#This Row],[Product Category]])</f>
        <v>CLEANING</v>
      </c>
      <c r="J14">
        <v>1</v>
      </c>
      <c r="K14">
        <v>10</v>
      </c>
      <c r="L14" s="15">
        <f>IF(SalesData[[#This Row],[Unit Price]]="",
    AVERAGEIFS(SalesData[Unit Price],
               SalesData[Product Name],SalesData[[#This Row],[Product Name]]),
    SalesData[[#This Row],[Unit Price]])</f>
        <v>10</v>
      </c>
      <c r="M14" s="15">
        <v>2.35</v>
      </c>
      <c r="N14" s="15">
        <f>SalesData[[#This Row],[Quantity Sold]] * SalesData[[#This Row],[Cleaned Unit Price]]</f>
        <v>10</v>
      </c>
      <c r="O14" s="15">
        <f>SalesData[[#This Row],[Quantity Sold]] * SalesData[[#This Row],[Unit Cost]]</f>
        <v>2.35</v>
      </c>
      <c r="P14" s="15">
        <f>SalesData[[#This Row],[Revenue]] - SalesData[[#This Row],[Cost]]</f>
        <v>7.65</v>
      </c>
      <c r="Q14" s="13">
        <f>IF(SalesData[[#This Row],[Revenue]]=0,0,SalesData[[#This Row],[Profit]]/SalesData[[#This Row],[Revenue]])</f>
        <v>0.76500000000000001</v>
      </c>
      <c r="R14" t="s">
        <v>1159</v>
      </c>
      <c r="S14" t="s">
        <v>1358</v>
      </c>
      <c r="T14" t="str">
        <f>PROPER(SalesData[[#This Row],[Customer Name]])</f>
        <v>Sophia Rodriguez</v>
      </c>
      <c r="U14" t="s">
        <v>1414</v>
      </c>
      <c r="V14" t="s">
        <v>1426</v>
      </c>
    </row>
    <row r="15" spans="1:22" x14ac:dyDescent="0.25">
      <c r="A15" t="s">
        <v>1441</v>
      </c>
      <c r="B15" s="5">
        <v>45295</v>
      </c>
      <c r="C15" s="2" t="str">
        <f>TEXT(SalesData[[#This Row],[Order Date]],"mmm")</f>
        <v>Jan</v>
      </c>
      <c r="D15" s="7">
        <f>MONTH(SalesData[[#This Row],[Order Date]])</f>
        <v>1</v>
      </c>
      <c r="E15" s="7">
        <f>YEAR(SalesData[[#This Row],[Order Date]])</f>
        <v>2024</v>
      </c>
      <c r="F15" t="s">
        <v>149</v>
      </c>
      <c r="G15" t="str">
        <f>PROPER(SalesData[[#This Row],[Product Name]])</f>
        <v>Eco Canvas Tote Bag</v>
      </c>
      <c r="H15" t="s">
        <v>1013</v>
      </c>
      <c r="I15" t="str">
        <f>UPPER(SalesData[[#This Row],[Product Category]])</f>
        <v>BAGS</v>
      </c>
      <c r="J15">
        <v>1</v>
      </c>
      <c r="K15">
        <v>25</v>
      </c>
      <c r="L15" s="15">
        <f>IF(SalesData[[#This Row],[Unit Price]]="",
    AVERAGEIFS(SalesData[Unit Price],
               SalesData[Product Name],SalesData[[#This Row],[Product Name]]),
    SalesData[[#This Row],[Unit Price]])</f>
        <v>25</v>
      </c>
      <c r="M15" s="15">
        <v>8.85</v>
      </c>
      <c r="N15" s="15">
        <f>SalesData[[#This Row],[Quantity Sold]] * SalesData[[#This Row],[Cleaned Unit Price]]</f>
        <v>25</v>
      </c>
      <c r="O15" s="15">
        <f>SalesData[[#This Row],[Quantity Sold]] * SalesData[[#This Row],[Unit Cost]]</f>
        <v>8.85</v>
      </c>
      <c r="P15" s="15">
        <f>SalesData[[#This Row],[Revenue]] - SalesData[[#This Row],[Cost]]</f>
        <v>16.149999999999999</v>
      </c>
      <c r="Q15" s="13">
        <f>IF(SalesData[[#This Row],[Revenue]]=0,0,SalesData[[#This Row],[Profit]]/SalesData[[#This Row],[Revenue]])</f>
        <v>0.64599999999999991</v>
      </c>
      <c r="R15" t="s">
        <v>1120</v>
      </c>
      <c r="S15" t="s">
        <v>1319</v>
      </c>
      <c r="T15" t="str">
        <f>PROPER(SalesData[[#This Row],[Customer Name]])</f>
        <v>Isabella Johnson</v>
      </c>
      <c r="U15" t="s">
        <v>1414</v>
      </c>
      <c r="V15" t="s">
        <v>1423</v>
      </c>
    </row>
    <row r="16" spans="1:22" x14ac:dyDescent="0.25">
      <c r="A16" t="s">
        <v>1442</v>
      </c>
      <c r="B16" s="5">
        <v>45295</v>
      </c>
      <c r="C16" s="2" t="str">
        <f>TEXT(SalesData[[#This Row],[Order Date]],"mmm")</f>
        <v>Jan</v>
      </c>
      <c r="D16" s="7">
        <f>MONTH(SalesData[[#This Row],[Order Date]])</f>
        <v>1</v>
      </c>
      <c r="E16" s="7">
        <f>YEAR(SalesData[[#This Row],[Order Date]])</f>
        <v>2024</v>
      </c>
      <c r="F16" t="s">
        <v>492</v>
      </c>
      <c r="G16" t="str">
        <f>PROPER(SalesData[[#This Row],[Product Name]])</f>
        <v>Solar Led Lantern</v>
      </c>
      <c r="H16" t="s">
        <v>1012</v>
      </c>
      <c r="I16" t="str">
        <f>UPPER(SalesData[[#This Row],[Product Category]])</f>
        <v>LIGHTING</v>
      </c>
      <c r="J16">
        <v>6</v>
      </c>
      <c r="K16">
        <v>40</v>
      </c>
      <c r="L16" s="15">
        <f>IF(SalesData[[#This Row],[Unit Price]]="",
    AVERAGEIFS(SalesData[Unit Price],
               SalesData[Product Name],SalesData[[#This Row],[Product Name]]),
    SalesData[[#This Row],[Unit Price]])</f>
        <v>40</v>
      </c>
      <c r="M16" s="15">
        <v>14.54</v>
      </c>
      <c r="N16" s="15">
        <f>SalesData[[#This Row],[Quantity Sold]] * SalesData[[#This Row],[Cleaned Unit Price]]</f>
        <v>240</v>
      </c>
      <c r="O16" s="15">
        <f>SalesData[[#This Row],[Quantity Sold]] * SalesData[[#This Row],[Unit Cost]]</f>
        <v>87.24</v>
      </c>
      <c r="P16" s="15">
        <f>SalesData[[#This Row],[Revenue]] - SalesData[[#This Row],[Cost]]</f>
        <v>152.76</v>
      </c>
      <c r="Q16" s="13">
        <f>IF(SalesData[[#This Row],[Revenue]]=0,0,SalesData[[#This Row],[Profit]]/SalesData[[#This Row],[Revenue]])</f>
        <v>0.63649999999999995</v>
      </c>
      <c r="R16" t="s">
        <v>1201</v>
      </c>
      <c r="S16" t="s">
        <v>1400</v>
      </c>
      <c r="T16" t="str">
        <f>PROPER(SalesData[[#This Row],[Customer Name]])</f>
        <v>Evelyn Smith</v>
      </c>
      <c r="U16" t="s">
        <v>1415</v>
      </c>
      <c r="V16" t="s">
        <v>1420</v>
      </c>
    </row>
    <row r="17" spans="1:22" x14ac:dyDescent="0.25">
      <c r="A17" t="s">
        <v>1443</v>
      </c>
      <c r="B17" s="5">
        <v>45295</v>
      </c>
      <c r="C17" s="2" t="str">
        <f>TEXT(SalesData[[#This Row],[Order Date]],"mmm")</f>
        <v>Jan</v>
      </c>
      <c r="D17" s="7">
        <f>MONTH(SalesData[[#This Row],[Order Date]])</f>
        <v>1</v>
      </c>
      <c r="E17" s="7">
        <f>YEAR(SalesData[[#This Row],[Order Date]])</f>
        <v>2024</v>
      </c>
      <c r="F17" t="s">
        <v>639</v>
      </c>
      <c r="G17" t="str">
        <f>PROPER(SalesData[[#This Row],[Product Name]])</f>
        <v>Biodegradable Cleaning Cloth</v>
      </c>
      <c r="H17" t="s">
        <v>1015</v>
      </c>
      <c r="I17" t="str">
        <f>UPPER(SalesData[[#This Row],[Product Category]])</f>
        <v>CLEANING</v>
      </c>
      <c r="J17">
        <v>10</v>
      </c>
      <c r="K17">
        <v>10</v>
      </c>
      <c r="L17" s="15">
        <f>IF(SalesData[[#This Row],[Unit Price]]="",
    AVERAGEIFS(SalesData[Unit Price],
               SalesData[Product Name],SalesData[[#This Row],[Product Name]]),
    SalesData[[#This Row],[Unit Price]])</f>
        <v>10</v>
      </c>
      <c r="M17" s="15">
        <v>2.36</v>
      </c>
      <c r="N17" s="15">
        <f>SalesData[[#This Row],[Quantity Sold]] * SalesData[[#This Row],[Cleaned Unit Price]]</f>
        <v>100</v>
      </c>
      <c r="O17" s="15">
        <f>SalesData[[#This Row],[Quantity Sold]] * SalesData[[#This Row],[Unit Cost]]</f>
        <v>23.599999999999998</v>
      </c>
      <c r="P17" s="15">
        <f>SalesData[[#This Row],[Revenue]] - SalesData[[#This Row],[Cost]]</f>
        <v>76.400000000000006</v>
      </c>
      <c r="Q17" s="13">
        <f>IF(SalesData[[#This Row],[Revenue]]=0,0,SalesData[[#This Row],[Profit]]/SalesData[[#This Row],[Revenue]])</f>
        <v>0.76400000000000001</v>
      </c>
      <c r="R17" t="s">
        <v>1035</v>
      </c>
      <c r="S17" t="s">
        <v>1234</v>
      </c>
      <c r="T17" t="str">
        <f>PROPER(SalesData[[#This Row],[Customer Name]])</f>
        <v>Olivia Martinez</v>
      </c>
      <c r="U17" t="s">
        <v>1416</v>
      </c>
      <c r="V17" t="s">
        <v>1421</v>
      </c>
    </row>
    <row r="18" spans="1:22" x14ac:dyDescent="0.25">
      <c r="A18" t="s">
        <v>1444</v>
      </c>
      <c r="B18" s="5">
        <v>45295</v>
      </c>
      <c r="C18" s="2" t="str">
        <f>TEXT(SalesData[[#This Row],[Order Date]],"mmm")</f>
        <v>Jan</v>
      </c>
      <c r="D18" s="7">
        <f>MONTH(SalesData[[#This Row],[Order Date]])</f>
        <v>1</v>
      </c>
      <c r="E18" s="7">
        <f>YEAR(SalesData[[#This Row],[Order Date]])</f>
        <v>2024</v>
      </c>
      <c r="F18" t="s">
        <v>952</v>
      </c>
      <c r="G18" t="str">
        <f>PROPER(SalesData[[#This Row],[Product Name]])</f>
        <v>Biodegradable Cleaning Cloth</v>
      </c>
      <c r="H18" t="s">
        <v>1015</v>
      </c>
      <c r="I18" t="str">
        <f>UPPER(SalesData[[#This Row],[Product Category]])</f>
        <v>CLEANING</v>
      </c>
      <c r="J18">
        <v>2</v>
      </c>
      <c r="K18">
        <v>10</v>
      </c>
      <c r="L18" s="15">
        <f>IF(SalesData[[#This Row],[Unit Price]]="",
    AVERAGEIFS(SalesData[Unit Price],
               SalesData[Product Name],SalesData[[#This Row],[Product Name]]),
    SalesData[[#This Row],[Unit Price]])</f>
        <v>10</v>
      </c>
      <c r="M18" s="15">
        <v>2.0699999999999998</v>
      </c>
      <c r="N18" s="15">
        <f>SalesData[[#This Row],[Quantity Sold]] * SalesData[[#This Row],[Cleaned Unit Price]]</f>
        <v>20</v>
      </c>
      <c r="O18" s="15">
        <f>SalesData[[#This Row],[Quantity Sold]] * SalesData[[#This Row],[Unit Cost]]</f>
        <v>4.1399999999999997</v>
      </c>
      <c r="P18" s="15">
        <f>SalesData[[#This Row],[Revenue]] - SalesData[[#This Row],[Cost]]</f>
        <v>15.86</v>
      </c>
      <c r="Q18" s="13">
        <f>IF(SalesData[[#This Row],[Revenue]]=0,0,SalesData[[#This Row],[Profit]]/SalesData[[#This Row],[Revenue]])</f>
        <v>0.79299999999999993</v>
      </c>
      <c r="R18" t="s">
        <v>1039</v>
      </c>
      <c r="S18" t="s">
        <v>1238</v>
      </c>
      <c r="T18" t="str">
        <f>PROPER(SalesData[[#This Row],[Customer Name]])</f>
        <v>Mia Jones</v>
      </c>
      <c r="U18" t="s">
        <v>1414</v>
      </c>
      <c r="V18" t="s">
        <v>1423</v>
      </c>
    </row>
    <row r="19" spans="1:22" x14ac:dyDescent="0.25">
      <c r="A19" t="s">
        <v>1445</v>
      </c>
      <c r="B19" s="5">
        <v>45296</v>
      </c>
      <c r="C19" s="2" t="str">
        <f>TEXT(SalesData[[#This Row],[Order Date]],"mmm")</f>
        <v>Jan</v>
      </c>
      <c r="D19" s="7">
        <f>MONTH(SalesData[[#This Row],[Order Date]])</f>
        <v>1</v>
      </c>
      <c r="E19" s="7">
        <f>YEAR(SalesData[[#This Row],[Order Date]])</f>
        <v>2024</v>
      </c>
      <c r="F19" t="s">
        <v>224</v>
      </c>
      <c r="G19" t="str">
        <f>PROPER(SalesData[[#This Row],[Product Name]])</f>
        <v>Eco Canvas Tote Bag</v>
      </c>
      <c r="H19" t="s">
        <v>1013</v>
      </c>
      <c r="I19" t="str">
        <f>UPPER(SalesData[[#This Row],[Product Category]])</f>
        <v>BAGS</v>
      </c>
      <c r="J19">
        <v>7</v>
      </c>
      <c r="K19">
        <v>25</v>
      </c>
      <c r="L19" s="15">
        <f>IF(SalesData[[#This Row],[Unit Price]]="",
    AVERAGEIFS(SalesData[Unit Price],
               SalesData[Product Name],SalesData[[#This Row],[Product Name]]),
    SalesData[[#This Row],[Unit Price]])</f>
        <v>25</v>
      </c>
      <c r="M19" s="15">
        <v>6.64</v>
      </c>
      <c r="N19" s="15">
        <f>SalesData[[#This Row],[Quantity Sold]] * SalesData[[#This Row],[Cleaned Unit Price]]</f>
        <v>175</v>
      </c>
      <c r="O19" s="15">
        <f>SalesData[[#This Row],[Quantity Sold]] * SalesData[[#This Row],[Unit Cost]]</f>
        <v>46.48</v>
      </c>
      <c r="P19" s="15">
        <f>SalesData[[#This Row],[Revenue]] - SalesData[[#This Row],[Cost]]</f>
        <v>128.52000000000001</v>
      </c>
      <c r="Q19" s="13">
        <f>IF(SalesData[[#This Row],[Revenue]]=0,0,SalesData[[#This Row],[Profit]]/SalesData[[#This Row],[Revenue]])</f>
        <v>0.73440000000000005</v>
      </c>
      <c r="R19" t="s">
        <v>1147</v>
      </c>
      <c r="S19" t="s">
        <v>1346</v>
      </c>
      <c r="T19" t="str">
        <f>PROPER(SalesData[[#This Row],[Customer Name]])</f>
        <v>Ava Jones</v>
      </c>
      <c r="U19" t="s">
        <v>1414</v>
      </c>
      <c r="V19" t="s">
        <v>1420</v>
      </c>
    </row>
    <row r="20" spans="1:22" x14ac:dyDescent="0.25">
      <c r="A20" t="s">
        <v>1446</v>
      </c>
      <c r="B20" s="5">
        <v>45296</v>
      </c>
      <c r="C20" s="2" t="str">
        <f>TEXT(SalesData[[#This Row],[Order Date]],"mmm")</f>
        <v>Jan</v>
      </c>
      <c r="D20" s="7">
        <f>MONTH(SalesData[[#This Row],[Order Date]])</f>
        <v>1</v>
      </c>
      <c r="E20" s="7">
        <f>YEAR(SalesData[[#This Row],[Order Date]])</f>
        <v>2024</v>
      </c>
      <c r="F20" t="s">
        <v>753</v>
      </c>
      <c r="G20" t="str">
        <f>PROPER(SalesData[[#This Row],[Product Name]])</f>
        <v>Solar Led Lantern</v>
      </c>
      <c r="H20" t="s">
        <v>1012</v>
      </c>
      <c r="I20" t="str">
        <f>UPPER(SalesData[[#This Row],[Product Category]])</f>
        <v>LIGHTING</v>
      </c>
      <c r="J20">
        <v>5</v>
      </c>
      <c r="K20">
        <v>40</v>
      </c>
      <c r="L20" s="15">
        <f>IF(SalesData[[#This Row],[Unit Price]]="",
    AVERAGEIFS(SalesData[Unit Price],
               SalesData[Product Name],SalesData[[#This Row],[Product Name]]),
    SalesData[[#This Row],[Unit Price]])</f>
        <v>40</v>
      </c>
      <c r="M20" s="15">
        <v>15.48</v>
      </c>
      <c r="N20" s="15">
        <f>SalesData[[#This Row],[Quantity Sold]] * SalesData[[#This Row],[Cleaned Unit Price]]</f>
        <v>200</v>
      </c>
      <c r="O20" s="15">
        <f>SalesData[[#This Row],[Quantity Sold]] * SalesData[[#This Row],[Unit Cost]]</f>
        <v>77.400000000000006</v>
      </c>
      <c r="P20" s="15">
        <f>SalesData[[#This Row],[Revenue]] - SalesData[[#This Row],[Cost]]</f>
        <v>122.6</v>
      </c>
      <c r="Q20" s="13">
        <f>IF(SalesData[[#This Row],[Revenue]]=0,0,SalesData[[#This Row],[Profit]]/SalesData[[#This Row],[Revenue]])</f>
        <v>0.61299999999999999</v>
      </c>
      <c r="R20" t="s">
        <v>1168</v>
      </c>
      <c r="S20" t="s">
        <v>1367</v>
      </c>
      <c r="T20" t="str">
        <f>PROPER(SalesData[[#This Row],[Customer Name]])</f>
        <v>Harper Miller</v>
      </c>
      <c r="U20" t="s">
        <v>1414</v>
      </c>
      <c r="V20" t="s">
        <v>1424</v>
      </c>
    </row>
    <row r="21" spans="1:22" x14ac:dyDescent="0.25">
      <c r="A21" t="s">
        <v>1447</v>
      </c>
      <c r="B21" s="5">
        <v>45296</v>
      </c>
      <c r="C21" s="2" t="str">
        <f>TEXT(SalesData[[#This Row],[Order Date]],"mmm")</f>
        <v>Jan</v>
      </c>
      <c r="D21" s="7">
        <f>MONTH(SalesData[[#This Row],[Order Date]])</f>
        <v>1</v>
      </c>
      <c r="E21" s="7">
        <f>YEAR(SalesData[[#This Row],[Order Date]])</f>
        <v>2024</v>
      </c>
      <c r="F21" t="s">
        <v>888</v>
      </c>
      <c r="G21" t="str">
        <f>PROPER(SalesData[[#This Row],[Product Name]])</f>
        <v>Biodegradable Cleaning Cloth</v>
      </c>
      <c r="H21" t="s">
        <v>1015</v>
      </c>
      <c r="I21" t="str">
        <f>UPPER(SalesData[[#This Row],[Product Category]])</f>
        <v>CLEANING</v>
      </c>
      <c r="J21">
        <v>8</v>
      </c>
      <c r="K21">
        <v>10</v>
      </c>
      <c r="L21" s="15">
        <f>IF(SalesData[[#This Row],[Unit Price]]="",
    AVERAGEIFS(SalesData[Unit Price],
               SalesData[Product Name],SalesData[[#This Row],[Product Name]]),
    SalesData[[#This Row],[Unit Price]])</f>
        <v>10</v>
      </c>
      <c r="M21" s="15">
        <v>2.67</v>
      </c>
      <c r="N21" s="15">
        <f>SalesData[[#This Row],[Quantity Sold]] * SalesData[[#This Row],[Cleaned Unit Price]]</f>
        <v>80</v>
      </c>
      <c r="O21" s="15">
        <f>SalesData[[#This Row],[Quantity Sold]] * SalesData[[#This Row],[Unit Cost]]</f>
        <v>21.36</v>
      </c>
      <c r="P21" s="15">
        <f>SalesData[[#This Row],[Revenue]] - SalesData[[#This Row],[Cost]]</f>
        <v>58.64</v>
      </c>
      <c r="Q21" s="13">
        <f>IF(SalesData[[#This Row],[Revenue]]=0,0,SalesData[[#This Row],[Profit]]/SalesData[[#This Row],[Revenue]])</f>
        <v>0.73299999999999998</v>
      </c>
      <c r="R21" t="s">
        <v>1116</v>
      </c>
      <c r="S21" t="s">
        <v>1315</v>
      </c>
      <c r="T21" t="str">
        <f>PROPER(SalesData[[#This Row],[Customer Name]])</f>
        <v>Evelyn Martinez</v>
      </c>
      <c r="U21" t="s">
        <v>1414</v>
      </c>
      <c r="V21" t="s">
        <v>1421</v>
      </c>
    </row>
    <row r="22" spans="1:22" x14ac:dyDescent="0.25">
      <c r="A22" t="s">
        <v>1448</v>
      </c>
      <c r="B22" s="5">
        <v>45296</v>
      </c>
      <c r="C22" s="2" t="str">
        <f>TEXT(SalesData[[#This Row],[Order Date]],"mmm")</f>
        <v>Jan</v>
      </c>
      <c r="D22" s="7">
        <f>MONTH(SalesData[[#This Row],[Order Date]])</f>
        <v>1</v>
      </c>
      <c r="E22" s="7">
        <f>YEAR(SalesData[[#This Row],[Order Date]])</f>
        <v>2024</v>
      </c>
      <c r="F22" t="s">
        <v>922</v>
      </c>
      <c r="G22" t="str">
        <f>PROPER(SalesData[[#This Row],[Product Name]])</f>
        <v>Compostable Plant Pots</v>
      </c>
      <c r="H22" t="s">
        <v>1011</v>
      </c>
      <c r="I22" t="str">
        <f>UPPER(SalesData[[#This Row],[Product Category]])</f>
        <v>GARDENING</v>
      </c>
      <c r="J22">
        <v>3</v>
      </c>
      <c r="K22">
        <v>12</v>
      </c>
      <c r="L22" s="15">
        <f>IF(SalesData[[#This Row],[Unit Price]]="",
    AVERAGEIFS(SalesData[Unit Price],
               SalesData[Product Name],SalesData[[#This Row],[Product Name]]),
    SalesData[[#This Row],[Unit Price]])</f>
        <v>12</v>
      </c>
      <c r="M22" s="15">
        <v>3.23</v>
      </c>
      <c r="N22" s="15">
        <f>SalesData[[#This Row],[Quantity Sold]] * SalesData[[#This Row],[Cleaned Unit Price]]</f>
        <v>36</v>
      </c>
      <c r="O22" s="15">
        <f>SalesData[[#This Row],[Quantity Sold]] * SalesData[[#This Row],[Unit Cost]]</f>
        <v>9.69</v>
      </c>
      <c r="P22" s="15">
        <f>SalesData[[#This Row],[Revenue]] - SalesData[[#This Row],[Cost]]</f>
        <v>26.310000000000002</v>
      </c>
      <c r="Q22" s="13">
        <f>IF(SalesData[[#This Row],[Revenue]]=0,0,SalesData[[#This Row],[Profit]]/SalesData[[#This Row],[Revenue]])</f>
        <v>0.73083333333333345</v>
      </c>
      <c r="R22" t="s">
        <v>1025</v>
      </c>
      <c r="S22" t="s">
        <v>1224</v>
      </c>
      <c r="T22" t="str">
        <f>PROPER(SalesData[[#This Row],[Customer Name]])</f>
        <v>Aiden Davis</v>
      </c>
      <c r="U22" t="s">
        <v>1414</v>
      </c>
      <c r="V22" t="s">
        <v>1425</v>
      </c>
    </row>
    <row r="23" spans="1:22" x14ac:dyDescent="0.25">
      <c r="A23" t="s">
        <v>1449</v>
      </c>
      <c r="B23" s="5">
        <v>45297</v>
      </c>
      <c r="C23" s="2" t="str">
        <f>TEXT(SalesData[[#This Row],[Order Date]],"mmm")</f>
        <v>Jan</v>
      </c>
      <c r="D23" s="7">
        <f>MONTH(SalesData[[#This Row],[Order Date]])</f>
        <v>1</v>
      </c>
      <c r="E23" s="7">
        <f>YEAR(SalesData[[#This Row],[Order Date]])</f>
        <v>2024</v>
      </c>
      <c r="F23" t="s">
        <v>72</v>
      </c>
      <c r="G23" t="str">
        <f>PROPER(SalesData[[#This Row],[Product Name]])</f>
        <v>Solar Led Lantern</v>
      </c>
      <c r="H23" t="s">
        <v>1012</v>
      </c>
      <c r="I23" t="str">
        <f>UPPER(SalesData[[#This Row],[Product Category]])</f>
        <v>LIGHTING</v>
      </c>
      <c r="J23">
        <v>3</v>
      </c>
      <c r="K23">
        <v>40</v>
      </c>
      <c r="L23" s="15">
        <f>IF(SalesData[[#This Row],[Unit Price]]="",
    AVERAGEIFS(SalesData[Unit Price],
               SalesData[Product Name],SalesData[[#This Row],[Product Name]]),
    SalesData[[#This Row],[Unit Price]])</f>
        <v>40</v>
      </c>
      <c r="M23" s="15">
        <v>11.81</v>
      </c>
      <c r="N23" s="15">
        <f>SalesData[[#This Row],[Quantity Sold]] * SalesData[[#This Row],[Cleaned Unit Price]]</f>
        <v>120</v>
      </c>
      <c r="O23" s="15">
        <f>SalesData[[#This Row],[Quantity Sold]] * SalesData[[#This Row],[Unit Cost]]</f>
        <v>35.43</v>
      </c>
      <c r="P23" s="15">
        <f>SalesData[[#This Row],[Revenue]] - SalesData[[#This Row],[Cost]]</f>
        <v>84.57</v>
      </c>
      <c r="Q23" s="13">
        <f>IF(SalesData[[#This Row],[Revenue]]=0,0,SalesData[[#This Row],[Profit]]/SalesData[[#This Row],[Revenue]])</f>
        <v>0.70474999999999999</v>
      </c>
      <c r="R23" t="s">
        <v>1066</v>
      </c>
      <c r="S23" t="s">
        <v>1265</v>
      </c>
      <c r="T23" t="str">
        <f>PROPER(SalesData[[#This Row],[Customer Name]])</f>
        <v>Liam Rodriguez</v>
      </c>
      <c r="U23" t="s">
        <v>1415</v>
      </c>
      <c r="V23" t="s">
        <v>1422</v>
      </c>
    </row>
    <row r="24" spans="1:22" x14ac:dyDescent="0.25">
      <c r="A24" t="s">
        <v>1450</v>
      </c>
      <c r="B24" s="5">
        <v>45297</v>
      </c>
      <c r="C24" s="2" t="str">
        <f>TEXT(SalesData[[#This Row],[Order Date]],"mmm")</f>
        <v>Jan</v>
      </c>
      <c r="D24" s="7">
        <f>MONTH(SalesData[[#This Row],[Order Date]])</f>
        <v>1</v>
      </c>
      <c r="E24" s="7">
        <f>YEAR(SalesData[[#This Row],[Order Date]])</f>
        <v>2024</v>
      </c>
      <c r="F24" t="s">
        <v>201</v>
      </c>
      <c r="G24" t="str">
        <f>PROPER(SalesData[[#This Row],[Product Name]])</f>
        <v>Solar Led Lantern</v>
      </c>
      <c r="H24" t="s">
        <v>1012</v>
      </c>
      <c r="I24" t="str">
        <f>UPPER(SalesData[[#This Row],[Product Category]])</f>
        <v>LIGHTING</v>
      </c>
      <c r="J24">
        <v>6</v>
      </c>
      <c r="K24">
        <v>40</v>
      </c>
      <c r="L24" s="15">
        <f>IF(SalesData[[#This Row],[Unit Price]]="",
    AVERAGEIFS(SalesData[Unit Price],
               SalesData[Product Name],SalesData[[#This Row],[Product Name]]),
    SalesData[[#This Row],[Unit Price]])</f>
        <v>40</v>
      </c>
      <c r="M24" s="15">
        <v>12.11</v>
      </c>
      <c r="N24" s="15">
        <f>SalesData[[#This Row],[Quantity Sold]] * SalesData[[#This Row],[Cleaned Unit Price]]</f>
        <v>240</v>
      </c>
      <c r="O24" s="15">
        <f>SalesData[[#This Row],[Quantity Sold]] * SalesData[[#This Row],[Unit Cost]]</f>
        <v>72.66</v>
      </c>
      <c r="P24" s="15">
        <f>SalesData[[#This Row],[Revenue]] - SalesData[[#This Row],[Cost]]</f>
        <v>167.34</v>
      </c>
      <c r="Q24" s="13">
        <f>IF(SalesData[[#This Row],[Revenue]]=0,0,SalesData[[#This Row],[Profit]]/SalesData[[#This Row],[Revenue]])</f>
        <v>0.69725000000000004</v>
      </c>
      <c r="R24" t="s">
        <v>1050</v>
      </c>
      <c r="S24" t="s">
        <v>1249</v>
      </c>
      <c r="T24" t="str">
        <f>PROPER(SalesData[[#This Row],[Customer Name]])</f>
        <v>Charlotte Garcia</v>
      </c>
      <c r="U24" t="s">
        <v>1414</v>
      </c>
      <c r="V24" t="s">
        <v>1422</v>
      </c>
    </row>
    <row r="25" spans="1:22" x14ac:dyDescent="0.25">
      <c r="A25" t="s">
        <v>1451</v>
      </c>
      <c r="B25" s="5">
        <v>45297</v>
      </c>
      <c r="C25" s="2" t="str">
        <f>TEXT(SalesData[[#This Row],[Order Date]],"mmm")</f>
        <v>Jan</v>
      </c>
      <c r="D25" s="7">
        <f>MONTH(SalesData[[#This Row],[Order Date]])</f>
        <v>1</v>
      </c>
      <c r="E25" s="7">
        <f>YEAR(SalesData[[#This Row],[Order Date]])</f>
        <v>2024</v>
      </c>
      <c r="F25" t="s">
        <v>808</v>
      </c>
      <c r="G25" t="str">
        <f>PROPER(SalesData[[#This Row],[Product Name]])</f>
        <v>Eco Canvas Tote Bag</v>
      </c>
      <c r="H25" t="s">
        <v>1013</v>
      </c>
      <c r="I25" t="str">
        <f>UPPER(SalesData[[#This Row],[Product Category]])</f>
        <v>BAGS</v>
      </c>
      <c r="J25">
        <v>7</v>
      </c>
      <c r="K25">
        <v>25</v>
      </c>
      <c r="L25" s="15">
        <f>IF(SalesData[[#This Row],[Unit Price]]="",
    AVERAGEIFS(SalesData[Unit Price],
               SalesData[Product Name],SalesData[[#This Row],[Product Name]]),
    SalesData[[#This Row],[Unit Price]])</f>
        <v>25</v>
      </c>
      <c r="M25" s="15">
        <v>8.4499999999999993</v>
      </c>
      <c r="N25" s="15">
        <f>SalesData[[#This Row],[Quantity Sold]] * SalesData[[#This Row],[Cleaned Unit Price]]</f>
        <v>175</v>
      </c>
      <c r="O25" s="15">
        <f>SalesData[[#This Row],[Quantity Sold]] * SalesData[[#This Row],[Unit Cost]]</f>
        <v>59.149999999999991</v>
      </c>
      <c r="P25" s="15">
        <f>SalesData[[#This Row],[Revenue]] - SalesData[[#This Row],[Cost]]</f>
        <v>115.85000000000001</v>
      </c>
      <c r="Q25" s="13">
        <f>IF(SalesData[[#This Row],[Revenue]]=0,0,SalesData[[#This Row],[Profit]]/SalesData[[#This Row],[Revenue]])</f>
        <v>0.66200000000000003</v>
      </c>
      <c r="R25" t="s">
        <v>1107</v>
      </c>
      <c r="S25" t="s">
        <v>1306</v>
      </c>
      <c r="T25" t="str">
        <f>PROPER(SalesData[[#This Row],[Customer Name]])</f>
        <v>Liam Rodriguez</v>
      </c>
      <c r="U25" t="s">
        <v>1414</v>
      </c>
      <c r="V25" t="s">
        <v>1424</v>
      </c>
    </row>
    <row r="26" spans="1:22" x14ac:dyDescent="0.25">
      <c r="A26" t="s">
        <v>1452</v>
      </c>
      <c r="B26" s="5">
        <v>45297</v>
      </c>
      <c r="C26" s="2" t="str">
        <f>TEXT(SalesData[[#This Row],[Order Date]],"mmm")</f>
        <v>Jan</v>
      </c>
      <c r="D26" s="7">
        <f>MONTH(SalesData[[#This Row],[Order Date]])</f>
        <v>1</v>
      </c>
      <c r="E26" s="7">
        <f>YEAR(SalesData[[#This Row],[Order Date]])</f>
        <v>2024</v>
      </c>
      <c r="F26" t="s">
        <v>819</v>
      </c>
      <c r="G26" t="str">
        <f>PROPER(SalesData[[#This Row],[Product Name]])</f>
        <v>Biodegradable Cleaning Cloth</v>
      </c>
      <c r="H26" t="s">
        <v>1015</v>
      </c>
      <c r="I26" t="str">
        <f>UPPER(SalesData[[#This Row],[Product Category]])</f>
        <v>CLEANING</v>
      </c>
      <c r="J26">
        <v>8</v>
      </c>
      <c r="L26" s="15">
        <f>IF(SalesData[[#This Row],[Unit Price]]="",
    AVERAGEIFS(SalesData[Unit Price],
               SalesData[Product Name],SalesData[[#This Row],[Product Name]]),
    SalesData[[#This Row],[Unit Price]])</f>
        <v>10</v>
      </c>
      <c r="M26" s="15">
        <v>3.8</v>
      </c>
      <c r="N26" s="15">
        <f>SalesData[[#This Row],[Quantity Sold]] * SalesData[[#This Row],[Cleaned Unit Price]]</f>
        <v>80</v>
      </c>
      <c r="O26" s="15">
        <f>SalesData[[#This Row],[Quantity Sold]] * SalesData[[#This Row],[Unit Cost]]</f>
        <v>30.4</v>
      </c>
      <c r="P26" s="15">
        <f>SalesData[[#This Row],[Revenue]] - SalesData[[#This Row],[Cost]]</f>
        <v>49.6</v>
      </c>
      <c r="Q26" s="13">
        <f>IF(SalesData[[#This Row],[Revenue]]=0,0,SalesData[[#This Row],[Profit]]/SalesData[[#This Row],[Revenue]])</f>
        <v>0.62</v>
      </c>
      <c r="R26" t="s">
        <v>1185</v>
      </c>
      <c r="S26" t="s">
        <v>1384</v>
      </c>
      <c r="T26" t="str">
        <f>PROPER(SalesData[[#This Row],[Customer Name]])</f>
        <v>Lucas Garcia</v>
      </c>
      <c r="U26" t="s">
        <v>1417</v>
      </c>
      <c r="V26" t="s">
        <v>1421</v>
      </c>
    </row>
    <row r="27" spans="1:22" x14ac:dyDescent="0.25">
      <c r="A27" t="s">
        <v>1453</v>
      </c>
      <c r="B27" s="5">
        <v>45297</v>
      </c>
      <c r="C27" s="2" t="str">
        <f>TEXT(SalesData[[#This Row],[Order Date]],"mmm")</f>
        <v>Jan</v>
      </c>
      <c r="D27" s="7">
        <f>MONTH(SalesData[[#This Row],[Order Date]])</f>
        <v>1</v>
      </c>
      <c r="E27" s="7">
        <f>YEAR(SalesData[[#This Row],[Order Date]])</f>
        <v>2024</v>
      </c>
      <c r="F27" t="s">
        <v>828</v>
      </c>
      <c r="G27" t="str">
        <f>PROPER(SalesData[[#This Row],[Product Name]])</f>
        <v>Reusable Bamboo Utensil Set</v>
      </c>
      <c r="H27" t="s">
        <v>1014</v>
      </c>
      <c r="I27" t="str">
        <f>UPPER(SalesData[[#This Row],[Product Category]])</f>
        <v>KITCHENWARE</v>
      </c>
      <c r="J27">
        <v>7</v>
      </c>
      <c r="K27">
        <v>15</v>
      </c>
      <c r="L27" s="15">
        <f>IF(SalesData[[#This Row],[Unit Price]]="",
    AVERAGEIFS(SalesData[Unit Price],
               SalesData[Product Name],SalesData[[#This Row],[Product Name]]),
    SalesData[[#This Row],[Unit Price]])</f>
        <v>15</v>
      </c>
      <c r="M27" s="15">
        <v>3.13</v>
      </c>
      <c r="N27" s="15">
        <f>SalesData[[#This Row],[Quantity Sold]] * SalesData[[#This Row],[Cleaned Unit Price]]</f>
        <v>105</v>
      </c>
      <c r="O27" s="15">
        <f>SalesData[[#This Row],[Quantity Sold]] * SalesData[[#This Row],[Unit Cost]]</f>
        <v>21.91</v>
      </c>
      <c r="P27" s="15">
        <f>SalesData[[#This Row],[Revenue]] - SalesData[[#This Row],[Cost]]</f>
        <v>83.09</v>
      </c>
      <c r="Q27" s="13">
        <f>IF(SalesData[[#This Row],[Revenue]]=0,0,SalesData[[#This Row],[Profit]]/SalesData[[#This Row],[Revenue]])</f>
        <v>0.79133333333333333</v>
      </c>
      <c r="R27" t="s">
        <v>1047</v>
      </c>
      <c r="S27" t="s">
        <v>1246</v>
      </c>
      <c r="T27" t="str">
        <f>PROPER(SalesData[[#This Row],[Customer Name]])</f>
        <v>Mia Johnson</v>
      </c>
      <c r="U27" t="s">
        <v>1416</v>
      </c>
      <c r="V27" t="s">
        <v>1420</v>
      </c>
    </row>
    <row r="28" spans="1:22" x14ac:dyDescent="0.25">
      <c r="A28" t="s">
        <v>1454</v>
      </c>
      <c r="B28" s="5">
        <v>45297</v>
      </c>
      <c r="C28" s="2" t="str">
        <f>TEXT(SalesData[[#This Row],[Order Date]],"mmm")</f>
        <v>Jan</v>
      </c>
      <c r="D28" s="7">
        <f>MONTH(SalesData[[#This Row],[Order Date]])</f>
        <v>1</v>
      </c>
      <c r="E28" s="7">
        <f>YEAR(SalesData[[#This Row],[Order Date]])</f>
        <v>2024</v>
      </c>
      <c r="F28" t="s">
        <v>996</v>
      </c>
      <c r="G28" t="str">
        <f>PROPER(SalesData[[#This Row],[Product Name]])</f>
        <v>Biodegradable Cleaning Cloth</v>
      </c>
      <c r="H28" t="s">
        <v>1015</v>
      </c>
      <c r="I28" t="str">
        <f>UPPER(SalesData[[#This Row],[Product Category]])</f>
        <v>CLEANING</v>
      </c>
      <c r="J28">
        <v>6</v>
      </c>
      <c r="K28">
        <v>10</v>
      </c>
      <c r="L28" s="15">
        <f>IF(SalesData[[#This Row],[Unit Price]]="",
    AVERAGEIFS(SalesData[Unit Price],
               SalesData[Product Name],SalesData[[#This Row],[Product Name]]),
    SalesData[[#This Row],[Unit Price]])</f>
        <v>10</v>
      </c>
      <c r="M28" s="15">
        <v>3.18</v>
      </c>
      <c r="N28" s="15">
        <f>SalesData[[#This Row],[Quantity Sold]] * SalesData[[#This Row],[Cleaned Unit Price]]</f>
        <v>60</v>
      </c>
      <c r="O28" s="15">
        <f>SalesData[[#This Row],[Quantity Sold]] * SalesData[[#This Row],[Unit Cost]]</f>
        <v>19.080000000000002</v>
      </c>
      <c r="P28" s="15">
        <f>SalesData[[#This Row],[Revenue]] - SalesData[[#This Row],[Cost]]</f>
        <v>40.92</v>
      </c>
      <c r="Q28" s="13">
        <f>IF(SalesData[[#This Row],[Revenue]]=0,0,SalesData[[#This Row],[Profit]]/SalesData[[#This Row],[Revenue]])</f>
        <v>0.68200000000000005</v>
      </c>
      <c r="R28" t="s">
        <v>1154</v>
      </c>
      <c r="S28" t="s">
        <v>1353</v>
      </c>
      <c r="T28" t="str">
        <f>PROPER(SalesData[[#This Row],[Customer Name]])</f>
        <v>Olivia Miller</v>
      </c>
      <c r="U28" t="s">
        <v>1414</v>
      </c>
      <c r="V28" t="s">
        <v>1418</v>
      </c>
    </row>
    <row r="29" spans="1:22" x14ac:dyDescent="0.25">
      <c r="A29" t="s">
        <v>1455</v>
      </c>
      <c r="B29" s="5">
        <v>45298</v>
      </c>
      <c r="C29" s="2" t="str">
        <f>TEXT(SalesData[[#This Row],[Order Date]],"mmm")</f>
        <v>Jan</v>
      </c>
      <c r="D29" s="7">
        <f>MONTH(SalesData[[#This Row],[Order Date]])</f>
        <v>1</v>
      </c>
      <c r="E29" s="7">
        <f>YEAR(SalesData[[#This Row],[Order Date]])</f>
        <v>2024</v>
      </c>
      <c r="F29" t="s">
        <v>33</v>
      </c>
      <c r="G29" t="str">
        <f>PROPER(SalesData[[#This Row],[Product Name]])</f>
        <v>Compostable Plant Pots</v>
      </c>
      <c r="H29" t="s">
        <v>1011</v>
      </c>
      <c r="I29" t="str">
        <f>UPPER(SalesData[[#This Row],[Product Category]])</f>
        <v>GARDENING</v>
      </c>
      <c r="J29">
        <v>9</v>
      </c>
      <c r="K29">
        <v>12</v>
      </c>
      <c r="L29" s="15">
        <f>IF(SalesData[[#This Row],[Unit Price]]="",
    AVERAGEIFS(SalesData[Unit Price],
               SalesData[Product Name],SalesData[[#This Row],[Product Name]]),
    SalesData[[#This Row],[Unit Price]])</f>
        <v>12</v>
      </c>
      <c r="M29" s="15">
        <v>3.94</v>
      </c>
      <c r="N29" s="15">
        <f>SalesData[[#This Row],[Quantity Sold]] * SalesData[[#This Row],[Cleaned Unit Price]]</f>
        <v>108</v>
      </c>
      <c r="O29" s="15">
        <f>SalesData[[#This Row],[Quantity Sold]] * SalesData[[#This Row],[Unit Cost]]</f>
        <v>35.46</v>
      </c>
      <c r="P29" s="15">
        <f>SalesData[[#This Row],[Revenue]] - SalesData[[#This Row],[Cost]]</f>
        <v>72.539999999999992</v>
      </c>
      <c r="Q29" s="13">
        <f>IF(SalesData[[#This Row],[Revenue]]=0,0,SalesData[[#This Row],[Profit]]/SalesData[[#This Row],[Revenue]])</f>
        <v>0.67166666666666663</v>
      </c>
      <c r="R29" t="s">
        <v>1031</v>
      </c>
      <c r="S29" t="s">
        <v>1230</v>
      </c>
      <c r="T29" t="str">
        <f>PROPER(SalesData[[#This Row],[Customer Name]])</f>
        <v>Mason Rodriguez</v>
      </c>
      <c r="U29" t="s">
        <v>1414</v>
      </c>
      <c r="V29" t="s">
        <v>1423</v>
      </c>
    </row>
    <row r="30" spans="1:22" x14ac:dyDescent="0.25">
      <c r="A30" t="s">
        <v>1456</v>
      </c>
      <c r="B30" s="5">
        <v>45298</v>
      </c>
      <c r="C30" s="2" t="str">
        <f>TEXT(SalesData[[#This Row],[Order Date]],"mmm")</f>
        <v>Jan</v>
      </c>
      <c r="D30" s="7">
        <f>MONTH(SalesData[[#This Row],[Order Date]])</f>
        <v>1</v>
      </c>
      <c r="E30" s="7">
        <f>YEAR(SalesData[[#This Row],[Order Date]])</f>
        <v>2024</v>
      </c>
      <c r="F30" t="s">
        <v>82</v>
      </c>
      <c r="G30" t="str">
        <f>PROPER(SalesData[[#This Row],[Product Name]])</f>
        <v>Solar Led Lantern</v>
      </c>
      <c r="H30" t="s">
        <v>1012</v>
      </c>
      <c r="I30" t="str">
        <f>UPPER(SalesData[[#This Row],[Product Category]])</f>
        <v>LIGHTING</v>
      </c>
      <c r="J30">
        <v>3</v>
      </c>
      <c r="K30">
        <v>40</v>
      </c>
      <c r="L30" s="15">
        <f>IF(SalesData[[#This Row],[Unit Price]]="",
    AVERAGEIFS(SalesData[Unit Price],
               SalesData[Product Name],SalesData[[#This Row],[Product Name]]),
    SalesData[[#This Row],[Unit Price]])</f>
        <v>40</v>
      </c>
      <c r="M30" s="15">
        <v>10.79</v>
      </c>
      <c r="N30" s="15">
        <f>SalesData[[#This Row],[Quantity Sold]] * SalesData[[#This Row],[Cleaned Unit Price]]</f>
        <v>120</v>
      </c>
      <c r="O30" s="15">
        <f>SalesData[[#This Row],[Quantity Sold]] * SalesData[[#This Row],[Unit Cost]]</f>
        <v>32.369999999999997</v>
      </c>
      <c r="P30" s="15">
        <f>SalesData[[#This Row],[Revenue]] - SalesData[[#This Row],[Cost]]</f>
        <v>87.63</v>
      </c>
      <c r="Q30" s="13">
        <f>IF(SalesData[[#This Row],[Revenue]]=0,0,SalesData[[#This Row],[Profit]]/SalesData[[#This Row],[Revenue]])</f>
        <v>0.73024999999999995</v>
      </c>
      <c r="R30" t="s">
        <v>1056</v>
      </c>
      <c r="S30" t="s">
        <v>1255</v>
      </c>
      <c r="T30" t="str">
        <f>PROPER(SalesData[[#This Row],[Customer Name]])</f>
        <v>Noah Martinez</v>
      </c>
      <c r="U30" t="s">
        <v>1414</v>
      </c>
      <c r="V30" t="s">
        <v>1420</v>
      </c>
    </row>
    <row r="31" spans="1:22" x14ac:dyDescent="0.25">
      <c r="A31" t="s">
        <v>1457</v>
      </c>
      <c r="B31" s="5">
        <v>45298</v>
      </c>
      <c r="C31" s="2" t="str">
        <f>TEXT(SalesData[[#This Row],[Order Date]],"mmm")</f>
        <v>Jan</v>
      </c>
      <c r="D31" s="7">
        <f>MONTH(SalesData[[#This Row],[Order Date]])</f>
        <v>1</v>
      </c>
      <c r="E31" s="7">
        <f>YEAR(SalesData[[#This Row],[Order Date]])</f>
        <v>2024</v>
      </c>
      <c r="F31" t="s">
        <v>499</v>
      </c>
      <c r="G31" t="str">
        <f>PROPER(SalesData[[#This Row],[Product Name]])</f>
        <v>Eco Canvas Tote Bag</v>
      </c>
      <c r="H31" t="s">
        <v>1013</v>
      </c>
      <c r="I31" t="str">
        <f>UPPER(SalesData[[#This Row],[Product Category]])</f>
        <v>BAGS</v>
      </c>
      <c r="J31">
        <v>4</v>
      </c>
      <c r="K31">
        <v>25</v>
      </c>
      <c r="L31" s="15">
        <f>IF(SalesData[[#This Row],[Unit Price]]="",
    AVERAGEIFS(SalesData[Unit Price],
               SalesData[Product Name],SalesData[[#This Row],[Product Name]]),
    SalesData[[#This Row],[Unit Price]])</f>
        <v>25</v>
      </c>
      <c r="M31" s="15">
        <v>8.43</v>
      </c>
      <c r="N31" s="15">
        <f>SalesData[[#This Row],[Quantity Sold]] * SalesData[[#This Row],[Cleaned Unit Price]]</f>
        <v>100</v>
      </c>
      <c r="O31" s="15">
        <f>SalesData[[#This Row],[Quantity Sold]] * SalesData[[#This Row],[Unit Cost]]</f>
        <v>33.72</v>
      </c>
      <c r="P31" s="15">
        <f>SalesData[[#This Row],[Revenue]] - SalesData[[#This Row],[Cost]]</f>
        <v>66.28</v>
      </c>
      <c r="Q31" s="13">
        <f>IF(SalesData[[#This Row],[Revenue]]=0,0,SalesData[[#This Row],[Profit]]/SalesData[[#This Row],[Revenue]])</f>
        <v>0.66280000000000006</v>
      </c>
      <c r="R31" t="s">
        <v>1021</v>
      </c>
      <c r="S31" t="s">
        <v>1220</v>
      </c>
      <c r="T31" t="str">
        <f>PROPER(SalesData[[#This Row],[Customer Name]])</f>
        <v>Liam Garcia</v>
      </c>
      <c r="U31" t="s">
        <v>1416</v>
      </c>
      <c r="V31" t="s">
        <v>1421</v>
      </c>
    </row>
    <row r="32" spans="1:22" x14ac:dyDescent="0.25">
      <c r="A32" t="s">
        <v>1458</v>
      </c>
      <c r="B32" s="5">
        <v>45299</v>
      </c>
      <c r="C32" s="2" t="str">
        <f>TEXT(SalesData[[#This Row],[Order Date]],"mmm")</f>
        <v>Jan</v>
      </c>
      <c r="D32" s="7">
        <f>MONTH(SalesData[[#This Row],[Order Date]])</f>
        <v>1</v>
      </c>
      <c r="E32" s="7">
        <f>YEAR(SalesData[[#This Row],[Order Date]])</f>
        <v>2024</v>
      </c>
      <c r="F32" t="s">
        <v>305</v>
      </c>
      <c r="G32" t="str">
        <f>PROPER(SalesData[[#This Row],[Product Name]])</f>
        <v>Reusable Bamboo Utensil Set</v>
      </c>
      <c r="H32" t="s">
        <v>1014</v>
      </c>
      <c r="I32" t="str">
        <f>UPPER(SalesData[[#This Row],[Product Category]])</f>
        <v>KITCHENWARE</v>
      </c>
      <c r="J32">
        <v>5</v>
      </c>
      <c r="K32">
        <v>15</v>
      </c>
      <c r="L32" s="15">
        <f>IF(SalesData[[#This Row],[Unit Price]]="",
    AVERAGEIFS(SalesData[Unit Price],
               SalesData[Product Name],SalesData[[#This Row],[Product Name]]),
    SalesData[[#This Row],[Unit Price]])</f>
        <v>15</v>
      </c>
      <c r="M32" s="15">
        <v>3.55</v>
      </c>
      <c r="N32" s="15">
        <f>SalesData[[#This Row],[Quantity Sold]] * SalesData[[#This Row],[Cleaned Unit Price]]</f>
        <v>75</v>
      </c>
      <c r="O32" s="15">
        <f>SalesData[[#This Row],[Quantity Sold]] * SalesData[[#This Row],[Unit Cost]]</f>
        <v>17.75</v>
      </c>
      <c r="P32" s="15">
        <f>SalesData[[#This Row],[Revenue]] - SalesData[[#This Row],[Cost]]</f>
        <v>57.25</v>
      </c>
      <c r="Q32" s="13">
        <f>IF(SalesData[[#This Row],[Revenue]]=0,0,SalesData[[#This Row],[Profit]]/SalesData[[#This Row],[Revenue]])</f>
        <v>0.76333333333333331</v>
      </c>
      <c r="R32" t="s">
        <v>1170</v>
      </c>
      <c r="S32" t="s">
        <v>1369</v>
      </c>
      <c r="T32" t="str">
        <f>PROPER(SalesData[[#This Row],[Customer Name]])</f>
        <v>Aiden Brown</v>
      </c>
      <c r="U32" t="s">
        <v>1414</v>
      </c>
      <c r="V32" t="s">
        <v>1419</v>
      </c>
    </row>
    <row r="33" spans="1:22" x14ac:dyDescent="0.25">
      <c r="A33" t="s">
        <v>1459</v>
      </c>
      <c r="B33" s="5">
        <v>45299</v>
      </c>
      <c r="C33" s="2" t="str">
        <f>TEXT(SalesData[[#This Row],[Order Date]],"mmm")</f>
        <v>Jan</v>
      </c>
      <c r="D33" s="7">
        <f>MONTH(SalesData[[#This Row],[Order Date]])</f>
        <v>1</v>
      </c>
      <c r="E33" s="7">
        <f>YEAR(SalesData[[#This Row],[Order Date]])</f>
        <v>2024</v>
      </c>
      <c r="F33" t="s">
        <v>479</v>
      </c>
      <c r="G33" t="str">
        <f>PROPER(SalesData[[#This Row],[Product Name]])</f>
        <v>Reusable Bamboo Utensil Set</v>
      </c>
      <c r="H33" t="s">
        <v>1014</v>
      </c>
      <c r="I33" t="str">
        <f>UPPER(SalesData[[#This Row],[Product Category]])</f>
        <v>KITCHENWARE</v>
      </c>
      <c r="J33">
        <v>6</v>
      </c>
      <c r="K33">
        <v>15</v>
      </c>
      <c r="L33" s="15">
        <f>IF(SalesData[[#This Row],[Unit Price]]="",
    AVERAGEIFS(SalesData[Unit Price],
               SalesData[Product Name],SalesData[[#This Row],[Product Name]]),
    SalesData[[#This Row],[Unit Price]])</f>
        <v>15</v>
      </c>
      <c r="M33" s="15">
        <v>4.04</v>
      </c>
      <c r="N33" s="15">
        <f>SalesData[[#This Row],[Quantity Sold]] * SalesData[[#This Row],[Cleaned Unit Price]]</f>
        <v>90</v>
      </c>
      <c r="O33" s="15">
        <f>SalesData[[#This Row],[Quantity Sold]] * SalesData[[#This Row],[Unit Cost]]</f>
        <v>24.240000000000002</v>
      </c>
      <c r="P33" s="15">
        <f>SalesData[[#This Row],[Revenue]] - SalesData[[#This Row],[Cost]]</f>
        <v>65.759999999999991</v>
      </c>
      <c r="Q33" s="13">
        <f>IF(SalesData[[#This Row],[Revenue]]=0,0,SalesData[[#This Row],[Profit]]/SalesData[[#This Row],[Revenue]])</f>
        <v>0.73066666666666658</v>
      </c>
      <c r="R33" t="s">
        <v>1177</v>
      </c>
      <c r="S33" t="s">
        <v>1376</v>
      </c>
      <c r="T33" t="str">
        <f>PROPER(SalesData[[#This Row],[Customer Name]])</f>
        <v>Emma Smith</v>
      </c>
      <c r="U33" t="s">
        <v>1414</v>
      </c>
      <c r="V33" t="s">
        <v>1418</v>
      </c>
    </row>
    <row r="34" spans="1:22" x14ac:dyDescent="0.25">
      <c r="A34" t="s">
        <v>1460</v>
      </c>
      <c r="B34" s="5">
        <v>45300</v>
      </c>
      <c r="C34" s="2" t="str">
        <f>TEXT(SalesData[[#This Row],[Order Date]],"mmm")</f>
        <v>Jan</v>
      </c>
      <c r="D34" s="7">
        <f>MONTH(SalesData[[#This Row],[Order Date]])</f>
        <v>1</v>
      </c>
      <c r="E34" s="7">
        <f>YEAR(SalesData[[#This Row],[Order Date]])</f>
        <v>2024</v>
      </c>
      <c r="F34" t="s">
        <v>780</v>
      </c>
      <c r="G34" t="str">
        <f>PROPER(SalesData[[#This Row],[Product Name]])</f>
        <v>Biodegradable Cleaning Cloth</v>
      </c>
      <c r="H34" t="s">
        <v>1015</v>
      </c>
      <c r="I34" t="str">
        <f>UPPER(SalesData[[#This Row],[Product Category]])</f>
        <v>CLEANING</v>
      </c>
      <c r="J34">
        <v>8</v>
      </c>
      <c r="K34">
        <v>10</v>
      </c>
      <c r="L34" s="15">
        <f>IF(SalesData[[#This Row],[Unit Price]]="",
    AVERAGEIFS(SalesData[Unit Price],
               SalesData[Product Name],SalesData[[#This Row],[Product Name]]),
    SalesData[[#This Row],[Unit Price]])</f>
        <v>10</v>
      </c>
      <c r="M34" s="15">
        <v>2.6</v>
      </c>
      <c r="N34" s="15">
        <f>SalesData[[#This Row],[Quantity Sold]] * SalesData[[#This Row],[Cleaned Unit Price]]</f>
        <v>80</v>
      </c>
      <c r="O34" s="15">
        <f>SalesData[[#This Row],[Quantity Sold]] * SalesData[[#This Row],[Unit Cost]]</f>
        <v>20.8</v>
      </c>
      <c r="P34" s="15">
        <f>SalesData[[#This Row],[Revenue]] - SalesData[[#This Row],[Cost]]</f>
        <v>59.2</v>
      </c>
      <c r="Q34" s="13">
        <f>IF(SalesData[[#This Row],[Revenue]]=0,0,SalesData[[#This Row],[Profit]]/SalesData[[#This Row],[Revenue]])</f>
        <v>0.74</v>
      </c>
      <c r="R34" t="s">
        <v>1112</v>
      </c>
      <c r="S34" t="s">
        <v>1311</v>
      </c>
      <c r="T34" t="str">
        <f>PROPER(SalesData[[#This Row],[Customer Name]])</f>
        <v>Mia Rodriguez</v>
      </c>
      <c r="U34" t="s">
        <v>1415</v>
      </c>
      <c r="V34" t="s">
        <v>1421</v>
      </c>
    </row>
    <row r="35" spans="1:22" x14ac:dyDescent="0.25">
      <c r="A35" t="s">
        <v>1461</v>
      </c>
      <c r="B35" s="5">
        <v>45300</v>
      </c>
      <c r="C35" s="2" t="str">
        <f>TEXT(SalesData[[#This Row],[Order Date]],"mmm")</f>
        <v>Jan</v>
      </c>
      <c r="D35" s="7">
        <f>MONTH(SalesData[[#This Row],[Order Date]])</f>
        <v>1</v>
      </c>
      <c r="E35" s="7">
        <f>YEAR(SalesData[[#This Row],[Order Date]])</f>
        <v>2024</v>
      </c>
      <c r="F35" t="s">
        <v>829</v>
      </c>
      <c r="G35" t="str">
        <f>PROPER(SalesData[[#This Row],[Product Name]])</f>
        <v>Compostable Plant Pots</v>
      </c>
      <c r="H35" t="s">
        <v>1011</v>
      </c>
      <c r="I35" t="str">
        <f>UPPER(SalesData[[#This Row],[Product Category]])</f>
        <v>GARDENING</v>
      </c>
      <c r="J35">
        <v>10</v>
      </c>
      <c r="K35">
        <v>12</v>
      </c>
      <c r="L35" s="15">
        <f>IF(SalesData[[#This Row],[Unit Price]]="",
    AVERAGEIFS(SalesData[Unit Price],
               SalesData[Product Name],SalesData[[#This Row],[Product Name]]),
    SalesData[[#This Row],[Unit Price]])</f>
        <v>12</v>
      </c>
      <c r="M35" s="15">
        <v>2.74</v>
      </c>
      <c r="N35" s="15">
        <f>SalesData[[#This Row],[Quantity Sold]] * SalesData[[#This Row],[Cleaned Unit Price]]</f>
        <v>120</v>
      </c>
      <c r="O35" s="15">
        <f>SalesData[[#This Row],[Quantity Sold]] * SalesData[[#This Row],[Unit Cost]]</f>
        <v>27.400000000000002</v>
      </c>
      <c r="P35" s="15">
        <f>SalesData[[#This Row],[Revenue]] - SalesData[[#This Row],[Cost]]</f>
        <v>92.6</v>
      </c>
      <c r="Q35" s="13">
        <f>IF(SalesData[[#This Row],[Revenue]]=0,0,SalesData[[#This Row],[Profit]]/SalesData[[#This Row],[Revenue]])</f>
        <v>0.77166666666666661</v>
      </c>
      <c r="R35" t="s">
        <v>1166</v>
      </c>
      <c r="S35" t="s">
        <v>1365</v>
      </c>
      <c r="T35" t="str">
        <f>PROPER(SalesData[[#This Row],[Customer Name]])</f>
        <v>Olivia Garcia</v>
      </c>
      <c r="U35" t="s">
        <v>1414</v>
      </c>
      <c r="V35" t="s">
        <v>1422</v>
      </c>
    </row>
    <row r="36" spans="1:22" x14ac:dyDescent="0.25">
      <c r="A36" t="s">
        <v>1462</v>
      </c>
      <c r="B36" s="5">
        <v>45301</v>
      </c>
      <c r="C36" s="2" t="str">
        <f>TEXT(SalesData[[#This Row],[Order Date]],"mmm")</f>
        <v>Jan</v>
      </c>
      <c r="D36" s="7">
        <f>MONTH(SalesData[[#This Row],[Order Date]])</f>
        <v>1</v>
      </c>
      <c r="E36" s="7">
        <f>YEAR(SalesData[[#This Row],[Order Date]])</f>
        <v>2024</v>
      </c>
      <c r="F36" t="s">
        <v>310</v>
      </c>
      <c r="G36" t="str">
        <f>PROPER(SalesData[[#This Row],[Product Name]])</f>
        <v>Eco Canvas Tote Bag</v>
      </c>
      <c r="H36" t="s">
        <v>1013</v>
      </c>
      <c r="I36" t="str">
        <f>UPPER(SalesData[[#This Row],[Product Category]])</f>
        <v>BAGS</v>
      </c>
      <c r="J36">
        <v>10</v>
      </c>
      <c r="K36">
        <v>25</v>
      </c>
      <c r="L36" s="15">
        <f>IF(SalesData[[#This Row],[Unit Price]]="",
    AVERAGEIFS(SalesData[Unit Price],
               SalesData[Product Name],SalesData[[#This Row],[Product Name]]),
    SalesData[[#This Row],[Unit Price]])</f>
        <v>25</v>
      </c>
      <c r="M36" s="15">
        <v>9.86</v>
      </c>
      <c r="N36" s="15">
        <f>SalesData[[#This Row],[Quantity Sold]] * SalesData[[#This Row],[Cleaned Unit Price]]</f>
        <v>250</v>
      </c>
      <c r="O36" s="15">
        <f>SalesData[[#This Row],[Quantity Sold]] * SalesData[[#This Row],[Unit Cost]]</f>
        <v>98.6</v>
      </c>
      <c r="P36" s="15">
        <f>SalesData[[#This Row],[Revenue]] - SalesData[[#This Row],[Cost]]</f>
        <v>151.4</v>
      </c>
      <c r="Q36" s="13">
        <f>IF(SalesData[[#This Row],[Revenue]]=0,0,SalesData[[#This Row],[Profit]]/SalesData[[#This Row],[Revenue]])</f>
        <v>0.60560000000000003</v>
      </c>
      <c r="R36" t="s">
        <v>1035</v>
      </c>
      <c r="S36" t="s">
        <v>1234</v>
      </c>
      <c r="T36" t="str">
        <f>PROPER(SalesData[[#This Row],[Customer Name]])</f>
        <v>Olivia Martinez</v>
      </c>
      <c r="U36" t="s">
        <v>1414</v>
      </c>
      <c r="V36" t="s">
        <v>1422</v>
      </c>
    </row>
    <row r="37" spans="1:22" x14ac:dyDescent="0.25">
      <c r="A37" t="s">
        <v>1463</v>
      </c>
      <c r="B37" s="5">
        <v>45301</v>
      </c>
      <c r="C37" s="2" t="str">
        <f>TEXT(SalesData[[#This Row],[Order Date]],"mmm")</f>
        <v>Jan</v>
      </c>
      <c r="D37" s="7">
        <f>MONTH(SalesData[[#This Row],[Order Date]])</f>
        <v>1</v>
      </c>
      <c r="E37" s="7">
        <f>YEAR(SalesData[[#This Row],[Order Date]])</f>
        <v>2024</v>
      </c>
      <c r="F37" t="s">
        <v>363</v>
      </c>
      <c r="G37" t="str">
        <f>PROPER(SalesData[[#This Row],[Product Name]])</f>
        <v>Compostable Plant Pots</v>
      </c>
      <c r="H37" t="s">
        <v>1011</v>
      </c>
      <c r="I37" t="str">
        <f>UPPER(SalesData[[#This Row],[Product Category]])</f>
        <v>GARDENING</v>
      </c>
      <c r="J37">
        <v>9</v>
      </c>
      <c r="K37">
        <v>12</v>
      </c>
      <c r="L37" s="15">
        <f>IF(SalesData[[#This Row],[Unit Price]]="",
    AVERAGEIFS(SalesData[Unit Price],
               SalesData[Product Name],SalesData[[#This Row],[Product Name]]),
    SalesData[[#This Row],[Unit Price]])</f>
        <v>12</v>
      </c>
      <c r="M37" s="15">
        <v>3.33</v>
      </c>
      <c r="N37" s="15">
        <f>SalesData[[#This Row],[Quantity Sold]] * SalesData[[#This Row],[Cleaned Unit Price]]</f>
        <v>108</v>
      </c>
      <c r="O37" s="15">
        <f>SalesData[[#This Row],[Quantity Sold]] * SalesData[[#This Row],[Unit Cost]]</f>
        <v>29.97</v>
      </c>
      <c r="P37" s="15">
        <f>SalesData[[#This Row],[Revenue]] - SalesData[[#This Row],[Cost]]</f>
        <v>78.03</v>
      </c>
      <c r="Q37" s="13">
        <f>IF(SalesData[[#This Row],[Revenue]]=0,0,SalesData[[#This Row],[Profit]]/SalesData[[#This Row],[Revenue]])</f>
        <v>0.72250000000000003</v>
      </c>
      <c r="R37" t="s">
        <v>1047</v>
      </c>
      <c r="S37" t="s">
        <v>1246</v>
      </c>
      <c r="T37" t="str">
        <f>PROPER(SalesData[[#This Row],[Customer Name]])</f>
        <v>Mia Johnson</v>
      </c>
      <c r="U37" t="s">
        <v>1414</v>
      </c>
      <c r="V37" t="s">
        <v>1425</v>
      </c>
    </row>
    <row r="38" spans="1:22" x14ac:dyDescent="0.25">
      <c r="A38" t="s">
        <v>1464</v>
      </c>
      <c r="B38" s="5">
        <v>45301</v>
      </c>
      <c r="C38" s="2" t="str">
        <f>TEXT(SalesData[[#This Row],[Order Date]],"mmm")</f>
        <v>Jan</v>
      </c>
      <c r="D38" s="7">
        <f>MONTH(SalesData[[#This Row],[Order Date]])</f>
        <v>1</v>
      </c>
      <c r="E38" s="7">
        <f>YEAR(SalesData[[#This Row],[Order Date]])</f>
        <v>2024</v>
      </c>
      <c r="F38" t="s">
        <v>465</v>
      </c>
      <c r="G38" t="str">
        <f>PROPER(SalesData[[#This Row],[Product Name]])</f>
        <v>Reusable Bamboo Utensil Set</v>
      </c>
      <c r="H38" t="s">
        <v>1014</v>
      </c>
      <c r="I38" t="str">
        <f>UPPER(SalesData[[#This Row],[Product Category]])</f>
        <v>KITCHENWARE</v>
      </c>
      <c r="J38">
        <v>6</v>
      </c>
      <c r="K38">
        <v>15</v>
      </c>
      <c r="L38" s="15">
        <f>IF(SalesData[[#This Row],[Unit Price]]="",
    AVERAGEIFS(SalesData[Unit Price],
               SalesData[Product Name],SalesData[[#This Row],[Product Name]]),
    SalesData[[#This Row],[Unit Price]])</f>
        <v>15</v>
      </c>
      <c r="M38" s="15">
        <v>3.13</v>
      </c>
      <c r="N38" s="15">
        <f>SalesData[[#This Row],[Quantity Sold]] * SalesData[[#This Row],[Cleaned Unit Price]]</f>
        <v>90</v>
      </c>
      <c r="O38" s="15">
        <f>SalesData[[#This Row],[Quantity Sold]] * SalesData[[#This Row],[Unit Cost]]</f>
        <v>18.78</v>
      </c>
      <c r="P38" s="15">
        <f>SalesData[[#This Row],[Revenue]] - SalesData[[#This Row],[Cost]]</f>
        <v>71.22</v>
      </c>
      <c r="Q38" s="13">
        <f>IF(SalesData[[#This Row],[Revenue]]=0,0,SalesData[[#This Row],[Profit]]/SalesData[[#This Row],[Revenue]])</f>
        <v>0.79133333333333333</v>
      </c>
      <c r="R38" t="s">
        <v>1071</v>
      </c>
      <c r="S38" t="s">
        <v>1270</v>
      </c>
      <c r="T38" t="str">
        <f>PROPER(SalesData[[#This Row],[Customer Name]])</f>
        <v>Olivia Johnson</v>
      </c>
      <c r="U38" t="s">
        <v>1414</v>
      </c>
      <c r="V38" t="s">
        <v>1427</v>
      </c>
    </row>
    <row r="39" spans="1:22" x14ac:dyDescent="0.25">
      <c r="A39" t="s">
        <v>1465</v>
      </c>
      <c r="B39" s="5">
        <v>45302</v>
      </c>
      <c r="C39" s="2" t="str">
        <f>TEXT(SalesData[[#This Row],[Order Date]],"mmm")</f>
        <v>Jan</v>
      </c>
      <c r="D39" s="7">
        <f>MONTH(SalesData[[#This Row],[Order Date]])</f>
        <v>1</v>
      </c>
      <c r="E39" s="7">
        <f>YEAR(SalesData[[#This Row],[Order Date]])</f>
        <v>2024</v>
      </c>
      <c r="F39" t="s">
        <v>973</v>
      </c>
      <c r="G39" t="str">
        <f>PROPER(SalesData[[#This Row],[Product Name]])</f>
        <v>Compostable Plant Pots</v>
      </c>
      <c r="H39" t="s">
        <v>1011</v>
      </c>
      <c r="I39" t="str">
        <f>UPPER(SalesData[[#This Row],[Product Category]])</f>
        <v>GARDENING</v>
      </c>
      <c r="J39">
        <v>4</v>
      </c>
      <c r="K39">
        <v>12</v>
      </c>
      <c r="L39" s="15">
        <f>IF(SalesData[[#This Row],[Unit Price]]="",
    AVERAGEIFS(SalesData[Unit Price],
               SalesData[Product Name],SalesData[[#This Row],[Product Name]]),
    SalesData[[#This Row],[Unit Price]])</f>
        <v>12</v>
      </c>
      <c r="M39" s="15">
        <v>4.74</v>
      </c>
      <c r="N39" s="15">
        <f>SalesData[[#This Row],[Quantity Sold]] * SalesData[[#This Row],[Cleaned Unit Price]]</f>
        <v>48</v>
      </c>
      <c r="O39" s="15">
        <f>SalesData[[#This Row],[Quantity Sold]] * SalesData[[#This Row],[Unit Cost]]</f>
        <v>18.96</v>
      </c>
      <c r="P39" s="15">
        <f>SalesData[[#This Row],[Revenue]] - SalesData[[#This Row],[Cost]]</f>
        <v>29.04</v>
      </c>
      <c r="Q39" s="13">
        <f>IF(SalesData[[#This Row],[Revenue]]=0,0,SalesData[[#This Row],[Profit]]/SalesData[[#This Row],[Revenue]])</f>
        <v>0.60499999999999998</v>
      </c>
      <c r="R39" t="s">
        <v>1090</v>
      </c>
      <c r="S39" t="s">
        <v>1289</v>
      </c>
      <c r="T39" t="str">
        <f>PROPER(SalesData[[#This Row],[Customer Name]])</f>
        <v>Ethan Jones</v>
      </c>
      <c r="U39" t="s">
        <v>1415</v>
      </c>
      <c r="V39" t="s">
        <v>1425</v>
      </c>
    </row>
    <row r="40" spans="1:22" x14ac:dyDescent="0.25">
      <c r="A40" t="s">
        <v>1466</v>
      </c>
      <c r="B40" s="5">
        <v>45303</v>
      </c>
      <c r="C40" s="2" t="str">
        <f>TEXT(SalesData[[#This Row],[Order Date]],"mmm")</f>
        <v>Jan</v>
      </c>
      <c r="D40" s="7">
        <f>MONTH(SalesData[[#This Row],[Order Date]])</f>
        <v>1</v>
      </c>
      <c r="E40" s="7">
        <f>YEAR(SalesData[[#This Row],[Order Date]])</f>
        <v>2024</v>
      </c>
      <c r="F40" t="s">
        <v>301</v>
      </c>
      <c r="G40" t="str">
        <f>PROPER(SalesData[[#This Row],[Product Name]])</f>
        <v>Compostable Plant Pots</v>
      </c>
      <c r="H40" t="s">
        <v>1011</v>
      </c>
      <c r="I40" t="str">
        <f>UPPER(SalesData[[#This Row],[Product Category]])</f>
        <v>GARDENING</v>
      </c>
      <c r="J40">
        <v>9</v>
      </c>
      <c r="K40">
        <v>12</v>
      </c>
      <c r="L40" s="15">
        <f>IF(SalesData[[#This Row],[Unit Price]]="",
    AVERAGEIFS(SalesData[Unit Price],
               SalesData[Product Name],SalesData[[#This Row],[Product Name]]),
    SalesData[[#This Row],[Unit Price]])</f>
        <v>12</v>
      </c>
      <c r="M40" s="15">
        <v>4.33</v>
      </c>
      <c r="N40" s="15">
        <f>SalesData[[#This Row],[Quantity Sold]] * SalesData[[#This Row],[Cleaned Unit Price]]</f>
        <v>108</v>
      </c>
      <c r="O40" s="15">
        <f>SalesData[[#This Row],[Quantity Sold]] * SalesData[[#This Row],[Unit Cost]]</f>
        <v>38.97</v>
      </c>
      <c r="P40" s="15">
        <f>SalesData[[#This Row],[Revenue]] - SalesData[[#This Row],[Cost]]</f>
        <v>69.03</v>
      </c>
      <c r="Q40" s="13">
        <f>IF(SalesData[[#This Row],[Revenue]]=0,0,SalesData[[#This Row],[Profit]]/SalesData[[#This Row],[Revenue]])</f>
        <v>0.63916666666666666</v>
      </c>
      <c r="R40" t="s">
        <v>1126</v>
      </c>
      <c r="S40" t="s">
        <v>1325</v>
      </c>
      <c r="T40" t="str">
        <f>PROPER(SalesData[[#This Row],[Customer Name]])</f>
        <v>Ethan Martinez</v>
      </c>
      <c r="U40" t="s">
        <v>1414</v>
      </c>
      <c r="V40" t="s">
        <v>1424</v>
      </c>
    </row>
    <row r="41" spans="1:22" x14ac:dyDescent="0.25">
      <c r="A41" t="s">
        <v>1467</v>
      </c>
      <c r="B41" s="5">
        <v>45303</v>
      </c>
      <c r="C41" s="2" t="str">
        <f>TEXT(SalesData[[#This Row],[Order Date]],"mmm")</f>
        <v>Jan</v>
      </c>
      <c r="D41" s="7">
        <f>MONTH(SalesData[[#This Row],[Order Date]])</f>
        <v>1</v>
      </c>
      <c r="E41" s="7">
        <f>YEAR(SalesData[[#This Row],[Order Date]])</f>
        <v>2024</v>
      </c>
      <c r="F41" t="s">
        <v>456</v>
      </c>
      <c r="G41" t="str">
        <f>PROPER(SalesData[[#This Row],[Product Name]])</f>
        <v>Eco Canvas Tote Bag</v>
      </c>
      <c r="H41" t="s">
        <v>1013</v>
      </c>
      <c r="I41" t="str">
        <f>UPPER(SalesData[[#This Row],[Product Category]])</f>
        <v>BAGS</v>
      </c>
      <c r="J41">
        <v>3</v>
      </c>
      <c r="K41">
        <v>25</v>
      </c>
      <c r="L41" s="15">
        <f>IF(SalesData[[#This Row],[Unit Price]]="",
    AVERAGEIFS(SalesData[Unit Price],
               SalesData[Product Name],SalesData[[#This Row],[Product Name]]),
    SalesData[[#This Row],[Unit Price]])</f>
        <v>25</v>
      </c>
      <c r="M41" s="15">
        <v>8.17</v>
      </c>
      <c r="N41" s="15">
        <f>SalesData[[#This Row],[Quantity Sold]] * SalesData[[#This Row],[Cleaned Unit Price]]</f>
        <v>75</v>
      </c>
      <c r="O41" s="15">
        <f>SalesData[[#This Row],[Quantity Sold]] * SalesData[[#This Row],[Unit Cost]]</f>
        <v>24.509999999999998</v>
      </c>
      <c r="P41" s="15">
        <f>SalesData[[#This Row],[Revenue]] - SalesData[[#This Row],[Cost]]</f>
        <v>50.49</v>
      </c>
      <c r="Q41" s="13">
        <f>IF(SalesData[[#This Row],[Revenue]]=0,0,SalesData[[#This Row],[Profit]]/SalesData[[#This Row],[Revenue]])</f>
        <v>0.67320000000000002</v>
      </c>
      <c r="R41" t="s">
        <v>1061</v>
      </c>
      <c r="S41" t="s">
        <v>1260</v>
      </c>
      <c r="T41" t="str">
        <f>PROPER(SalesData[[#This Row],[Customer Name]])</f>
        <v>Lucas Williams</v>
      </c>
      <c r="U41" t="s">
        <v>1416</v>
      </c>
      <c r="V41" t="s">
        <v>1419</v>
      </c>
    </row>
    <row r="42" spans="1:22" x14ac:dyDescent="0.25">
      <c r="A42" t="s">
        <v>1468</v>
      </c>
      <c r="B42" s="5">
        <v>45303</v>
      </c>
      <c r="C42" s="2" t="str">
        <f>TEXT(SalesData[[#This Row],[Order Date]],"mmm")</f>
        <v>Jan</v>
      </c>
      <c r="D42" s="7">
        <f>MONTH(SalesData[[#This Row],[Order Date]])</f>
        <v>1</v>
      </c>
      <c r="E42" s="7">
        <f>YEAR(SalesData[[#This Row],[Order Date]])</f>
        <v>2024</v>
      </c>
      <c r="F42" t="s">
        <v>742</v>
      </c>
      <c r="G42" t="str">
        <f>PROPER(SalesData[[#This Row],[Product Name]])</f>
        <v>Eco Canvas Tote Bag</v>
      </c>
      <c r="H42" t="s">
        <v>1013</v>
      </c>
      <c r="I42" t="str">
        <f>UPPER(SalesData[[#This Row],[Product Category]])</f>
        <v>BAGS</v>
      </c>
      <c r="J42">
        <v>6</v>
      </c>
      <c r="K42">
        <v>25</v>
      </c>
      <c r="L42" s="15">
        <f>IF(SalesData[[#This Row],[Unit Price]]="",
    AVERAGEIFS(SalesData[Unit Price],
               SalesData[Product Name],SalesData[[#This Row],[Product Name]]),
    SalesData[[#This Row],[Unit Price]])</f>
        <v>25</v>
      </c>
      <c r="M42" s="15">
        <v>6.37</v>
      </c>
      <c r="N42" s="15">
        <f>SalesData[[#This Row],[Quantity Sold]] * SalesData[[#This Row],[Cleaned Unit Price]]</f>
        <v>150</v>
      </c>
      <c r="O42" s="15">
        <f>SalesData[[#This Row],[Quantity Sold]] * SalesData[[#This Row],[Unit Cost]]</f>
        <v>38.22</v>
      </c>
      <c r="P42" s="15">
        <f>SalesData[[#This Row],[Revenue]] - SalesData[[#This Row],[Cost]]</f>
        <v>111.78</v>
      </c>
      <c r="Q42" s="13">
        <f>IF(SalesData[[#This Row],[Revenue]]=0,0,SalesData[[#This Row],[Profit]]/SalesData[[#This Row],[Revenue]])</f>
        <v>0.74519999999999997</v>
      </c>
      <c r="R42" t="s">
        <v>1183</v>
      </c>
      <c r="S42" t="s">
        <v>1382</v>
      </c>
      <c r="T42" t="str">
        <f>PROPER(SalesData[[#This Row],[Customer Name]])</f>
        <v>Logan Rodriguez</v>
      </c>
      <c r="U42" t="s">
        <v>1414</v>
      </c>
      <c r="V42" t="s">
        <v>1424</v>
      </c>
    </row>
    <row r="43" spans="1:22" x14ac:dyDescent="0.25">
      <c r="A43" t="s">
        <v>1469</v>
      </c>
      <c r="B43" s="5">
        <v>45304</v>
      </c>
      <c r="C43" s="2" t="str">
        <f>TEXT(SalesData[[#This Row],[Order Date]],"mmm")</f>
        <v>Jan</v>
      </c>
      <c r="D43" s="7">
        <f>MONTH(SalesData[[#This Row],[Order Date]])</f>
        <v>1</v>
      </c>
      <c r="E43" s="7">
        <f>YEAR(SalesData[[#This Row],[Order Date]])</f>
        <v>2024</v>
      </c>
      <c r="F43" t="s">
        <v>643</v>
      </c>
      <c r="G43" t="str">
        <f>PROPER(SalesData[[#This Row],[Product Name]])</f>
        <v>Eco Canvas Tote Bag</v>
      </c>
      <c r="H43" t="s">
        <v>1013</v>
      </c>
      <c r="I43" t="str">
        <f>UPPER(SalesData[[#This Row],[Product Category]])</f>
        <v>BAGS</v>
      </c>
      <c r="J43">
        <v>7</v>
      </c>
      <c r="K43">
        <v>25</v>
      </c>
      <c r="L43" s="15">
        <f>IF(SalesData[[#This Row],[Unit Price]]="",
    AVERAGEIFS(SalesData[Unit Price],
               SalesData[Product Name],SalesData[[#This Row],[Product Name]]),
    SalesData[[#This Row],[Unit Price]])</f>
        <v>25</v>
      </c>
      <c r="M43" s="15">
        <v>6.03</v>
      </c>
      <c r="N43" s="15">
        <f>SalesData[[#This Row],[Quantity Sold]] * SalesData[[#This Row],[Cleaned Unit Price]]</f>
        <v>175</v>
      </c>
      <c r="O43" s="15">
        <f>SalesData[[#This Row],[Quantity Sold]] * SalesData[[#This Row],[Unit Cost]]</f>
        <v>42.21</v>
      </c>
      <c r="P43" s="15">
        <f>SalesData[[#This Row],[Revenue]] - SalesData[[#This Row],[Cost]]</f>
        <v>132.79</v>
      </c>
      <c r="Q43" s="13">
        <f>IF(SalesData[[#This Row],[Revenue]]=0,0,SalesData[[#This Row],[Profit]]/SalesData[[#This Row],[Revenue]])</f>
        <v>0.75879999999999992</v>
      </c>
      <c r="R43" t="s">
        <v>1188</v>
      </c>
      <c r="S43" t="s">
        <v>1387</v>
      </c>
      <c r="T43" t="str">
        <f>PROPER(SalesData[[#This Row],[Customer Name]])</f>
        <v>Mia Johnson</v>
      </c>
      <c r="U43" t="s">
        <v>1414</v>
      </c>
      <c r="V43" t="s">
        <v>1421</v>
      </c>
    </row>
    <row r="44" spans="1:22" x14ac:dyDescent="0.25">
      <c r="A44" t="s">
        <v>1470</v>
      </c>
      <c r="B44" s="5">
        <v>45304</v>
      </c>
      <c r="C44" s="2" t="str">
        <f>TEXT(SalesData[[#This Row],[Order Date]],"mmm")</f>
        <v>Jan</v>
      </c>
      <c r="D44" s="7">
        <f>MONTH(SalesData[[#This Row],[Order Date]])</f>
        <v>1</v>
      </c>
      <c r="E44" s="7">
        <f>YEAR(SalesData[[#This Row],[Order Date]])</f>
        <v>2024</v>
      </c>
      <c r="F44" t="s">
        <v>712</v>
      </c>
      <c r="G44" t="str">
        <f>PROPER(SalesData[[#This Row],[Product Name]])</f>
        <v>Solar Led Lantern</v>
      </c>
      <c r="H44" t="s">
        <v>1012</v>
      </c>
      <c r="I44" t="str">
        <f>UPPER(SalesData[[#This Row],[Product Category]])</f>
        <v>LIGHTING</v>
      </c>
      <c r="J44">
        <v>7</v>
      </c>
      <c r="K44">
        <v>40</v>
      </c>
      <c r="L44" s="15">
        <f>IF(SalesData[[#This Row],[Unit Price]]="",
    AVERAGEIFS(SalesData[Unit Price],
               SalesData[Product Name],SalesData[[#This Row],[Product Name]]),
    SalesData[[#This Row],[Unit Price]])</f>
        <v>40</v>
      </c>
      <c r="M44" s="15">
        <v>11.98</v>
      </c>
      <c r="N44" s="15">
        <f>SalesData[[#This Row],[Quantity Sold]] * SalesData[[#This Row],[Cleaned Unit Price]]</f>
        <v>280</v>
      </c>
      <c r="O44" s="15">
        <f>SalesData[[#This Row],[Quantity Sold]] * SalesData[[#This Row],[Unit Cost]]</f>
        <v>83.86</v>
      </c>
      <c r="P44" s="15">
        <f>SalesData[[#This Row],[Revenue]] - SalesData[[#This Row],[Cost]]</f>
        <v>196.14</v>
      </c>
      <c r="Q44" s="13">
        <f>IF(SalesData[[#This Row],[Revenue]]=0,0,SalesData[[#This Row],[Profit]]/SalesData[[#This Row],[Revenue]])</f>
        <v>0.7004999999999999</v>
      </c>
      <c r="R44" t="s">
        <v>1172</v>
      </c>
      <c r="S44" t="s">
        <v>1371</v>
      </c>
      <c r="T44" t="str">
        <f>PROPER(SalesData[[#This Row],[Customer Name]])</f>
        <v>James Smith</v>
      </c>
      <c r="U44" t="s">
        <v>1416</v>
      </c>
      <c r="V44" t="s">
        <v>1424</v>
      </c>
    </row>
    <row r="45" spans="1:22" x14ac:dyDescent="0.25">
      <c r="A45" t="s">
        <v>1471</v>
      </c>
      <c r="B45" s="5">
        <v>45304</v>
      </c>
      <c r="C45" s="2" t="str">
        <f>TEXT(SalesData[[#This Row],[Order Date]],"mmm")</f>
        <v>Jan</v>
      </c>
      <c r="D45" s="7">
        <f>MONTH(SalesData[[#This Row],[Order Date]])</f>
        <v>1</v>
      </c>
      <c r="E45" s="7">
        <f>YEAR(SalesData[[#This Row],[Order Date]])</f>
        <v>2024</v>
      </c>
      <c r="F45" t="s">
        <v>843</v>
      </c>
      <c r="G45" t="str">
        <f>PROPER(SalesData[[#This Row],[Product Name]])</f>
        <v>Biodegradable Cleaning Cloth</v>
      </c>
      <c r="H45" t="s">
        <v>1015</v>
      </c>
      <c r="I45" t="str">
        <f>UPPER(SalesData[[#This Row],[Product Category]])</f>
        <v>CLEANING</v>
      </c>
      <c r="J45">
        <v>2</v>
      </c>
      <c r="K45">
        <v>10</v>
      </c>
      <c r="L45" s="15">
        <f>IF(SalesData[[#This Row],[Unit Price]]="",
    AVERAGEIFS(SalesData[Unit Price],
               SalesData[Product Name],SalesData[[#This Row],[Product Name]]),
    SalesData[[#This Row],[Unit Price]])</f>
        <v>10</v>
      </c>
      <c r="M45" s="15">
        <v>2.46</v>
      </c>
      <c r="N45" s="15">
        <f>SalesData[[#This Row],[Quantity Sold]] * SalesData[[#This Row],[Cleaned Unit Price]]</f>
        <v>20</v>
      </c>
      <c r="O45" s="15">
        <f>SalesData[[#This Row],[Quantity Sold]] * SalesData[[#This Row],[Unit Cost]]</f>
        <v>4.92</v>
      </c>
      <c r="P45" s="15">
        <f>SalesData[[#This Row],[Revenue]] - SalesData[[#This Row],[Cost]]</f>
        <v>15.08</v>
      </c>
      <c r="Q45" s="13">
        <f>IF(SalesData[[#This Row],[Revenue]]=0,0,SalesData[[#This Row],[Profit]]/SalesData[[#This Row],[Revenue]])</f>
        <v>0.754</v>
      </c>
      <c r="R45" t="s">
        <v>1099</v>
      </c>
      <c r="S45" t="s">
        <v>1298</v>
      </c>
      <c r="T45" t="str">
        <f>PROPER(SalesData[[#This Row],[Customer Name]])</f>
        <v>Mason Miller</v>
      </c>
      <c r="U45" t="s">
        <v>1414</v>
      </c>
      <c r="V45" t="s">
        <v>1426</v>
      </c>
    </row>
    <row r="46" spans="1:22" x14ac:dyDescent="0.25">
      <c r="A46" t="s">
        <v>1472</v>
      </c>
      <c r="B46" s="5">
        <v>45304</v>
      </c>
      <c r="C46" s="2" t="str">
        <f>TEXT(SalesData[[#This Row],[Order Date]],"mmm")</f>
        <v>Jan</v>
      </c>
      <c r="D46" s="7">
        <f>MONTH(SalesData[[#This Row],[Order Date]])</f>
        <v>1</v>
      </c>
      <c r="E46" s="7">
        <f>YEAR(SalesData[[#This Row],[Order Date]])</f>
        <v>2024</v>
      </c>
      <c r="F46" t="s">
        <v>960</v>
      </c>
      <c r="G46" t="str">
        <f>PROPER(SalesData[[#This Row],[Product Name]])</f>
        <v>Compostable Plant Pots</v>
      </c>
      <c r="H46" t="s">
        <v>1011</v>
      </c>
      <c r="I46" t="str">
        <f>UPPER(SalesData[[#This Row],[Product Category]])</f>
        <v>GARDENING</v>
      </c>
      <c r="J46">
        <v>5</v>
      </c>
      <c r="K46">
        <v>12</v>
      </c>
      <c r="L46" s="15">
        <f>IF(SalesData[[#This Row],[Unit Price]]="",
    AVERAGEIFS(SalesData[Unit Price],
               SalesData[Product Name],SalesData[[#This Row],[Product Name]]),
    SalesData[[#This Row],[Unit Price]])</f>
        <v>12</v>
      </c>
      <c r="M46" s="15">
        <v>4.2</v>
      </c>
      <c r="N46" s="15">
        <f>SalesData[[#This Row],[Quantity Sold]] * SalesData[[#This Row],[Cleaned Unit Price]]</f>
        <v>60</v>
      </c>
      <c r="O46" s="15">
        <f>SalesData[[#This Row],[Quantity Sold]] * SalesData[[#This Row],[Unit Cost]]</f>
        <v>21</v>
      </c>
      <c r="P46" s="15">
        <f>SalesData[[#This Row],[Revenue]] - SalesData[[#This Row],[Cost]]</f>
        <v>39</v>
      </c>
      <c r="Q46" s="13">
        <f>IF(SalesData[[#This Row],[Revenue]]=0,0,SalesData[[#This Row],[Profit]]/SalesData[[#This Row],[Revenue]])</f>
        <v>0.65</v>
      </c>
      <c r="R46" t="s">
        <v>1186</v>
      </c>
      <c r="S46" t="s">
        <v>1385</v>
      </c>
      <c r="T46" t="str">
        <f>PROPER(SalesData[[#This Row],[Customer Name]])</f>
        <v>Ava Martinez</v>
      </c>
      <c r="U46" t="s">
        <v>1417</v>
      </c>
      <c r="V46" t="s">
        <v>1426</v>
      </c>
    </row>
    <row r="47" spans="1:22" x14ac:dyDescent="0.25">
      <c r="A47" t="s">
        <v>1473</v>
      </c>
      <c r="B47" s="5">
        <v>45305</v>
      </c>
      <c r="C47" s="2" t="str">
        <f>TEXT(SalesData[[#This Row],[Order Date]],"mmm")</f>
        <v>Jan</v>
      </c>
      <c r="D47" s="7">
        <f>MONTH(SalesData[[#This Row],[Order Date]])</f>
        <v>1</v>
      </c>
      <c r="E47" s="7">
        <f>YEAR(SalesData[[#This Row],[Order Date]])</f>
        <v>2024</v>
      </c>
      <c r="F47" t="s">
        <v>18</v>
      </c>
      <c r="G47" t="str">
        <f>PROPER(SalesData[[#This Row],[Product Name]])</f>
        <v>Eco Canvas Tote Bag</v>
      </c>
      <c r="H47" t="s">
        <v>1013</v>
      </c>
      <c r="I47" t="str">
        <f>UPPER(SalesData[[#This Row],[Product Category]])</f>
        <v>BAGS</v>
      </c>
      <c r="J47">
        <v>5</v>
      </c>
      <c r="K47">
        <v>25</v>
      </c>
      <c r="L47" s="15">
        <f>IF(SalesData[[#This Row],[Unit Price]]="",
    AVERAGEIFS(SalesData[Unit Price],
               SalesData[Product Name],SalesData[[#This Row],[Product Name]]),
    SalesData[[#This Row],[Unit Price]])</f>
        <v>25</v>
      </c>
      <c r="M47" s="15">
        <v>6.32</v>
      </c>
      <c r="N47" s="15">
        <f>SalesData[[#This Row],[Quantity Sold]] * SalesData[[#This Row],[Cleaned Unit Price]]</f>
        <v>125</v>
      </c>
      <c r="O47" s="15">
        <f>SalesData[[#This Row],[Quantity Sold]] * SalesData[[#This Row],[Unit Cost]]</f>
        <v>31.6</v>
      </c>
      <c r="P47" s="15">
        <f>SalesData[[#This Row],[Revenue]] - SalesData[[#This Row],[Cost]]</f>
        <v>93.4</v>
      </c>
      <c r="Q47" s="13">
        <f>IF(SalesData[[#This Row],[Revenue]]=0,0,SalesData[[#This Row],[Profit]]/SalesData[[#This Row],[Revenue]])</f>
        <v>0.74720000000000009</v>
      </c>
      <c r="R47" t="s">
        <v>1023</v>
      </c>
      <c r="S47" t="s">
        <v>1222</v>
      </c>
      <c r="T47" t="str">
        <f>PROPER(SalesData[[#This Row],[Customer Name]])</f>
        <v>Liam Garcia</v>
      </c>
      <c r="U47" t="s">
        <v>1414</v>
      </c>
      <c r="V47" t="s">
        <v>1424</v>
      </c>
    </row>
    <row r="48" spans="1:22" x14ac:dyDescent="0.25">
      <c r="A48" t="s">
        <v>1474</v>
      </c>
      <c r="B48" s="5">
        <v>45305</v>
      </c>
      <c r="C48" s="2" t="str">
        <f>TEXT(SalesData[[#This Row],[Order Date]],"mmm")</f>
        <v>Jan</v>
      </c>
      <c r="D48" s="7">
        <f>MONTH(SalesData[[#This Row],[Order Date]])</f>
        <v>1</v>
      </c>
      <c r="E48" s="7">
        <f>YEAR(SalesData[[#This Row],[Order Date]])</f>
        <v>2024</v>
      </c>
      <c r="F48" t="s">
        <v>96</v>
      </c>
      <c r="G48" t="str">
        <f>PROPER(SalesData[[#This Row],[Product Name]])</f>
        <v>Biodegradable Cleaning Cloth</v>
      </c>
      <c r="H48" t="s">
        <v>1015</v>
      </c>
      <c r="I48" t="str">
        <f>UPPER(SalesData[[#This Row],[Product Category]])</f>
        <v>CLEANING</v>
      </c>
      <c r="J48">
        <v>7</v>
      </c>
      <c r="K48">
        <v>10</v>
      </c>
      <c r="L48" s="15">
        <f>IF(SalesData[[#This Row],[Unit Price]]="",
    AVERAGEIFS(SalesData[Unit Price],
               SalesData[Product Name],SalesData[[#This Row],[Product Name]]),
    SalesData[[#This Row],[Unit Price]])</f>
        <v>10</v>
      </c>
      <c r="M48" s="15">
        <v>2.88</v>
      </c>
      <c r="N48" s="15">
        <f>SalesData[[#This Row],[Quantity Sold]] * SalesData[[#This Row],[Cleaned Unit Price]]</f>
        <v>70</v>
      </c>
      <c r="O48" s="15">
        <f>SalesData[[#This Row],[Quantity Sold]] * SalesData[[#This Row],[Unit Cost]]</f>
        <v>20.16</v>
      </c>
      <c r="P48" s="15">
        <f>SalesData[[#This Row],[Revenue]] - SalesData[[#This Row],[Cost]]</f>
        <v>49.84</v>
      </c>
      <c r="Q48" s="13">
        <f>IF(SalesData[[#This Row],[Revenue]]=0,0,SalesData[[#This Row],[Profit]]/SalesData[[#This Row],[Revenue]])</f>
        <v>0.71200000000000008</v>
      </c>
      <c r="R48" t="s">
        <v>1060</v>
      </c>
      <c r="S48" t="s">
        <v>1259</v>
      </c>
      <c r="T48" t="str">
        <f>PROPER(SalesData[[#This Row],[Customer Name]])</f>
        <v>Charlotte Davis</v>
      </c>
      <c r="U48" t="s">
        <v>1416</v>
      </c>
      <c r="V48" t="s">
        <v>1420</v>
      </c>
    </row>
    <row r="49" spans="1:22" x14ac:dyDescent="0.25">
      <c r="A49" t="s">
        <v>1475</v>
      </c>
      <c r="B49" s="5">
        <v>45305</v>
      </c>
      <c r="C49" s="2" t="str">
        <f>TEXT(SalesData[[#This Row],[Order Date]],"mmm")</f>
        <v>Jan</v>
      </c>
      <c r="D49" s="7">
        <f>MONTH(SalesData[[#This Row],[Order Date]])</f>
        <v>1</v>
      </c>
      <c r="E49" s="7">
        <f>YEAR(SalesData[[#This Row],[Order Date]])</f>
        <v>2024</v>
      </c>
      <c r="F49" t="s">
        <v>140</v>
      </c>
      <c r="G49" t="str">
        <f>PROPER(SalesData[[#This Row],[Product Name]])</f>
        <v>Biodegradable Cleaning Cloth</v>
      </c>
      <c r="H49" t="s">
        <v>1015</v>
      </c>
      <c r="I49" t="str">
        <f>UPPER(SalesData[[#This Row],[Product Category]])</f>
        <v>CLEANING</v>
      </c>
      <c r="J49">
        <v>3</v>
      </c>
      <c r="K49">
        <v>10</v>
      </c>
      <c r="L49" s="15">
        <f>IF(SalesData[[#This Row],[Unit Price]]="",
    AVERAGEIFS(SalesData[Unit Price],
               SalesData[Product Name],SalesData[[#This Row],[Product Name]]),
    SalesData[[#This Row],[Unit Price]])</f>
        <v>10</v>
      </c>
      <c r="M49" s="15">
        <v>3.54</v>
      </c>
      <c r="N49" s="15">
        <f>SalesData[[#This Row],[Quantity Sold]] * SalesData[[#This Row],[Cleaned Unit Price]]</f>
        <v>30</v>
      </c>
      <c r="O49" s="15">
        <f>SalesData[[#This Row],[Quantity Sold]] * SalesData[[#This Row],[Unit Cost]]</f>
        <v>10.620000000000001</v>
      </c>
      <c r="P49" s="15">
        <f>SalesData[[#This Row],[Revenue]] - SalesData[[#This Row],[Cost]]</f>
        <v>19.38</v>
      </c>
      <c r="Q49" s="13">
        <f>IF(SalesData[[#This Row],[Revenue]]=0,0,SalesData[[#This Row],[Profit]]/SalesData[[#This Row],[Revenue]])</f>
        <v>0.64600000000000002</v>
      </c>
      <c r="R49" t="s">
        <v>1034</v>
      </c>
      <c r="S49" t="s">
        <v>1233</v>
      </c>
      <c r="T49" t="str">
        <f>PROPER(SalesData[[#This Row],[Customer Name]])</f>
        <v>Liam Garcia</v>
      </c>
      <c r="U49" t="s">
        <v>1416</v>
      </c>
      <c r="V49" t="s">
        <v>1419</v>
      </c>
    </row>
    <row r="50" spans="1:22" x14ac:dyDescent="0.25">
      <c r="A50" t="s">
        <v>1476</v>
      </c>
      <c r="B50" s="5">
        <v>45305</v>
      </c>
      <c r="C50" s="2" t="str">
        <f>TEXT(SalesData[[#This Row],[Order Date]],"mmm")</f>
        <v>Jan</v>
      </c>
      <c r="D50" s="7">
        <f>MONTH(SalesData[[#This Row],[Order Date]])</f>
        <v>1</v>
      </c>
      <c r="E50" s="7">
        <f>YEAR(SalesData[[#This Row],[Order Date]])</f>
        <v>2024</v>
      </c>
      <c r="F50" t="s">
        <v>232</v>
      </c>
      <c r="G50" t="str">
        <f>PROPER(SalesData[[#This Row],[Product Name]])</f>
        <v>Solar Led Lantern</v>
      </c>
      <c r="H50" t="s">
        <v>1012</v>
      </c>
      <c r="I50" t="str">
        <f>UPPER(SalesData[[#This Row],[Product Category]])</f>
        <v>LIGHTING</v>
      </c>
      <c r="J50">
        <v>1</v>
      </c>
      <c r="K50">
        <v>40</v>
      </c>
      <c r="L50" s="15">
        <f>IF(SalesData[[#This Row],[Unit Price]]="",
    AVERAGEIFS(SalesData[Unit Price],
               SalesData[Product Name],SalesData[[#This Row],[Product Name]]),
    SalesData[[#This Row],[Unit Price]])</f>
        <v>40</v>
      </c>
      <c r="M50" s="15">
        <v>15.48</v>
      </c>
      <c r="N50" s="15">
        <f>SalesData[[#This Row],[Quantity Sold]] * SalesData[[#This Row],[Cleaned Unit Price]]</f>
        <v>40</v>
      </c>
      <c r="O50" s="15">
        <f>SalesData[[#This Row],[Quantity Sold]] * SalesData[[#This Row],[Unit Cost]]</f>
        <v>15.48</v>
      </c>
      <c r="P50" s="15">
        <f>SalesData[[#This Row],[Revenue]] - SalesData[[#This Row],[Cost]]</f>
        <v>24.52</v>
      </c>
      <c r="Q50" s="13">
        <f>IF(SalesData[[#This Row],[Revenue]]=0,0,SalesData[[#This Row],[Profit]]/SalesData[[#This Row],[Revenue]])</f>
        <v>0.61299999999999999</v>
      </c>
      <c r="R50" t="s">
        <v>1111</v>
      </c>
      <c r="S50" t="s">
        <v>1310</v>
      </c>
      <c r="T50" t="str">
        <f>PROPER(SalesData[[#This Row],[Customer Name]])</f>
        <v>Charlotte Garcia</v>
      </c>
      <c r="U50" t="s">
        <v>1415</v>
      </c>
      <c r="V50" t="s">
        <v>1420</v>
      </c>
    </row>
    <row r="51" spans="1:22" x14ac:dyDescent="0.25">
      <c r="A51" t="s">
        <v>1477</v>
      </c>
      <c r="B51" s="5">
        <v>45305</v>
      </c>
      <c r="C51" s="2" t="str">
        <f>TEXT(SalesData[[#This Row],[Order Date]],"mmm")</f>
        <v>Jan</v>
      </c>
      <c r="D51" s="7">
        <f>MONTH(SalesData[[#This Row],[Order Date]])</f>
        <v>1</v>
      </c>
      <c r="E51" s="7">
        <f>YEAR(SalesData[[#This Row],[Order Date]])</f>
        <v>2024</v>
      </c>
      <c r="F51" t="s">
        <v>249</v>
      </c>
      <c r="G51" t="str">
        <f>PROPER(SalesData[[#This Row],[Product Name]])</f>
        <v>Solar Led Lantern</v>
      </c>
      <c r="H51" t="s">
        <v>1012</v>
      </c>
      <c r="I51" t="str">
        <f>UPPER(SalesData[[#This Row],[Product Category]])</f>
        <v>LIGHTING</v>
      </c>
      <c r="J51">
        <v>5</v>
      </c>
      <c r="K51">
        <v>40</v>
      </c>
      <c r="L51" s="15">
        <f>IF(SalesData[[#This Row],[Unit Price]]="",
    AVERAGEIFS(SalesData[Unit Price],
               SalesData[Product Name],SalesData[[#This Row],[Product Name]]),
    SalesData[[#This Row],[Unit Price]])</f>
        <v>40</v>
      </c>
      <c r="M51" s="15">
        <v>13.2</v>
      </c>
      <c r="N51" s="15">
        <f>SalesData[[#This Row],[Quantity Sold]] * SalesData[[#This Row],[Cleaned Unit Price]]</f>
        <v>200</v>
      </c>
      <c r="O51" s="15">
        <f>SalesData[[#This Row],[Quantity Sold]] * SalesData[[#This Row],[Unit Cost]]</f>
        <v>66</v>
      </c>
      <c r="P51" s="15">
        <f>SalesData[[#This Row],[Revenue]] - SalesData[[#This Row],[Cost]]</f>
        <v>134</v>
      </c>
      <c r="Q51" s="13">
        <f>IF(SalesData[[#This Row],[Revenue]]=0,0,SalesData[[#This Row],[Profit]]/SalesData[[#This Row],[Revenue]])</f>
        <v>0.67</v>
      </c>
      <c r="R51" t="s">
        <v>1149</v>
      </c>
      <c r="S51" t="s">
        <v>1348</v>
      </c>
      <c r="T51" t="str">
        <f>PROPER(SalesData[[#This Row],[Customer Name]])</f>
        <v>Oliver Johnson</v>
      </c>
      <c r="U51" t="s">
        <v>1414</v>
      </c>
      <c r="V51" t="s">
        <v>1425</v>
      </c>
    </row>
    <row r="52" spans="1:22" x14ac:dyDescent="0.25">
      <c r="A52" t="s">
        <v>1478</v>
      </c>
      <c r="B52" s="5">
        <v>45305</v>
      </c>
      <c r="C52" s="2" t="str">
        <f>TEXT(SalesData[[#This Row],[Order Date]],"mmm")</f>
        <v>Jan</v>
      </c>
      <c r="D52" s="7">
        <f>MONTH(SalesData[[#This Row],[Order Date]])</f>
        <v>1</v>
      </c>
      <c r="E52" s="7">
        <f>YEAR(SalesData[[#This Row],[Order Date]])</f>
        <v>2024</v>
      </c>
      <c r="F52" t="s">
        <v>259</v>
      </c>
      <c r="G52" t="str">
        <f>PROPER(SalesData[[#This Row],[Product Name]])</f>
        <v>Eco Canvas Tote Bag</v>
      </c>
      <c r="H52" t="s">
        <v>1013</v>
      </c>
      <c r="I52" t="str">
        <f>UPPER(SalesData[[#This Row],[Product Category]])</f>
        <v>BAGS</v>
      </c>
      <c r="J52">
        <v>4</v>
      </c>
      <c r="K52">
        <v>25</v>
      </c>
      <c r="L52" s="15">
        <f>IF(SalesData[[#This Row],[Unit Price]]="",
    AVERAGEIFS(SalesData[Unit Price],
               SalesData[Product Name],SalesData[[#This Row],[Product Name]]),
    SalesData[[#This Row],[Unit Price]])</f>
        <v>25</v>
      </c>
      <c r="M52" s="15">
        <v>7.94</v>
      </c>
      <c r="N52" s="15">
        <f>SalesData[[#This Row],[Quantity Sold]] * SalesData[[#This Row],[Cleaned Unit Price]]</f>
        <v>100</v>
      </c>
      <c r="O52" s="15">
        <f>SalesData[[#This Row],[Quantity Sold]] * SalesData[[#This Row],[Unit Cost]]</f>
        <v>31.76</v>
      </c>
      <c r="P52" s="15">
        <f>SalesData[[#This Row],[Revenue]] - SalesData[[#This Row],[Cost]]</f>
        <v>68.239999999999995</v>
      </c>
      <c r="Q52" s="13">
        <f>IF(SalesData[[#This Row],[Revenue]]=0,0,SalesData[[#This Row],[Profit]]/SalesData[[#This Row],[Revenue]])</f>
        <v>0.6823999999999999</v>
      </c>
      <c r="R52" t="s">
        <v>1123</v>
      </c>
      <c r="S52" t="s">
        <v>1322</v>
      </c>
      <c r="T52" t="str">
        <f>PROPER(SalesData[[#This Row],[Customer Name]])</f>
        <v>Logan Rodriguez</v>
      </c>
      <c r="U52" t="s">
        <v>1414</v>
      </c>
      <c r="V52" t="s">
        <v>1418</v>
      </c>
    </row>
    <row r="53" spans="1:22" x14ac:dyDescent="0.25">
      <c r="A53" t="s">
        <v>1479</v>
      </c>
      <c r="B53" s="5">
        <v>45305</v>
      </c>
      <c r="C53" s="2" t="str">
        <f>TEXT(SalesData[[#This Row],[Order Date]],"mmm")</f>
        <v>Jan</v>
      </c>
      <c r="D53" s="7">
        <f>MONTH(SalesData[[#This Row],[Order Date]])</f>
        <v>1</v>
      </c>
      <c r="E53" s="7">
        <f>YEAR(SalesData[[#This Row],[Order Date]])</f>
        <v>2024</v>
      </c>
      <c r="F53" t="s">
        <v>319</v>
      </c>
      <c r="G53" t="str">
        <f>PROPER(SalesData[[#This Row],[Product Name]])</f>
        <v>Biodegradable Cleaning Cloth</v>
      </c>
      <c r="H53" t="s">
        <v>1015</v>
      </c>
      <c r="I53" t="str">
        <f>UPPER(SalesData[[#This Row],[Product Category]])</f>
        <v>CLEANING</v>
      </c>
      <c r="J53">
        <v>6</v>
      </c>
      <c r="K53">
        <v>10</v>
      </c>
      <c r="L53" s="15">
        <f>IF(SalesData[[#This Row],[Unit Price]]="",
    AVERAGEIFS(SalesData[Unit Price],
               SalesData[Product Name],SalesData[[#This Row],[Product Name]]),
    SalesData[[#This Row],[Unit Price]])</f>
        <v>10</v>
      </c>
      <c r="M53" s="15">
        <v>2.73</v>
      </c>
      <c r="N53" s="15">
        <f>SalesData[[#This Row],[Quantity Sold]] * SalesData[[#This Row],[Cleaned Unit Price]]</f>
        <v>60</v>
      </c>
      <c r="O53" s="15">
        <f>SalesData[[#This Row],[Quantity Sold]] * SalesData[[#This Row],[Unit Cost]]</f>
        <v>16.38</v>
      </c>
      <c r="P53" s="15">
        <f>SalesData[[#This Row],[Revenue]] - SalesData[[#This Row],[Cost]]</f>
        <v>43.620000000000005</v>
      </c>
      <c r="Q53" s="13">
        <f>IF(SalesData[[#This Row],[Revenue]]=0,0,SalesData[[#This Row],[Profit]]/SalesData[[#This Row],[Revenue]])</f>
        <v>0.72700000000000009</v>
      </c>
      <c r="R53" t="s">
        <v>1074</v>
      </c>
      <c r="S53" t="s">
        <v>1273</v>
      </c>
      <c r="T53" t="str">
        <f>PROPER(SalesData[[#This Row],[Customer Name]])</f>
        <v>Isabella Jones</v>
      </c>
      <c r="U53" t="s">
        <v>1414</v>
      </c>
      <c r="V53" t="s">
        <v>1423</v>
      </c>
    </row>
    <row r="54" spans="1:22" x14ac:dyDescent="0.25">
      <c r="A54" t="s">
        <v>1480</v>
      </c>
      <c r="B54" s="5">
        <v>45305</v>
      </c>
      <c r="C54" s="2" t="str">
        <f>TEXT(SalesData[[#This Row],[Order Date]],"mmm")</f>
        <v>Jan</v>
      </c>
      <c r="D54" s="7">
        <f>MONTH(SalesData[[#This Row],[Order Date]])</f>
        <v>1</v>
      </c>
      <c r="E54" s="7">
        <f>YEAR(SalesData[[#This Row],[Order Date]])</f>
        <v>2024</v>
      </c>
      <c r="F54" t="s">
        <v>462</v>
      </c>
      <c r="G54" t="str">
        <f>PROPER(SalesData[[#This Row],[Product Name]])</f>
        <v>Solar Led Lantern</v>
      </c>
      <c r="H54" t="s">
        <v>1012</v>
      </c>
      <c r="I54" t="str">
        <f>UPPER(SalesData[[#This Row],[Product Category]])</f>
        <v>LIGHTING</v>
      </c>
      <c r="J54">
        <v>2</v>
      </c>
      <c r="K54">
        <v>40</v>
      </c>
      <c r="L54" s="15">
        <f>IF(SalesData[[#This Row],[Unit Price]]="",
    AVERAGEIFS(SalesData[Unit Price],
               SalesData[Product Name],SalesData[[#This Row],[Product Name]]),
    SalesData[[#This Row],[Unit Price]])</f>
        <v>40</v>
      </c>
      <c r="M54" s="15">
        <v>13.63</v>
      </c>
      <c r="N54" s="15">
        <f>SalesData[[#This Row],[Quantity Sold]] * SalesData[[#This Row],[Cleaned Unit Price]]</f>
        <v>80</v>
      </c>
      <c r="O54" s="15">
        <f>SalesData[[#This Row],[Quantity Sold]] * SalesData[[#This Row],[Unit Cost]]</f>
        <v>27.26</v>
      </c>
      <c r="P54" s="15">
        <f>SalesData[[#This Row],[Revenue]] - SalesData[[#This Row],[Cost]]</f>
        <v>52.739999999999995</v>
      </c>
      <c r="Q54" s="13">
        <f>IF(SalesData[[#This Row],[Revenue]]=0,0,SalesData[[#This Row],[Profit]]/SalesData[[#This Row],[Revenue]])</f>
        <v>0.65924999999999989</v>
      </c>
      <c r="R54" t="s">
        <v>1157</v>
      </c>
      <c r="S54" t="s">
        <v>1356</v>
      </c>
      <c r="T54" t="str">
        <f>PROPER(SalesData[[#This Row],[Customer Name]])</f>
        <v>Mason Rodriguez</v>
      </c>
      <c r="U54" t="s">
        <v>1416</v>
      </c>
      <c r="V54" t="s">
        <v>1418</v>
      </c>
    </row>
    <row r="55" spans="1:22" x14ac:dyDescent="0.25">
      <c r="A55" t="s">
        <v>1481</v>
      </c>
      <c r="B55" s="5">
        <v>45305</v>
      </c>
      <c r="C55" s="2" t="str">
        <f>TEXT(SalesData[[#This Row],[Order Date]],"mmm")</f>
        <v>Jan</v>
      </c>
      <c r="D55" s="7">
        <f>MONTH(SalesData[[#This Row],[Order Date]])</f>
        <v>1</v>
      </c>
      <c r="E55" s="7">
        <f>YEAR(SalesData[[#This Row],[Order Date]])</f>
        <v>2024</v>
      </c>
      <c r="F55" t="s">
        <v>691</v>
      </c>
      <c r="G55" t="str">
        <f>PROPER(SalesData[[#This Row],[Product Name]])</f>
        <v>Solar Led Lantern</v>
      </c>
      <c r="H55" t="s">
        <v>1012</v>
      </c>
      <c r="I55" t="str">
        <f>UPPER(SalesData[[#This Row],[Product Category]])</f>
        <v>LIGHTING</v>
      </c>
      <c r="J55">
        <v>1</v>
      </c>
      <c r="K55">
        <v>40</v>
      </c>
      <c r="L55" s="15">
        <f>IF(SalesData[[#This Row],[Unit Price]]="",
    AVERAGEIFS(SalesData[Unit Price],
               SalesData[Product Name],SalesData[[#This Row],[Product Name]]),
    SalesData[[#This Row],[Unit Price]])</f>
        <v>40</v>
      </c>
      <c r="M55" s="15">
        <v>11.98</v>
      </c>
      <c r="N55" s="15">
        <f>SalesData[[#This Row],[Quantity Sold]] * SalesData[[#This Row],[Cleaned Unit Price]]</f>
        <v>40</v>
      </c>
      <c r="O55" s="15">
        <f>SalesData[[#This Row],[Quantity Sold]] * SalesData[[#This Row],[Unit Cost]]</f>
        <v>11.98</v>
      </c>
      <c r="P55" s="15">
        <f>SalesData[[#This Row],[Revenue]] - SalesData[[#This Row],[Cost]]</f>
        <v>28.02</v>
      </c>
      <c r="Q55" s="13">
        <f>IF(SalesData[[#This Row],[Revenue]]=0,0,SalesData[[#This Row],[Profit]]/SalesData[[#This Row],[Revenue]])</f>
        <v>0.70050000000000001</v>
      </c>
      <c r="R55" t="s">
        <v>1206</v>
      </c>
      <c r="S55" t="s">
        <v>1405</v>
      </c>
      <c r="T55" t="str">
        <f>PROPER(SalesData[[#This Row],[Customer Name]])</f>
        <v>Isabella Rodriguez</v>
      </c>
      <c r="U55" t="s">
        <v>1414</v>
      </c>
      <c r="V55" t="s">
        <v>1422</v>
      </c>
    </row>
    <row r="56" spans="1:22" x14ac:dyDescent="0.25">
      <c r="A56" t="s">
        <v>1482</v>
      </c>
      <c r="B56" s="5">
        <v>45306</v>
      </c>
      <c r="C56" s="2" t="str">
        <f>TEXT(SalesData[[#This Row],[Order Date]],"mmm")</f>
        <v>Jan</v>
      </c>
      <c r="D56" s="7">
        <f>MONTH(SalesData[[#This Row],[Order Date]])</f>
        <v>1</v>
      </c>
      <c r="E56" s="7">
        <f>YEAR(SalesData[[#This Row],[Order Date]])</f>
        <v>2024</v>
      </c>
      <c r="F56" t="s">
        <v>220</v>
      </c>
      <c r="G56" t="str">
        <f>PROPER(SalesData[[#This Row],[Product Name]])</f>
        <v>Eco Canvas Tote Bag</v>
      </c>
      <c r="H56" t="s">
        <v>1013</v>
      </c>
      <c r="I56" t="str">
        <f>UPPER(SalesData[[#This Row],[Product Category]])</f>
        <v>BAGS</v>
      </c>
      <c r="J56">
        <v>5</v>
      </c>
      <c r="L56" s="15">
        <f>IF(SalesData[[#This Row],[Unit Price]]="",
    AVERAGEIFS(SalesData[Unit Price],
               SalesData[Product Name],SalesData[[#This Row],[Product Name]]),
    SalesData[[#This Row],[Unit Price]])</f>
        <v>25</v>
      </c>
      <c r="M56" s="15">
        <v>6.78</v>
      </c>
      <c r="N56" s="15">
        <f>SalesData[[#This Row],[Quantity Sold]] * SalesData[[#This Row],[Cleaned Unit Price]]</f>
        <v>125</v>
      </c>
      <c r="O56" s="15">
        <f>SalesData[[#This Row],[Quantity Sold]] * SalesData[[#This Row],[Unit Cost]]</f>
        <v>33.9</v>
      </c>
      <c r="P56" s="15">
        <f>SalesData[[#This Row],[Revenue]] - SalesData[[#This Row],[Cost]]</f>
        <v>91.1</v>
      </c>
      <c r="Q56" s="13">
        <f>IF(SalesData[[#This Row],[Revenue]]=0,0,SalesData[[#This Row],[Profit]]/SalesData[[#This Row],[Revenue]])</f>
        <v>0.7288</v>
      </c>
      <c r="R56" t="s">
        <v>1104</v>
      </c>
      <c r="S56" t="s">
        <v>1303</v>
      </c>
      <c r="T56" t="str">
        <f>PROPER(SalesData[[#This Row],[Customer Name]])</f>
        <v>Harper Brown</v>
      </c>
      <c r="U56" t="s">
        <v>1417</v>
      </c>
      <c r="V56" t="s">
        <v>1418</v>
      </c>
    </row>
    <row r="57" spans="1:22" x14ac:dyDescent="0.25">
      <c r="A57" t="s">
        <v>1483</v>
      </c>
      <c r="B57" s="5">
        <v>45307</v>
      </c>
      <c r="C57" s="2" t="str">
        <f>TEXT(SalesData[[#This Row],[Order Date]],"mmm")</f>
        <v>Jan</v>
      </c>
      <c r="D57" s="7">
        <f>MONTH(SalesData[[#This Row],[Order Date]])</f>
        <v>1</v>
      </c>
      <c r="E57" s="7">
        <f>YEAR(SalesData[[#This Row],[Order Date]])</f>
        <v>2024</v>
      </c>
      <c r="F57" t="s">
        <v>787</v>
      </c>
      <c r="G57" t="str">
        <f>PROPER(SalesData[[#This Row],[Product Name]])</f>
        <v>Reusable Bamboo Utensil Set</v>
      </c>
      <c r="H57" t="s">
        <v>1014</v>
      </c>
      <c r="I57" t="str">
        <f>UPPER(SalesData[[#This Row],[Product Category]])</f>
        <v>KITCHENWARE</v>
      </c>
      <c r="J57">
        <v>5</v>
      </c>
      <c r="L57" s="15">
        <f>IF(SalesData[[#This Row],[Unit Price]]="",
    AVERAGEIFS(SalesData[Unit Price],
               SalesData[Product Name],SalesData[[#This Row],[Product Name]]),
    SalesData[[#This Row],[Unit Price]])</f>
        <v>15</v>
      </c>
      <c r="M57" s="15">
        <v>5.35</v>
      </c>
      <c r="N57" s="15">
        <f>SalesData[[#This Row],[Quantity Sold]] * SalesData[[#This Row],[Cleaned Unit Price]]</f>
        <v>75</v>
      </c>
      <c r="O57" s="15">
        <f>SalesData[[#This Row],[Quantity Sold]] * SalesData[[#This Row],[Unit Cost]]</f>
        <v>26.75</v>
      </c>
      <c r="P57" s="15">
        <f>SalesData[[#This Row],[Revenue]] - SalesData[[#This Row],[Cost]]</f>
        <v>48.25</v>
      </c>
      <c r="Q57" s="13">
        <f>IF(SalesData[[#This Row],[Revenue]]=0,0,SalesData[[#This Row],[Profit]]/SalesData[[#This Row],[Revenue]])</f>
        <v>0.64333333333333331</v>
      </c>
      <c r="R57" t="s">
        <v>1127</v>
      </c>
      <c r="S57" t="s">
        <v>1326</v>
      </c>
      <c r="T57" t="str">
        <f>PROPER(SalesData[[#This Row],[Customer Name]])</f>
        <v>Mason Williams</v>
      </c>
      <c r="U57" t="s">
        <v>1414</v>
      </c>
      <c r="V57" t="s">
        <v>1425</v>
      </c>
    </row>
    <row r="58" spans="1:22" x14ac:dyDescent="0.25">
      <c r="A58" t="s">
        <v>1484</v>
      </c>
      <c r="B58" s="5">
        <v>45308</v>
      </c>
      <c r="C58" s="2" t="str">
        <f>TEXT(SalesData[[#This Row],[Order Date]],"mmm")</f>
        <v>Jan</v>
      </c>
      <c r="D58" s="7">
        <f>MONTH(SalesData[[#This Row],[Order Date]])</f>
        <v>1</v>
      </c>
      <c r="E58" s="7">
        <f>YEAR(SalesData[[#This Row],[Order Date]])</f>
        <v>2024</v>
      </c>
      <c r="F58" t="s">
        <v>38</v>
      </c>
      <c r="G58" t="str">
        <f>PROPER(SalesData[[#This Row],[Product Name]])</f>
        <v>Biodegradable Cleaning Cloth</v>
      </c>
      <c r="H58" t="s">
        <v>1015</v>
      </c>
      <c r="I58" t="str">
        <f>UPPER(SalesData[[#This Row],[Product Category]])</f>
        <v>CLEANING</v>
      </c>
      <c r="J58">
        <v>1</v>
      </c>
      <c r="K58">
        <v>10</v>
      </c>
      <c r="L58" s="15">
        <f>IF(SalesData[[#This Row],[Unit Price]]="",
    AVERAGEIFS(SalesData[Unit Price],
               SalesData[Product Name],SalesData[[#This Row],[Product Name]]),
    SalesData[[#This Row],[Unit Price]])</f>
        <v>10</v>
      </c>
      <c r="M58" s="15">
        <v>3.11</v>
      </c>
      <c r="N58" s="15">
        <f>SalesData[[#This Row],[Quantity Sold]] * SalesData[[#This Row],[Cleaned Unit Price]]</f>
        <v>10</v>
      </c>
      <c r="O58" s="15">
        <f>SalesData[[#This Row],[Quantity Sold]] * SalesData[[#This Row],[Unit Cost]]</f>
        <v>3.11</v>
      </c>
      <c r="P58" s="15">
        <f>SalesData[[#This Row],[Revenue]] - SalesData[[#This Row],[Cost]]</f>
        <v>6.8900000000000006</v>
      </c>
      <c r="Q58" s="13">
        <f>IF(SalesData[[#This Row],[Revenue]]=0,0,SalesData[[#This Row],[Profit]]/SalesData[[#This Row],[Revenue]])</f>
        <v>0.68900000000000006</v>
      </c>
      <c r="R58" t="s">
        <v>1040</v>
      </c>
      <c r="S58" t="s">
        <v>1239</v>
      </c>
      <c r="T58" t="str">
        <f>PROPER(SalesData[[#This Row],[Customer Name]])</f>
        <v>Ethan Rodriguez</v>
      </c>
      <c r="U58" t="s">
        <v>1416</v>
      </c>
      <c r="V58" t="s">
        <v>1425</v>
      </c>
    </row>
    <row r="59" spans="1:22" x14ac:dyDescent="0.25">
      <c r="A59" t="s">
        <v>1485</v>
      </c>
      <c r="B59" s="5">
        <v>45308</v>
      </c>
      <c r="C59" s="2" t="str">
        <f>TEXT(SalesData[[#This Row],[Order Date]],"mmm")</f>
        <v>Jan</v>
      </c>
      <c r="D59" s="7">
        <f>MONTH(SalesData[[#This Row],[Order Date]])</f>
        <v>1</v>
      </c>
      <c r="E59" s="7">
        <f>YEAR(SalesData[[#This Row],[Order Date]])</f>
        <v>2024</v>
      </c>
      <c r="F59" t="s">
        <v>482</v>
      </c>
      <c r="G59" t="str">
        <f>PROPER(SalesData[[#This Row],[Product Name]])</f>
        <v>Solar Led Lantern</v>
      </c>
      <c r="H59" t="s">
        <v>1012</v>
      </c>
      <c r="I59" t="str">
        <f>UPPER(SalesData[[#This Row],[Product Category]])</f>
        <v>LIGHTING</v>
      </c>
      <c r="J59">
        <v>7</v>
      </c>
      <c r="K59">
        <v>40</v>
      </c>
      <c r="L59" s="15">
        <f>IF(SalesData[[#This Row],[Unit Price]]="",
    AVERAGEIFS(SalesData[Unit Price],
               SalesData[Product Name],SalesData[[#This Row],[Product Name]]),
    SalesData[[#This Row],[Unit Price]])</f>
        <v>40</v>
      </c>
      <c r="M59" s="15">
        <v>9.3800000000000008</v>
      </c>
      <c r="N59" s="15">
        <f>SalesData[[#This Row],[Quantity Sold]] * SalesData[[#This Row],[Cleaned Unit Price]]</f>
        <v>280</v>
      </c>
      <c r="O59" s="15">
        <f>SalesData[[#This Row],[Quantity Sold]] * SalesData[[#This Row],[Unit Cost]]</f>
        <v>65.660000000000011</v>
      </c>
      <c r="P59" s="15">
        <f>SalesData[[#This Row],[Revenue]] - SalesData[[#This Row],[Cost]]</f>
        <v>214.33999999999997</v>
      </c>
      <c r="Q59" s="13">
        <f>IF(SalesData[[#This Row],[Revenue]]=0,0,SalesData[[#This Row],[Profit]]/SalesData[[#This Row],[Revenue]])</f>
        <v>0.76549999999999996</v>
      </c>
      <c r="R59" t="s">
        <v>1190</v>
      </c>
      <c r="S59" t="s">
        <v>1389</v>
      </c>
      <c r="T59" t="str">
        <f>PROPER(SalesData[[#This Row],[Customer Name]])</f>
        <v>James Garcia</v>
      </c>
      <c r="U59" t="s">
        <v>1416</v>
      </c>
      <c r="V59" t="s">
        <v>1421</v>
      </c>
    </row>
    <row r="60" spans="1:22" x14ac:dyDescent="0.25">
      <c r="A60" t="s">
        <v>1486</v>
      </c>
      <c r="B60" s="5">
        <v>45309</v>
      </c>
      <c r="C60" s="2" t="str">
        <f>TEXT(SalesData[[#This Row],[Order Date]],"mmm")</f>
        <v>Jan</v>
      </c>
      <c r="D60" s="7">
        <f>MONTH(SalesData[[#This Row],[Order Date]])</f>
        <v>1</v>
      </c>
      <c r="E60" s="7">
        <f>YEAR(SalesData[[#This Row],[Order Date]])</f>
        <v>2024</v>
      </c>
      <c r="F60" t="s">
        <v>289</v>
      </c>
      <c r="G60" t="str">
        <f>PROPER(SalesData[[#This Row],[Product Name]])</f>
        <v>Biodegradable Cleaning Cloth</v>
      </c>
      <c r="H60" t="s">
        <v>1015</v>
      </c>
      <c r="I60" t="str">
        <f>UPPER(SalesData[[#This Row],[Product Category]])</f>
        <v>CLEANING</v>
      </c>
      <c r="J60">
        <v>1</v>
      </c>
      <c r="K60">
        <v>10</v>
      </c>
      <c r="L60" s="15">
        <f>IF(SalesData[[#This Row],[Unit Price]]="",
    AVERAGEIFS(SalesData[Unit Price],
               SalesData[Product Name],SalesData[[#This Row],[Product Name]]),
    SalesData[[#This Row],[Unit Price]])</f>
        <v>10</v>
      </c>
      <c r="M60" s="15">
        <v>3.75</v>
      </c>
      <c r="N60" s="15">
        <f>SalesData[[#This Row],[Quantity Sold]] * SalesData[[#This Row],[Cleaned Unit Price]]</f>
        <v>10</v>
      </c>
      <c r="O60" s="15">
        <f>SalesData[[#This Row],[Quantity Sold]] * SalesData[[#This Row],[Unit Cost]]</f>
        <v>3.75</v>
      </c>
      <c r="P60" s="15">
        <f>SalesData[[#This Row],[Revenue]] - SalesData[[#This Row],[Cost]]</f>
        <v>6.25</v>
      </c>
      <c r="Q60" s="13">
        <f>IF(SalesData[[#This Row],[Revenue]]=0,0,SalesData[[#This Row],[Profit]]/SalesData[[#This Row],[Revenue]])</f>
        <v>0.625</v>
      </c>
      <c r="R60" t="s">
        <v>1100</v>
      </c>
      <c r="S60" t="s">
        <v>1299</v>
      </c>
      <c r="T60" t="str">
        <f>PROPER(SalesData[[#This Row],[Customer Name]])</f>
        <v>Mia Miller</v>
      </c>
      <c r="U60" t="s">
        <v>1417</v>
      </c>
      <c r="V60" t="s">
        <v>1418</v>
      </c>
    </row>
    <row r="61" spans="1:22" x14ac:dyDescent="0.25">
      <c r="A61" t="s">
        <v>1487</v>
      </c>
      <c r="B61" s="5">
        <v>45309</v>
      </c>
      <c r="C61" s="2" t="str">
        <f>TEXT(SalesData[[#This Row],[Order Date]],"mmm")</f>
        <v>Jan</v>
      </c>
      <c r="D61" s="7">
        <f>MONTH(SalesData[[#This Row],[Order Date]])</f>
        <v>1</v>
      </c>
      <c r="E61" s="7">
        <f>YEAR(SalesData[[#This Row],[Order Date]])</f>
        <v>2024</v>
      </c>
      <c r="F61" t="s">
        <v>512</v>
      </c>
      <c r="G61" t="str">
        <f>PROPER(SalesData[[#This Row],[Product Name]])</f>
        <v>Eco Canvas Tote Bag</v>
      </c>
      <c r="H61" t="s">
        <v>1013</v>
      </c>
      <c r="I61" t="str">
        <f>UPPER(SalesData[[#This Row],[Product Category]])</f>
        <v>BAGS</v>
      </c>
      <c r="J61">
        <v>6</v>
      </c>
      <c r="K61">
        <v>25</v>
      </c>
      <c r="L61" s="15">
        <f>IF(SalesData[[#This Row],[Unit Price]]="",
    AVERAGEIFS(SalesData[Unit Price],
               SalesData[Product Name],SalesData[[#This Row],[Product Name]]),
    SalesData[[#This Row],[Unit Price]])</f>
        <v>25</v>
      </c>
      <c r="M61" s="15">
        <v>7.18</v>
      </c>
      <c r="N61" s="15">
        <f>SalesData[[#This Row],[Quantity Sold]] * SalesData[[#This Row],[Cleaned Unit Price]]</f>
        <v>150</v>
      </c>
      <c r="O61" s="15">
        <f>SalesData[[#This Row],[Quantity Sold]] * SalesData[[#This Row],[Unit Cost]]</f>
        <v>43.08</v>
      </c>
      <c r="P61" s="15">
        <f>SalesData[[#This Row],[Revenue]] - SalesData[[#This Row],[Cost]]</f>
        <v>106.92</v>
      </c>
      <c r="Q61" s="13">
        <f>IF(SalesData[[#This Row],[Revenue]]=0,0,SalesData[[#This Row],[Profit]]/SalesData[[#This Row],[Revenue]])</f>
        <v>0.71279999999999999</v>
      </c>
      <c r="R61" t="s">
        <v>1044</v>
      </c>
      <c r="S61" t="s">
        <v>1243</v>
      </c>
      <c r="T61" t="str">
        <f>PROPER(SalesData[[#This Row],[Customer Name]])</f>
        <v>Sophia Brown</v>
      </c>
      <c r="U61" t="s">
        <v>1414</v>
      </c>
      <c r="V61" t="s">
        <v>1425</v>
      </c>
    </row>
    <row r="62" spans="1:22" x14ac:dyDescent="0.25">
      <c r="A62" t="s">
        <v>1488</v>
      </c>
      <c r="B62" s="5">
        <v>45309</v>
      </c>
      <c r="C62" s="2" t="str">
        <f>TEXT(SalesData[[#This Row],[Order Date]],"mmm")</f>
        <v>Jan</v>
      </c>
      <c r="D62" s="7">
        <f>MONTH(SalesData[[#This Row],[Order Date]])</f>
        <v>1</v>
      </c>
      <c r="E62" s="7">
        <f>YEAR(SalesData[[#This Row],[Order Date]])</f>
        <v>2024</v>
      </c>
      <c r="F62" t="s">
        <v>883</v>
      </c>
      <c r="G62" t="str">
        <f>PROPER(SalesData[[#This Row],[Product Name]])</f>
        <v>Compostable Plant Pots</v>
      </c>
      <c r="H62" t="s">
        <v>1011</v>
      </c>
      <c r="I62" t="str">
        <f>UPPER(SalesData[[#This Row],[Product Category]])</f>
        <v>GARDENING</v>
      </c>
      <c r="J62">
        <v>3</v>
      </c>
      <c r="K62">
        <v>12</v>
      </c>
      <c r="L62" s="15">
        <f>IF(SalesData[[#This Row],[Unit Price]]="",
    AVERAGEIFS(SalesData[Unit Price],
               SalesData[Product Name],SalesData[[#This Row],[Product Name]]),
    SalesData[[#This Row],[Unit Price]])</f>
        <v>12</v>
      </c>
      <c r="M62" s="15">
        <v>4.53</v>
      </c>
      <c r="N62" s="15">
        <f>SalesData[[#This Row],[Quantity Sold]] * SalesData[[#This Row],[Cleaned Unit Price]]</f>
        <v>36</v>
      </c>
      <c r="O62" s="15">
        <f>SalesData[[#This Row],[Quantity Sold]] * SalesData[[#This Row],[Unit Cost]]</f>
        <v>13.59</v>
      </c>
      <c r="P62" s="15">
        <f>SalesData[[#This Row],[Revenue]] - SalesData[[#This Row],[Cost]]</f>
        <v>22.41</v>
      </c>
      <c r="Q62" s="13">
        <f>IF(SalesData[[#This Row],[Revenue]]=0,0,SalesData[[#This Row],[Profit]]/SalesData[[#This Row],[Revenue]])</f>
        <v>0.62250000000000005</v>
      </c>
      <c r="R62" t="s">
        <v>1167</v>
      </c>
      <c r="S62" t="s">
        <v>1366</v>
      </c>
      <c r="T62" t="str">
        <f>PROPER(SalesData[[#This Row],[Customer Name]])</f>
        <v>Aiden Jones</v>
      </c>
      <c r="U62" t="s">
        <v>1414</v>
      </c>
      <c r="V62" t="s">
        <v>1420</v>
      </c>
    </row>
    <row r="63" spans="1:22" x14ac:dyDescent="0.25">
      <c r="A63" t="s">
        <v>1489</v>
      </c>
      <c r="B63" s="5">
        <v>45310</v>
      </c>
      <c r="C63" s="2" t="str">
        <f>TEXT(SalesData[[#This Row],[Order Date]],"mmm")</f>
        <v>Jan</v>
      </c>
      <c r="D63" s="7">
        <f>MONTH(SalesData[[#This Row],[Order Date]])</f>
        <v>1</v>
      </c>
      <c r="E63" s="7">
        <f>YEAR(SalesData[[#This Row],[Order Date]])</f>
        <v>2024</v>
      </c>
      <c r="F63" t="s">
        <v>778</v>
      </c>
      <c r="G63" t="str">
        <f>PROPER(SalesData[[#This Row],[Product Name]])</f>
        <v>Biodegradable Cleaning Cloth</v>
      </c>
      <c r="H63" t="s">
        <v>1015</v>
      </c>
      <c r="I63" t="str">
        <f>UPPER(SalesData[[#This Row],[Product Category]])</f>
        <v>CLEANING</v>
      </c>
      <c r="J63">
        <v>2</v>
      </c>
      <c r="K63">
        <v>10</v>
      </c>
      <c r="L63" s="15">
        <f>IF(SalesData[[#This Row],[Unit Price]]="",
    AVERAGEIFS(SalesData[Unit Price],
               SalesData[Product Name],SalesData[[#This Row],[Product Name]]),
    SalesData[[#This Row],[Unit Price]])</f>
        <v>10</v>
      </c>
      <c r="M63" s="15">
        <v>3.53</v>
      </c>
      <c r="N63" s="15">
        <f>SalesData[[#This Row],[Quantity Sold]] * SalesData[[#This Row],[Cleaned Unit Price]]</f>
        <v>20</v>
      </c>
      <c r="O63" s="15">
        <f>SalesData[[#This Row],[Quantity Sold]] * SalesData[[#This Row],[Unit Cost]]</f>
        <v>7.06</v>
      </c>
      <c r="P63" s="15">
        <f>SalesData[[#This Row],[Revenue]] - SalesData[[#This Row],[Cost]]</f>
        <v>12.940000000000001</v>
      </c>
      <c r="Q63" s="13">
        <f>IF(SalesData[[#This Row],[Revenue]]=0,0,SalesData[[#This Row],[Profit]]/SalesData[[#This Row],[Revenue]])</f>
        <v>0.64700000000000002</v>
      </c>
      <c r="R63" t="s">
        <v>1161</v>
      </c>
      <c r="S63" t="s">
        <v>1360</v>
      </c>
      <c r="T63" t="str">
        <f>PROPER(SalesData[[#This Row],[Customer Name]])</f>
        <v>Elijah Davis</v>
      </c>
      <c r="U63" t="s">
        <v>1414</v>
      </c>
      <c r="V63" t="s">
        <v>1427</v>
      </c>
    </row>
    <row r="64" spans="1:22" x14ac:dyDescent="0.25">
      <c r="A64" t="s">
        <v>1490</v>
      </c>
      <c r="B64" s="5">
        <v>45310</v>
      </c>
      <c r="C64" s="2" t="str">
        <f>TEXT(SalesData[[#This Row],[Order Date]],"mmm")</f>
        <v>Jan</v>
      </c>
      <c r="D64" s="7">
        <f>MONTH(SalesData[[#This Row],[Order Date]])</f>
        <v>1</v>
      </c>
      <c r="E64" s="7">
        <f>YEAR(SalesData[[#This Row],[Order Date]])</f>
        <v>2024</v>
      </c>
      <c r="F64" t="s">
        <v>810</v>
      </c>
      <c r="G64" t="str">
        <f>PROPER(SalesData[[#This Row],[Product Name]])</f>
        <v>Biodegradable Cleaning Cloth</v>
      </c>
      <c r="H64" t="s">
        <v>1015</v>
      </c>
      <c r="I64" t="str">
        <f>UPPER(SalesData[[#This Row],[Product Category]])</f>
        <v>CLEANING</v>
      </c>
      <c r="J64">
        <v>6</v>
      </c>
      <c r="K64">
        <v>10</v>
      </c>
      <c r="L64" s="15">
        <f>IF(SalesData[[#This Row],[Unit Price]]="",
    AVERAGEIFS(SalesData[Unit Price],
               SalesData[Product Name],SalesData[[#This Row],[Product Name]]),
    SalesData[[#This Row],[Unit Price]])</f>
        <v>10</v>
      </c>
      <c r="M64" s="15">
        <v>2.13</v>
      </c>
      <c r="N64" s="15">
        <f>SalesData[[#This Row],[Quantity Sold]] * SalesData[[#This Row],[Cleaned Unit Price]]</f>
        <v>60</v>
      </c>
      <c r="O64" s="15">
        <f>SalesData[[#This Row],[Quantity Sold]] * SalesData[[#This Row],[Unit Cost]]</f>
        <v>12.78</v>
      </c>
      <c r="P64" s="15">
        <f>SalesData[[#This Row],[Revenue]] - SalesData[[#This Row],[Cost]]</f>
        <v>47.22</v>
      </c>
      <c r="Q64" s="13">
        <f>IF(SalesData[[#This Row],[Revenue]]=0,0,SalesData[[#This Row],[Profit]]/SalesData[[#This Row],[Revenue]])</f>
        <v>0.78700000000000003</v>
      </c>
      <c r="R64" t="s">
        <v>1110</v>
      </c>
      <c r="S64" t="s">
        <v>1309</v>
      </c>
      <c r="T64" t="str">
        <f>PROPER(SalesData[[#This Row],[Customer Name]])</f>
        <v>Sophia Martinez</v>
      </c>
      <c r="U64" t="s">
        <v>1414</v>
      </c>
      <c r="V64" t="s">
        <v>1422</v>
      </c>
    </row>
    <row r="65" spans="1:22" x14ac:dyDescent="0.25">
      <c r="A65" t="s">
        <v>1491</v>
      </c>
      <c r="B65" s="5">
        <v>45310</v>
      </c>
      <c r="C65" s="2" t="str">
        <f>TEXT(SalesData[[#This Row],[Order Date]],"mmm")</f>
        <v>Jan</v>
      </c>
      <c r="D65" s="7">
        <f>MONTH(SalesData[[#This Row],[Order Date]])</f>
        <v>1</v>
      </c>
      <c r="E65" s="7">
        <f>YEAR(SalesData[[#This Row],[Order Date]])</f>
        <v>2024</v>
      </c>
      <c r="F65" t="s">
        <v>873</v>
      </c>
      <c r="G65" t="str">
        <f>PROPER(SalesData[[#This Row],[Product Name]])</f>
        <v>Reusable Bamboo Utensil Set</v>
      </c>
      <c r="H65" t="s">
        <v>1014</v>
      </c>
      <c r="I65" t="str">
        <f>UPPER(SalesData[[#This Row],[Product Category]])</f>
        <v>KITCHENWARE</v>
      </c>
      <c r="J65">
        <v>3</v>
      </c>
      <c r="K65">
        <v>15</v>
      </c>
      <c r="L65" s="15">
        <f>IF(SalesData[[#This Row],[Unit Price]]="",
    AVERAGEIFS(SalesData[Unit Price],
               SalesData[Product Name],SalesData[[#This Row],[Product Name]]),
    SalesData[[#This Row],[Unit Price]])</f>
        <v>15</v>
      </c>
      <c r="M65" s="15">
        <v>3.45</v>
      </c>
      <c r="N65" s="15">
        <f>SalesData[[#This Row],[Quantity Sold]] * SalesData[[#This Row],[Cleaned Unit Price]]</f>
        <v>45</v>
      </c>
      <c r="O65" s="15">
        <f>SalesData[[#This Row],[Quantity Sold]] * SalesData[[#This Row],[Unit Cost]]</f>
        <v>10.350000000000001</v>
      </c>
      <c r="P65" s="15">
        <f>SalesData[[#This Row],[Revenue]] - SalesData[[#This Row],[Cost]]</f>
        <v>34.65</v>
      </c>
      <c r="Q65" s="13">
        <f>IF(SalesData[[#This Row],[Revenue]]=0,0,SalesData[[#This Row],[Profit]]/SalesData[[#This Row],[Revenue]])</f>
        <v>0.77</v>
      </c>
      <c r="R65" t="s">
        <v>1070</v>
      </c>
      <c r="S65" t="s">
        <v>1269</v>
      </c>
      <c r="T65" t="str">
        <f>PROPER(SalesData[[#This Row],[Customer Name]])</f>
        <v>Amelia Garcia</v>
      </c>
      <c r="U65" t="s">
        <v>1414</v>
      </c>
      <c r="V65" t="s">
        <v>1427</v>
      </c>
    </row>
    <row r="66" spans="1:22" x14ac:dyDescent="0.25">
      <c r="A66" t="s">
        <v>1492</v>
      </c>
      <c r="B66" s="5">
        <v>45311</v>
      </c>
      <c r="C66" s="2" t="str">
        <f>TEXT(SalesData[[#This Row],[Order Date]],"mmm")</f>
        <v>Jan</v>
      </c>
      <c r="D66" s="7">
        <f>MONTH(SalesData[[#This Row],[Order Date]])</f>
        <v>1</v>
      </c>
      <c r="E66" s="7">
        <f>YEAR(SalesData[[#This Row],[Order Date]])</f>
        <v>2024</v>
      </c>
      <c r="F66" t="s">
        <v>728</v>
      </c>
      <c r="G66" t="str">
        <f>PROPER(SalesData[[#This Row],[Product Name]])</f>
        <v>Reusable Bamboo Utensil Set</v>
      </c>
      <c r="H66" t="s">
        <v>1014</v>
      </c>
      <c r="I66" t="str">
        <f>UPPER(SalesData[[#This Row],[Product Category]])</f>
        <v>KITCHENWARE</v>
      </c>
      <c r="J66">
        <v>10</v>
      </c>
      <c r="K66">
        <v>15</v>
      </c>
      <c r="L66" s="15">
        <f>IF(SalesData[[#This Row],[Unit Price]]="",
    AVERAGEIFS(SalesData[Unit Price],
               SalesData[Product Name],SalesData[[#This Row],[Product Name]]),
    SalesData[[#This Row],[Unit Price]])</f>
        <v>15</v>
      </c>
      <c r="M66" s="15">
        <v>4.71</v>
      </c>
      <c r="N66" s="15">
        <f>SalesData[[#This Row],[Quantity Sold]] * SalesData[[#This Row],[Cleaned Unit Price]]</f>
        <v>150</v>
      </c>
      <c r="O66" s="15">
        <f>SalesData[[#This Row],[Quantity Sold]] * SalesData[[#This Row],[Unit Cost]]</f>
        <v>47.1</v>
      </c>
      <c r="P66" s="15">
        <f>SalesData[[#This Row],[Revenue]] - SalesData[[#This Row],[Cost]]</f>
        <v>102.9</v>
      </c>
      <c r="Q66" s="13">
        <f>IF(SalesData[[#This Row],[Revenue]]=0,0,SalesData[[#This Row],[Profit]]/SalesData[[#This Row],[Revenue]])</f>
        <v>0.68600000000000005</v>
      </c>
      <c r="R66" t="s">
        <v>1103</v>
      </c>
      <c r="S66" t="s">
        <v>1302</v>
      </c>
      <c r="T66" t="str">
        <f>PROPER(SalesData[[#This Row],[Customer Name]])</f>
        <v>Ava Rodriguez</v>
      </c>
      <c r="U66" t="s">
        <v>1414</v>
      </c>
      <c r="V66" t="s">
        <v>1418</v>
      </c>
    </row>
    <row r="67" spans="1:22" x14ac:dyDescent="0.25">
      <c r="A67" t="s">
        <v>1493</v>
      </c>
      <c r="B67" s="5">
        <v>45311</v>
      </c>
      <c r="C67" s="2" t="str">
        <f>TEXT(SalesData[[#This Row],[Order Date]],"mmm")</f>
        <v>Jan</v>
      </c>
      <c r="D67" s="7">
        <f>MONTH(SalesData[[#This Row],[Order Date]])</f>
        <v>1</v>
      </c>
      <c r="E67" s="7">
        <f>YEAR(SalesData[[#This Row],[Order Date]])</f>
        <v>2024</v>
      </c>
      <c r="F67" t="s">
        <v>748</v>
      </c>
      <c r="G67" t="str">
        <f>PROPER(SalesData[[#This Row],[Product Name]])</f>
        <v>Eco Canvas Tote Bag</v>
      </c>
      <c r="H67" t="s">
        <v>1013</v>
      </c>
      <c r="I67" t="str">
        <f>UPPER(SalesData[[#This Row],[Product Category]])</f>
        <v>BAGS</v>
      </c>
      <c r="J67">
        <v>3</v>
      </c>
      <c r="K67">
        <v>25</v>
      </c>
      <c r="L67" s="15">
        <f>IF(SalesData[[#This Row],[Unit Price]]="",
    AVERAGEIFS(SalesData[Unit Price],
               SalesData[Product Name],SalesData[[#This Row],[Product Name]]),
    SalesData[[#This Row],[Unit Price]])</f>
        <v>25</v>
      </c>
      <c r="M67" s="15">
        <v>5.42</v>
      </c>
      <c r="N67" s="15">
        <f>SalesData[[#This Row],[Quantity Sold]] * SalesData[[#This Row],[Cleaned Unit Price]]</f>
        <v>75</v>
      </c>
      <c r="O67" s="15">
        <f>SalesData[[#This Row],[Quantity Sold]] * SalesData[[#This Row],[Unit Cost]]</f>
        <v>16.259999999999998</v>
      </c>
      <c r="P67" s="15">
        <f>SalesData[[#This Row],[Revenue]] - SalesData[[#This Row],[Cost]]</f>
        <v>58.74</v>
      </c>
      <c r="Q67" s="13">
        <f>IF(SalesData[[#This Row],[Revenue]]=0,0,SalesData[[#This Row],[Profit]]/SalesData[[#This Row],[Revenue]])</f>
        <v>0.78320000000000001</v>
      </c>
      <c r="R67" t="s">
        <v>1050</v>
      </c>
      <c r="S67" t="s">
        <v>1249</v>
      </c>
      <c r="T67" t="str">
        <f>PROPER(SalesData[[#This Row],[Customer Name]])</f>
        <v>Charlotte Garcia</v>
      </c>
      <c r="U67" t="s">
        <v>1414</v>
      </c>
      <c r="V67" t="s">
        <v>1426</v>
      </c>
    </row>
    <row r="68" spans="1:22" x14ac:dyDescent="0.25">
      <c r="A68" t="s">
        <v>1494</v>
      </c>
      <c r="B68" s="5">
        <v>45311</v>
      </c>
      <c r="C68" s="2" t="str">
        <f>TEXT(SalesData[[#This Row],[Order Date]],"mmm")</f>
        <v>Jan</v>
      </c>
      <c r="D68" s="7">
        <f>MONTH(SalesData[[#This Row],[Order Date]])</f>
        <v>1</v>
      </c>
      <c r="E68" s="7">
        <f>YEAR(SalesData[[#This Row],[Order Date]])</f>
        <v>2024</v>
      </c>
      <c r="F68" t="s">
        <v>794</v>
      </c>
      <c r="G68" t="str">
        <f>PROPER(SalesData[[#This Row],[Product Name]])</f>
        <v>Reusable Bamboo Utensil Set</v>
      </c>
      <c r="H68" t="s">
        <v>1014</v>
      </c>
      <c r="I68" t="str">
        <f>UPPER(SalesData[[#This Row],[Product Category]])</f>
        <v>KITCHENWARE</v>
      </c>
      <c r="J68">
        <v>6</v>
      </c>
      <c r="K68">
        <v>15</v>
      </c>
      <c r="L68" s="15">
        <f>IF(SalesData[[#This Row],[Unit Price]]="",
    AVERAGEIFS(SalesData[Unit Price],
               SalesData[Product Name],SalesData[[#This Row],[Product Name]]),
    SalesData[[#This Row],[Unit Price]])</f>
        <v>15</v>
      </c>
      <c r="M68" s="15">
        <v>4.32</v>
      </c>
      <c r="N68" s="15">
        <f>SalesData[[#This Row],[Quantity Sold]] * SalesData[[#This Row],[Cleaned Unit Price]]</f>
        <v>90</v>
      </c>
      <c r="O68" s="15">
        <f>SalesData[[#This Row],[Quantity Sold]] * SalesData[[#This Row],[Unit Cost]]</f>
        <v>25.92</v>
      </c>
      <c r="P68" s="15">
        <f>SalesData[[#This Row],[Revenue]] - SalesData[[#This Row],[Cost]]</f>
        <v>64.08</v>
      </c>
      <c r="Q68" s="13">
        <f>IF(SalesData[[#This Row],[Revenue]]=0,0,SalesData[[#This Row],[Profit]]/SalesData[[#This Row],[Revenue]])</f>
        <v>0.71199999999999997</v>
      </c>
      <c r="R68" t="s">
        <v>1211</v>
      </c>
      <c r="S68" t="s">
        <v>1410</v>
      </c>
      <c r="T68" t="str">
        <f>PROPER(SalesData[[#This Row],[Customer Name]])</f>
        <v>Emma Davis</v>
      </c>
      <c r="U68" t="s">
        <v>1414</v>
      </c>
      <c r="V68" t="s">
        <v>1418</v>
      </c>
    </row>
    <row r="69" spans="1:22" x14ac:dyDescent="0.25">
      <c r="A69" t="s">
        <v>1495</v>
      </c>
      <c r="B69" s="5">
        <v>45312</v>
      </c>
      <c r="C69" s="2" t="str">
        <f>TEXT(SalesData[[#This Row],[Order Date]],"mmm")</f>
        <v>Jan</v>
      </c>
      <c r="D69" s="7">
        <f>MONTH(SalesData[[#This Row],[Order Date]])</f>
        <v>1</v>
      </c>
      <c r="E69" s="7">
        <f>YEAR(SalesData[[#This Row],[Order Date]])</f>
        <v>2024</v>
      </c>
      <c r="F69" t="s">
        <v>139</v>
      </c>
      <c r="G69" t="str">
        <f>PROPER(SalesData[[#This Row],[Product Name]])</f>
        <v>Solar Led Lantern</v>
      </c>
      <c r="H69" t="s">
        <v>1012</v>
      </c>
      <c r="I69" t="str">
        <f>UPPER(SalesData[[#This Row],[Product Category]])</f>
        <v>LIGHTING</v>
      </c>
      <c r="J69">
        <v>7</v>
      </c>
      <c r="K69">
        <v>40</v>
      </c>
      <c r="L69" s="15">
        <f>IF(SalesData[[#This Row],[Unit Price]]="",
    AVERAGEIFS(SalesData[Unit Price],
               SalesData[Product Name],SalesData[[#This Row],[Product Name]]),
    SalesData[[#This Row],[Unit Price]])</f>
        <v>40</v>
      </c>
      <c r="M69" s="15">
        <v>9.9700000000000006</v>
      </c>
      <c r="N69" s="15">
        <f>SalesData[[#This Row],[Quantity Sold]] * SalesData[[#This Row],[Cleaned Unit Price]]</f>
        <v>280</v>
      </c>
      <c r="O69" s="15">
        <f>SalesData[[#This Row],[Quantity Sold]] * SalesData[[#This Row],[Unit Cost]]</f>
        <v>69.790000000000006</v>
      </c>
      <c r="P69" s="15">
        <f>SalesData[[#This Row],[Revenue]] - SalesData[[#This Row],[Cost]]</f>
        <v>210.20999999999998</v>
      </c>
      <c r="Q69" s="13">
        <f>IF(SalesData[[#This Row],[Revenue]]=0,0,SalesData[[#This Row],[Profit]]/SalesData[[#This Row],[Revenue]])</f>
        <v>0.75074999999999992</v>
      </c>
      <c r="R69" t="s">
        <v>1114</v>
      </c>
      <c r="S69" t="s">
        <v>1313</v>
      </c>
      <c r="T69" t="str">
        <f>PROPER(SalesData[[#This Row],[Customer Name]])</f>
        <v>James Williams</v>
      </c>
      <c r="U69" t="s">
        <v>1414</v>
      </c>
      <c r="V69" t="s">
        <v>1421</v>
      </c>
    </row>
    <row r="70" spans="1:22" x14ac:dyDescent="0.25">
      <c r="A70" t="s">
        <v>1496</v>
      </c>
      <c r="B70" s="5">
        <v>45312</v>
      </c>
      <c r="C70" s="2" t="str">
        <f>TEXT(SalesData[[#This Row],[Order Date]],"mmm")</f>
        <v>Jan</v>
      </c>
      <c r="D70" s="7">
        <f>MONTH(SalesData[[#This Row],[Order Date]])</f>
        <v>1</v>
      </c>
      <c r="E70" s="7">
        <f>YEAR(SalesData[[#This Row],[Order Date]])</f>
        <v>2024</v>
      </c>
      <c r="F70" t="s">
        <v>154</v>
      </c>
      <c r="G70" t="str">
        <f>PROPER(SalesData[[#This Row],[Product Name]])</f>
        <v>Compostable Plant Pots</v>
      </c>
      <c r="H70" t="s">
        <v>1011</v>
      </c>
      <c r="I70" t="str">
        <f>UPPER(SalesData[[#This Row],[Product Category]])</f>
        <v>GARDENING</v>
      </c>
      <c r="J70">
        <v>1</v>
      </c>
      <c r="K70">
        <v>12</v>
      </c>
      <c r="L70" s="15">
        <f>IF(SalesData[[#This Row],[Unit Price]]="",
    AVERAGEIFS(SalesData[Unit Price],
               SalesData[Product Name],SalesData[[#This Row],[Product Name]]),
    SalesData[[#This Row],[Unit Price]])</f>
        <v>12</v>
      </c>
      <c r="M70" s="15">
        <v>3.78</v>
      </c>
      <c r="N70" s="15">
        <f>SalesData[[#This Row],[Quantity Sold]] * SalesData[[#This Row],[Cleaned Unit Price]]</f>
        <v>12</v>
      </c>
      <c r="O70" s="15">
        <f>SalesData[[#This Row],[Quantity Sold]] * SalesData[[#This Row],[Unit Cost]]</f>
        <v>3.78</v>
      </c>
      <c r="P70" s="15">
        <f>SalesData[[#This Row],[Revenue]] - SalesData[[#This Row],[Cost]]</f>
        <v>8.2200000000000006</v>
      </c>
      <c r="Q70" s="13">
        <f>IF(SalesData[[#This Row],[Revenue]]=0,0,SalesData[[#This Row],[Profit]]/SalesData[[#This Row],[Revenue]])</f>
        <v>0.68500000000000005</v>
      </c>
      <c r="R70" t="s">
        <v>1044</v>
      </c>
      <c r="S70" t="s">
        <v>1243</v>
      </c>
      <c r="T70" t="str">
        <f>PROPER(SalesData[[#This Row],[Customer Name]])</f>
        <v>Sophia Brown</v>
      </c>
      <c r="U70" t="s">
        <v>1414</v>
      </c>
      <c r="V70" t="s">
        <v>1421</v>
      </c>
    </row>
    <row r="71" spans="1:22" x14ac:dyDescent="0.25">
      <c r="A71" t="s">
        <v>1497</v>
      </c>
      <c r="B71" s="5">
        <v>45313</v>
      </c>
      <c r="C71" s="2" t="str">
        <f>TEXT(SalesData[[#This Row],[Order Date]],"mmm")</f>
        <v>Jan</v>
      </c>
      <c r="D71" s="7">
        <f>MONTH(SalesData[[#This Row],[Order Date]])</f>
        <v>1</v>
      </c>
      <c r="E71" s="7">
        <f>YEAR(SalesData[[#This Row],[Order Date]])</f>
        <v>2024</v>
      </c>
      <c r="F71" t="s">
        <v>463</v>
      </c>
      <c r="G71" t="str">
        <f>PROPER(SalesData[[#This Row],[Product Name]])</f>
        <v>Solar Led Lantern</v>
      </c>
      <c r="H71" t="s">
        <v>1012</v>
      </c>
      <c r="I71" t="str">
        <f>UPPER(SalesData[[#This Row],[Product Category]])</f>
        <v>LIGHTING</v>
      </c>
      <c r="J71">
        <v>2</v>
      </c>
      <c r="K71">
        <v>40</v>
      </c>
      <c r="L71" s="15">
        <f>IF(SalesData[[#This Row],[Unit Price]]="",
    AVERAGEIFS(SalesData[Unit Price],
               SalesData[Product Name],SalesData[[#This Row],[Product Name]]),
    SalesData[[#This Row],[Unit Price]])</f>
        <v>40</v>
      </c>
      <c r="M71" s="15">
        <v>8.1999999999999993</v>
      </c>
      <c r="N71" s="15">
        <f>SalesData[[#This Row],[Quantity Sold]] * SalesData[[#This Row],[Cleaned Unit Price]]</f>
        <v>80</v>
      </c>
      <c r="O71" s="15">
        <f>SalesData[[#This Row],[Quantity Sold]] * SalesData[[#This Row],[Unit Cost]]</f>
        <v>16.399999999999999</v>
      </c>
      <c r="P71" s="15">
        <f>SalesData[[#This Row],[Revenue]] - SalesData[[#This Row],[Cost]]</f>
        <v>63.6</v>
      </c>
      <c r="Q71" s="13">
        <f>IF(SalesData[[#This Row],[Revenue]]=0,0,SalesData[[#This Row],[Profit]]/SalesData[[#This Row],[Revenue]])</f>
        <v>0.79500000000000004</v>
      </c>
      <c r="R71" t="s">
        <v>1044</v>
      </c>
      <c r="S71" t="s">
        <v>1243</v>
      </c>
      <c r="T71" t="str">
        <f>PROPER(SalesData[[#This Row],[Customer Name]])</f>
        <v>Sophia Brown</v>
      </c>
      <c r="U71" t="s">
        <v>1414</v>
      </c>
      <c r="V71" t="s">
        <v>1421</v>
      </c>
    </row>
    <row r="72" spans="1:22" x14ac:dyDescent="0.25">
      <c r="A72" t="s">
        <v>1498</v>
      </c>
      <c r="B72" s="5">
        <v>45313</v>
      </c>
      <c r="C72" s="2" t="str">
        <f>TEXT(SalesData[[#This Row],[Order Date]],"mmm")</f>
        <v>Jan</v>
      </c>
      <c r="D72" s="7">
        <f>MONTH(SalesData[[#This Row],[Order Date]])</f>
        <v>1</v>
      </c>
      <c r="E72" s="7">
        <f>YEAR(SalesData[[#This Row],[Order Date]])</f>
        <v>2024</v>
      </c>
      <c r="F72" t="s">
        <v>544</v>
      </c>
      <c r="G72" t="str">
        <f>PROPER(SalesData[[#This Row],[Product Name]])</f>
        <v>Solar Led Lantern</v>
      </c>
      <c r="H72" t="s">
        <v>1012</v>
      </c>
      <c r="I72" t="str">
        <f>UPPER(SalesData[[#This Row],[Product Category]])</f>
        <v>LIGHTING</v>
      </c>
      <c r="J72">
        <v>2</v>
      </c>
      <c r="K72">
        <v>40</v>
      </c>
      <c r="L72" s="15">
        <f>IF(SalesData[[#This Row],[Unit Price]]="",
    AVERAGEIFS(SalesData[Unit Price],
               SalesData[Product Name],SalesData[[#This Row],[Product Name]]),
    SalesData[[#This Row],[Unit Price]])</f>
        <v>40</v>
      </c>
      <c r="M72" s="15">
        <v>9.2100000000000009</v>
      </c>
      <c r="N72" s="15">
        <f>SalesData[[#This Row],[Quantity Sold]] * SalesData[[#This Row],[Cleaned Unit Price]]</f>
        <v>80</v>
      </c>
      <c r="O72" s="15">
        <f>SalesData[[#This Row],[Quantity Sold]] * SalesData[[#This Row],[Unit Cost]]</f>
        <v>18.420000000000002</v>
      </c>
      <c r="P72" s="15">
        <f>SalesData[[#This Row],[Revenue]] - SalesData[[#This Row],[Cost]]</f>
        <v>61.58</v>
      </c>
      <c r="Q72" s="13">
        <f>IF(SalesData[[#This Row],[Revenue]]=0,0,SalesData[[#This Row],[Profit]]/SalesData[[#This Row],[Revenue]])</f>
        <v>0.76974999999999993</v>
      </c>
      <c r="R72" t="s">
        <v>1087</v>
      </c>
      <c r="S72" t="s">
        <v>1286</v>
      </c>
      <c r="T72" t="str">
        <f>PROPER(SalesData[[#This Row],[Customer Name]])</f>
        <v>Liam Smith</v>
      </c>
      <c r="U72" t="s">
        <v>1414</v>
      </c>
      <c r="V72" t="s">
        <v>1421</v>
      </c>
    </row>
    <row r="73" spans="1:22" x14ac:dyDescent="0.25">
      <c r="A73" t="s">
        <v>1499</v>
      </c>
      <c r="B73" s="5">
        <v>45313</v>
      </c>
      <c r="C73" s="2" t="str">
        <f>TEXT(SalesData[[#This Row],[Order Date]],"mmm")</f>
        <v>Jan</v>
      </c>
      <c r="D73" s="7">
        <f>MONTH(SalesData[[#This Row],[Order Date]])</f>
        <v>1</v>
      </c>
      <c r="E73" s="7">
        <f>YEAR(SalesData[[#This Row],[Order Date]])</f>
        <v>2024</v>
      </c>
      <c r="F73" t="s">
        <v>714</v>
      </c>
      <c r="G73" t="str">
        <f>PROPER(SalesData[[#This Row],[Product Name]])</f>
        <v>Reusable Bamboo Utensil Set</v>
      </c>
      <c r="H73" t="s">
        <v>1014</v>
      </c>
      <c r="I73" t="str">
        <f>UPPER(SalesData[[#This Row],[Product Category]])</f>
        <v>KITCHENWARE</v>
      </c>
      <c r="J73">
        <v>7</v>
      </c>
      <c r="K73">
        <v>15</v>
      </c>
      <c r="L73" s="15">
        <f>IF(SalesData[[#This Row],[Unit Price]]="",
    AVERAGEIFS(SalesData[Unit Price],
               SalesData[Product Name],SalesData[[#This Row],[Product Name]]),
    SalesData[[#This Row],[Unit Price]])</f>
        <v>15</v>
      </c>
      <c r="M73" s="15">
        <v>5.93</v>
      </c>
      <c r="N73" s="15">
        <f>SalesData[[#This Row],[Quantity Sold]] * SalesData[[#This Row],[Cleaned Unit Price]]</f>
        <v>105</v>
      </c>
      <c r="O73" s="15">
        <f>SalesData[[#This Row],[Quantity Sold]] * SalesData[[#This Row],[Unit Cost]]</f>
        <v>41.51</v>
      </c>
      <c r="P73" s="15">
        <f>SalesData[[#This Row],[Revenue]] - SalesData[[#This Row],[Cost]]</f>
        <v>63.49</v>
      </c>
      <c r="Q73" s="13">
        <f>IF(SalesData[[#This Row],[Revenue]]=0,0,SalesData[[#This Row],[Profit]]/SalesData[[#This Row],[Revenue]])</f>
        <v>0.60466666666666669</v>
      </c>
      <c r="R73" t="s">
        <v>1197</v>
      </c>
      <c r="S73" t="s">
        <v>1396</v>
      </c>
      <c r="T73" t="str">
        <f>PROPER(SalesData[[#This Row],[Customer Name]])</f>
        <v>Logan Smith</v>
      </c>
      <c r="U73" t="s">
        <v>1414</v>
      </c>
      <c r="V73" t="s">
        <v>1418</v>
      </c>
    </row>
    <row r="74" spans="1:22" x14ac:dyDescent="0.25">
      <c r="A74" t="s">
        <v>1500</v>
      </c>
      <c r="B74" s="5">
        <v>45313</v>
      </c>
      <c r="C74" s="2" t="str">
        <f>TEXT(SalesData[[#This Row],[Order Date]],"mmm")</f>
        <v>Jan</v>
      </c>
      <c r="D74" s="7">
        <f>MONTH(SalesData[[#This Row],[Order Date]])</f>
        <v>1</v>
      </c>
      <c r="E74" s="7">
        <f>YEAR(SalesData[[#This Row],[Order Date]])</f>
        <v>2024</v>
      </c>
      <c r="F74" t="s">
        <v>738</v>
      </c>
      <c r="G74" t="str">
        <f>PROPER(SalesData[[#This Row],[Product Name]])</f>
        <v>Reusable Bamboo Utensil Set</v>
      </c>
      <c r="H74" t="s">
        <v>1014</v>
      </c>
      <c r="I74" t="str">
        <f>UPPER(SalesData[[#This Row],[Product Category]])</f>
        <v>KITCHENWARE</v>
      </c>
      <c r="J74">
        <v>7</v>
      </c>
      <c r="K74">
        <v>15</v>
      </c>
      <c r="L74" s="15">
        <f>IF(SalesData[[#This Row],[Unit Price]]="",
    AVERAGEIFS(SalesData[Unit Price],
               SalesData[Product Name],SalesData[[#This Row],[Product Name]]),
    SalesData[[#This Row],[Unit Price]])</f>
        <v>15</v>
      </c>
      <c r="M74" s="15">
        <v>4.4800000000000004</v>
      </c>
      <c r="N74" s="15">
        <f>SalesData[[#This Row],[Quantity Sold]] * SalesData[[#This Row],[Cleaned Unit Price]]</f>
        <v>105</v>
      </c>
      <c r="O74" s="15">
        <f>SalesData[[#This Row],[Quantity Sold]] * SalesData[[#This Row],[Unit Cost]]</f>
        <v>31.360000000000003</v>
      </c>
      <c r="P74" s="15">
        <f>SalesData[[#This Row],[Revenue]] - SalesData[[#This Row],[Cost]]</f>
        <v>73.64</v>
      </c>
      <c r="Q74" s="13">
        <f>IF(SalesData[[#This Row],[Revenue]]=0,0,SalesData[[#This Row],[Profit]]/SalesData[[#This Row],[Revenue]])</f>
        <v>0.70133333333333336</v>
      </c>
      <c r="R74" t="s">
        <v>1206</v>
      </c>
      <c r="S74" t="s">
        <v>1405</v>
      </c>
      <c r="T74" t="str">
        <f>PROPER(SalesData[[#This Row],[Customer Name]])</f>
        <v>Isabella Rodriguez</v>
      </c>
      <c r="U74" t="s">
        <v>1414</v>
      </c>
      <c r="V74" t="s">
        <v>1425</v>
      </c>
    </row>
    <row r="75" spans="1:22" x14ac:dyDescent="0.25">
      <c r="A75" t="s">
        <v>1501</v>
      </c>
      <c r="B75" s="5">
        <v>45313</v>
      </c>
      <c r="C75" s="2" t="str">
        <f>TEXT(SalesData[[#This Row],[Order Date]],"mmm")</f>
        <v>Jan</v>
      </c>
      <c r="D75" s="7">
        <f>MONTH(SalesData[[#This Row],[Order Date]])</f>
        <v>1</v>
      </c>
      <c r="E75" s="7">
        <f>YEAR(SalesData[[#This Row],[Order Date]])</f>
        <v>2024</v>
      </c>
      <c r="F75" t="s">
        <v>834</v>
      </c>
      <c r="G75" t="str">
        <f>PROPER(SalesData[[#This Row],[Product Name]])</f>
        <v>Biodegradable Cleaning Cloth</v>
      </c>
      <c r="H75" t="s">
        <v>1015</v>
      </c>
      <c r="I75" t="str">
        <f>UPPER(SalesData[[#This Row],[Product Category]])</f>
        <v>CLEANING</v>
      </c>
      <c r="J75">
        <v>1</v>
      </c>
      <c r="K75">
        <v>10</v>
      </c>
      <c r="L75" s="15">
        <f>IF(SalesData[[#This Row],[Unit Price]]="",
    AVERAGEIFS(SalesData[Unit Price],
               SalesData[Product Name],SalesData[[#This Row],[Product Name]]),
    SalesData[[#This Row],[Unit Price]])</f>
        <v>10</v>
      </c>
      <c r="M75" s="15">
        <v>3.95</v>
      </c>
      <c r="N75" s="15">
        <f>SalesData[[#This Row],[Quantity Sold]] * SalesData[[#This Row],[Cleaned Unit Price]]</f>
        <v>10</v>
      </c>
      <c r="O75" s="15">
        <f>SalesData[[#This Row],[Quantity Sold]] * SalesData[[#This Row],[Unit Cost]]</f>
        <v>3.95</v>
      </c>
      <c r="P75" s="15">
        <f>SalesData[[#This Row],[Revenue]] - SalesData[[#This Row],[Cost]]</f>
        <v>6.05</v>
      </c>
      <c r="Q75" s="13">
        <f>IF(SalesData[[#This Row],[Revenue]]=0,0,SalesData[[#This Row],[Profit]]/SalesData[[#This Row],[Revenue]])</f>
        <v>0.60499999999999998</v>
      </c>
      <c r="R75" t="s">
        <v>1189</v>
      </c>
      <c r="S75" t="s">
        <v>1388</v>
      </c>
      <c r="T75" t="str">
        <f>PROPER(SalesData[[#This Row],[Customer Name]])</f>
        <v>Liam Garcia</v>
      </c>
      <c r="U75" t="s">
        <v>1414</v>
      </c>
      <c r="V75" t="s">
        <v>1422</v>
      </c>
    </row>
    <row r="76" spans="1:22" x14ac:dyDescent="0.25">
      <c r="A76" t="s">
        <v>1502</v>
      </c>
      <c r="B76" s="5">
        <v>45313</v>
      </c>
      <c r="C76" s="2" t="str">
        <f>TEXT(SalesData[[#This Row],[Order Date]],"mmm")</f>
        <v>Jan</v>
      </c>
      <c r="D76" s="7">
        <f>MONTH(SalesData[[#This Row],[Order Date]])</f>
        <v>1</v>
      </c>
      <c r="E76" s="7">
        <f>YEAR(SalesData[[#This Row],[Order Date]])</f>
        <v>2024</v>
      </c>
      <c r="F76" t="s">
        <v>941</v>
      </c>
      <c r="G76" t="str">
        <f>PROPER(SalesData[[#This Row],[Product Name]])</f>
        <v>Compostable Plant Pots</v>
      </c>
      <c r="H76" t="s">
        <v>1011</v>
      </c>
      <c r="I76" t="str">
        <f>UPPER(SalesData[[#This Row],[Product Category]])</f>
        <v>GARDENING</v>
      </c>
      <c r="J76">
        <v>1</v>
      </c>
      <c r="K76">
        <v>12</v>
      </c>
      <c r="L76" s="15">
        <f>IF(SalesData[[#This Row],[Unit Price]]="",
    AVERAGEIFS(SalesData[Unit Price],
               SalesData[Product Name],SalesData[[#This Row],[Product Name]]),
    SalesData[[#This Row],[Unit Price]])</f>
        <v>12</v>
      </c>
      <c r="M76" s="15">
        <v>4.5999999999999996</v>
      </c>
      <c r="N76" s="15">
        <f>SalesData[[#This Row],[Quantity Sold]] * SalesData[[#This Row],[Cleaned Unit Price]]</f>
        <v>12</v>
      </c>
      <c r="O76" s="15">
        <f>SalesData[[#This Row],[Quantity Sold]] * SalesData[[#This Row],[Unit Cost]]</f>
        <v>4.5999999999999996</v>
      </c>
      <c r="P76" s="15">
        <f>SalesData[[#This Row],[Revenue]] - SalesData[[#This Row],[Cost]]</f>
        <v>7.4</v>
      </c>
      <c r="Q76" s="13">
        <f>IF(SalesData[[#This Row],[Revenue]]=0,0,SalesData[[#This Row],[Profit]]/SalesData[[#This Row],[Revenue]])</f>
        <v>0.6166666666666667</v>
      </c>
      <c r="R76" t="s">
        <v>1136</v>
      </c>
      <c r="S76" t="s">
        <v>1335</v>
      </c>
      <c r="T76" t="str">
        <f>PROPER(SalesData[[#This Row],[Customer Name]])</f>
        <v>Logan Smith</v>
      </c>
      <c r="U76" t="s">
        <v>1414</v>
      </c>
      <c r="V76" t="s">
        <v>1421</v>
      </c>
    </row>
    <row r="77" spans="1:22" x14ac:dyDescent="0.25">
      <c r="A77" t="s">
        <v>1503</v>
      </c>
      <c r="B77" s="5">
        <v>45314</v>
      </c>
      <c r="C77" s="2" t="str">
        <f>TEXT(SalesData[[#This Row],[Order Date]],"mmm")</f>
        <v>Jan</v>
      </c>
      <c r="D77" s="7">
        <f>MONTH(SalesData[[#This Row],[Order Date]])</f>
        <v>1</v>
      </c>
      <c r="E77" s="7">
        <f>YEAR(SalesData[[#This Row],[Order Date]])</f>
        <v>2024</v>
      </c>
      <c r="F77" t="s">
        <v>74</v>
      </c>
      <c r="G77" t="str">
        <f>PROPER(SalesData[[#This Row],[Product Name]])</f>
        <v>Eco Canvas Tote Bag</v>
      </c>
      <c r="H77" t="s">
        <v>1013</v>
      </c>
      <c r="I77" t="str">
        <f>UPPER(SalesData[[#This Row],[Product Category]])</f>
        <v>BAGS</v>
      </c>
      <c r="J77">
        <v>4</v>
      </c>
      <c r="K77">
        <v>25</v>
      </c>
      <c r="L77" s="15">
        <f>IF(SalesData[[#This Row],[Unit Price]]="",
    AVERAGEIFS(SalesData[Unit Price],
               SalesData[Product Name],SalesData[[#This Row],[Product Name]]),
    SalesData[[#This Row],[Unit Price]])</f>
        <v>25</v>
      </c>
      <c r="M77" s="15">
        <v>8.75</v>
      </c>
      <c r="N77" s="15">
        <f>SalesData[[#This Row],[Quantity Sold]] * SalesData[[#This Row],[Cleaned Unit Price]]</f>
        <v>100</v>
      </c>
      <c r="O77" s="15">
        <f>SalesData[[#This Row],[Quantity Sold]] * SalesData[[#This Row],[Unit Cost]]</f>
        <v>35</v>
      </c>
      <c r="P77" s="15">
        <f>SalesData[[#This Row],[Revenue]] - SalesData[[#This Row],[Cost]]</f>
        <v>65</v>
      </c>
      <c r="Q77" s="13">
        <f>IF(SalesData[[#This Row],[Revenue]]=0,0,SalesData[[#This Row],[Profit]]/SalesData[[#This Row],[Revenue]])</f>
        <v>0.65</v>
      </c>
      <c r="R77" t="s">
        <v>1068</v>
      </c>
      <c r="S77" t="s">
        <v>1267</v>
      </c>
      <c r="T77" t="str">
        <f>PROPER(SalesData[[#This Row],[Customer Name]])</f>
        <v>Evelyn Martinez</v>
      </c>
      <c r="U77" t="s">
        <v>1414</v>
      </c>
      <c r="V77" t="s">
        <v>1424</v>
      </c>
    </row>
    <row r="78" spans="1:22" x14ac:dyDescent="0.25">
      <c r="A78" t="s">
        <v>1504</v>
      </c>
      <c r="B78" s="5">
        <v>45315</v>
      </c>
      <c r="C78" s="2" t="str">
        <f>TEXT(SalesData[[#This Row],[Order Date]],"mmm")</f>
        <v>Jan</v>
      </c>
      <c r="D78" s="7">
        <f>MONTH(SalesData[[#This Row],[Order Date]])</f>
        <v>1</v>
      </c>
      <c r="E78" s="7">
        <f>YEAR(SalesData[[#This Row],[Order Date]])</f>
        <v>2024</v>
      </c>
      <c r="F78" t="s">
        <v>85</v>
      </c>
      <c r="G78" t="str">
        <f>PROPER(SalesData[[#This Row],[Product Name]])</f>
        <v>Biodegradable Cleaning Cloth</v>
      </c>
      <c r="H78" t="s">
        <v>1015</v>
      </c>
      <c r="I78" t="str">
        <f>UPPER(SalesData[[#This Row],[Product Category]])</f>
        <v>CLEANING</v>
      </c>
      <c r="J78">
        <v>8</v>
      </c>
      <c r="K78">
        <v>10</v>
      </c>
      <c r="L78" s="15">
        <f>IF(SalesData[[#This Row],[Unit Price]]="",
    AVERAGEIFS(SalesData[Unit Price],
               SalesData[Product Name],SalesData[[#This Row],[Product Name]]),
    SalesData[[#This Row],[Unit Price]])</f>
        <v>10</v>
      </c>
      <c r="M78" s="15">
        <v>2.83</v>
      </c>
      <c r="N78" s="15">
        <f>SalesData[[#This Row],[Quantity Sold]] * SalesData[[#This Row],[Cleaned Unit Price]]</f>
        <v>80</v>
      </c>
      <c r="O78" s="15">
        <f>SalesData[[#This Row],[Quantity Sold]] * SalesData[[#This Row],[Unit Cost]]</f>
        <v>22.64</v>
      </c>
      <c r="P78" s="15">
        <f>SalesData[[#This Row],[Revenue]] - SalesData[[#This Row],[Cost]]</f>
        <v>57.36</v>
      </c>
      <c r="Q78" s="13">
        <f>IF(SalesData[[#This Row],[Revenue]]=0,0,SalesData[[#This Row],[Profit]]/SalesData[[#This Row],[Revenue]])</f>
        <v>0.71699999999999997</v>
      </c>
      <c r="R78" t="s">
        <v>1066</v>
      </c>
      <c r="S78" t="s">
        <v>1265</v>
      </c>
      <c r="T78" t="str">
        <f>PROPER(SalesData[[#This Row],[Customer Name]])</f>
        <v>Liam Rodriguez</v>
      </c>
      <c r="U78" t="s">
        <v>1415</v>
      </c>
      <c r="V78" t="s">
        <v>1418</v>
      </c>
    </row>
    <row r="79" spans="1:22" x14ac:dyDescent="0.25">
      <c r="A79" t="s">
        <v>1505</v>
      </c>
      <c r="B79" s="5">
        <v>45315</v>
      </c>
      <c r="C79" s="2" t="str">
        <f>TEXT(SalesData[[#This Row],[Order Date]],"mmm")</f>
        <v>Jan</v>
      </c>
      <c r="D79" s="7">
        <f>MONTH(SalesData[[#This Row],[Order Date]])</f>
        <v>1</v>
      </c>
      <c r="E79" s="7">
        <f>YEAR(SalesData[[#This Row],[Order Date]])</f>
        <v>2024</v>
      </c>
      <c r="F79" t="s">
        <v>415</v>
      </c>
      <c r="G79" t="str">
        <f>PROPER(SalesData[[#This Row],[Product Name]])</f>
        <v>Eco Canvas Tote Bag</v>
      </c>
      <c r="H79" t="s">
        <v>1013</v>
      </c>
      <c r="I79" t="str">
        <f>UPPER(SalesData[[#This Row],[Product Category]])</f>
        <v>BAGS</v>
      </c>
      <c r="J79">
        <v>8</v>
      </c>
      <c r="K79">
        <v>25</v>
      </c>
      <c r="L79" s="15">
        <f>IF(SalesData[[#This Row],[Unit Price]]="",
    AVERAGEIFS(SalesData[Unit Price],
               SalesData[Product Name],SalesData[[#This Row],[Product Name]]),
    SalesData[[#This Row],[Unit Price]])</f>
        <v>25</v>
      </c>
      <c r="M79" s="15">
        <v>5.86</v>
      </c>
      <c r="N79" s="15">
        <f>SalesData[[#This Row],[Quantity Sold]] * SalesData[[#This Row],[Cleaned Unit Price]]</f>
        <v>200</v>
      </c>
      <c r="O79" s="15">
        <f>SalesData[[#This Row],[Quantity Sold]] * SalesData[[#This Row],[Unit Cost]]</f>
        <v>46.88</v>
      </c>
      <c r="P79" s="15">
        <f>SalesData[[#This Row],[Revenue]] - SalesData[[#This Row],[Cost]]</f>
        <v>153.12</v>
      </c>
      <c r="Q79" s="13">
        <f>IF(SalesData[[#This Row],[Revenue]]=0,0,SalesData[[#This Row],[Profit]]/SalesData[[#This Row],[Revenue]])</f>
        <v>0.76560000000000006</v>
      </c>
      <c r="R79" t="s">
        <v>1128</v>
      </c>
      <c r="S79" t="s">
        <v>1327</v>
      </c>
      <c r="T79" t="str">
        <f>PROPER(SalesData[[#This Row],[Customer Name]])</f>
        <v>Ethan Williams</v>
      </c>
      <c r="U79" t="s">
        <v>1414</v>
      </c>
      <c r="V79" t="s">
        <v>1422</v>
      </c>
    </row>
    <row r="80" spans="1:22" x14ac:dyDescent="0.25">
      <c r="A80" t="s">
        <v>1506</v>
      </c>
      <c r="B80" s="5">
        <v>45315</v>
      </c>
      <c r="C80" s="2" t="str">
        <f>TEXT(SalesData[[#This Row],[Order Date]],"mmm")</f>
        <v>Jan</v>
      </c>
      <c r="D80" s="7">
        <f>MONTH(SalesData[[#This Row],[Order Date]])</f>
        <v>1</v>
      </c>
      <c r="E80" s="7">
        <f>YEAR(SalesData[[#This Row],[Order Date]])</f>
        <v>2024</v>
      </c>
      <c r="F80" t="s">
        <v>954</v>
      </c>
      <c r="G80" t="str">
        <f>PROPER(SalesData[[#This Row],[Product Name]])</f>
        <v>Eco Canvas Tote Bag</v>
      </c>
      <c r="H80" t="s">
        <v>1013</v>
      </c>
      <c r="I80" t="str">
        <f>UPPER(SalesData[[#This Row],[Product Category]])</f>
        <v>BAGS</v>
      </c>
      <c r="J80">
        <v>4</v>
      </c>
      <c r="K80">
        <v>25</v>
      </c>
      <c r="L80" s="15">
        <f>IF(SalesData[[#This Row],[Unit Price]]="",
    AVERAGEIFS(SalesData[Unit Price],
               SalesData[Product Name],SalesData[[#This Row],[Product Name]]),
    SalesData[[#This Row],[Unit Price]])</f>
        <v>25</v>
      </c>
      <c r="M80" s="15">
        <v>9.89</v>
      </c>
      <c r="N80" s="15">
        <f>SalesData[[#This Row],[Quantity Sold]] * SalesData[[#This Row],[Cleaned Unit Price]]</f>
        <v>100</v>
      </c>
      <c r="O80" s="15">
        <f>SalesData[[#This Row],[Quantity Sold]] * SalesData[[#This Row],[Unit Cost]]</f>
        <v>39.56</v>
      </c>
      <c r="P80" s="15">
        <f>SalesData[[#This Row],[Revenue]] - SalesData[[#This Row],[Cost]]</f>
        <v>60.44</v>
      </c>
      <c r="Q80" s="13">
        <f>IF(SalesData[[#This Row],[Revenue]]=0,0,SalesData[[#This Row],[Profit]]/SalesData[[#This Row],[Revenue]])</f>
        <v>0.60439999999999994</v>
      </c>
      <c r="R80" t="s">
        <v>1095</v>
      </c>
      <c r="S80" t="s">
        <v>1294</v>
      </c>
      <c r="T80" t="str">
        <f>PROPER(SalesData[[#This Row],[Customer Name]])</f>
        <v>Evelyn Miller</v>
      </c>
      <c r="U80" t="s">
        <v>1414</v>
      </c>
      <c r="V80" t="s">
        <v>1426</v>
      </c>
    </row>
    <row r="81" spans="1:22" x14ac:dyDescent="0.25">
      <c r="A81" t="s">
        <v>1507</v>
      </c>
      <c r="B81" s="5">
        <v>45316</v>
      </c>
      <c r="C81" s="2" t="str">
        <f>TEXT(SalesData[[#This Row],[Order Date]],"mmm")</f>
        <v>Jan</v>
      </c>
      <c r="D81" s="7">
        <f>MONTH(SalesData[[#This Row],[Order Date]])</f>
        <v>1</v>
      </c>
      <c r="E81" s="7">
        <f>YEAR(SalesData[[#This Row],[Order Date]])</f>
        <v>2024</v>
      </c>
      <c r="F81" t="s">
        <v>480</v>
      </c>
      <c r="G81" t="str">
        <f>PROPER(SalesData[[#This Row],[Product Name]])</f>
        <v>Solar Led Lantern</v>
      </c>
      <c r="H81" t="s">
        <v>1012</v>
      </c>
      <c r="I81" t="str">
        <f>UPPER(SalesData[[#This Row],[Product Category]])</f>
        <v>LIGHTING</v>
      </c>
      <c r="J81">
        <v>5</v>
      </c>
      <c r="K81">
        <v>40</v>
      </c>
      <c r="L81" s="15">
        <f>IF(SalesData[[#This Row],[Unit Price]]="",
    AVERAGEIFS(SalesData[Unit Price],
               SalesData[Product Name],SalesData[[#This Row],[Product Name]]),
    SalesData[[#This Row],[Unit Price]])</f>
        <v>40</v>
      </c>
      <c r="M81" s="15">
        <v>10.28</v>
      </c>
      <c r="N81" s="15">
        <f>SalesData[[#This Row],[Quantity Sold]] * SalesData[[#This Row],[Cleaned Unit Price]]</f>
        <v>200</v>
      </c>
      <c r="O81" s="15">
        <f>SalesData[[#This Row],[Quantity Sold]] * SalesData[[#This Row],[Unit Cost]]</f>
        <v>51.4</v>
      </c>
      <c r="P81" s="15">
        <f>SalesData[[#This Row],[Revenue]] - SalesData[[#This Row],[Cost]]</f>
        <v>148.6</v>
      </c>
      <c r="Q81" s="13">
        <f>IF(SalesData[[#This Row],[Revenue]]=0,0,SalesData[[#This Row],[Profit]]/SalesData[[#This Row],[Revenue]])</f>
        <v>0.74299999999999999</v>
      </c>
      <c r="R81" t="s">
        <v>1076</v>
      </c>
      <c r="S81" t="s">
        <v>1275</v>
      </c>
      <c r="T81" t="str">
        <f>PROPER(SalesData[[#This Row],[Customer Name]])</f>
        <v>Harper Smith</v>
      </c>
      <c r="U81" t="s">
        <v>1414</v>
      </c>
      <c r="V81" t="s">
        <v>1424</v>
      </c>
    </row>
    <row r="82" spans="1:22" x14ac:dyDescent="0.25">
      <c r="A82" t="s">
        <v>1508</v>
      </c>
      <c r="B82" s="5">
        <v>45317</v>
      </c>
      <c r="C82" s="2" t="str">
        <f>TEXT(SalesData[[#This Row],[Order Date]],"mmm")</f>
        <v>Jan</v>
      </c>
      <c r="D82" s="7">
        <f>MONTH(SalesData[[#This Row],[Order Date]])</f>
        <v>1</v>
      </c>
      <c r="E82" s="7">
        <f>YEAR(SalesData[[#This Row],[Order Date]])</f>
        <v>2024</v>
      </c>
      <c r="F82" t="s">
        <v>491</v>
      </c>
      <c r="G82" t="str">
        <f>PROPER(SalesData[[#This Row],[Product Name]])</f>
        <v>Reusable Bamboo Utensil Set</v>
      </c>
      <c r="H82" t="s">
        <v>1014</v>
      </c>
      <c r="I82" t="str">
        <f>UPPER(SalesData[[#This Row],[Product Category]])</f>
        <v>KITCHENWARE</v>
      </c>
      <c r="J82">
        <v>7</v>
      </c>
      <c r="K82">
        <v>15</v>
      </c>
      <c r="L82" s="15">
        <f>IF(SalesData[[#This Row],[Unit Price]]="",
    AVERAGEIFS(SalesData[Unit Price],
               SalesData[Product Name],SalesData[[#This Row],[Product Name]]),
    SalesData[[#This Row],[Unit Price]])</f>
        <v>15</v>
      </c>
      <c r="M82" s="15">
        <v>5.82</v>
      </c>
      <c r="N82" s="15">
        <f>SalesData[[#This Row],[Quantity Sold]] * SalesData[[#This Row],[Cleaned Unit Price]]</f>
        <v>105</v>
      </c>
      <c r="O82" s="15">
        <f>SalesData[[#This Row],[Quantity Sold]] * SalesData[[#This Row],[Unit Cost]]</f>
        <v>40.74</v>
      </c>
      <c r="P82" s="15">
        <f>SalesData[[#This Row],[Revenue]] - SalesData[[#This Row],[Cost]]</f>
        <v>64.259999999999991</v>
      </c>
      <c r="Q82" s="13">
        <f>IF(SalesData[[#This Row],[Revenue]]=0,0,SalesData[[#This Row],[Profit]]/SalesData[[#This Row],[Revenue]])</f>
        <v>0.61199999999999988</v>
      </c>
      <c r="R82" t="s">
        <v>1070</v>
      </c>
      <c r="S82" t="s">
        <v>1269</v>
      </c>
      <c r="T82" t="str">
        <f>PROPER(SalesData[[#This Row],[Customer Name]])</f>
        <v>Amelia Garcia</v>
      </c>
      <c r="U82" t="s">
        <v>1417</v>
      </c>
      <c r="V82" t="s">
        <v>1421</v>
      </c>
    </row>
    <row r="83" spans="1:22" x14ac:dyDescent="0.25">
      <c r="A83" t="s">
        <v>1509</v>
      </c>
      <c r="B83" s="5">
        <v>45317</v>
      </c>
      <c r="C83" s="2" t="str">
        <f>TEXT(SalesData[[#This Row],[Order Date]],"mmm")</f>
        <v>Jan</v>
      </c>
      <c r="D83" s="7">
        <f>MONTH(SalesData[[#This Row],[Order Date]])</f>
        <v>1</v>
      </c>
      <c r="E83" s="7">
        <f>YEAR(SalesData[[#This Row],[Order Date]])</f>
        <v>2024</v>
      </c>
      <c r="F83" t="s">
        <v>623</v>
      </c>
      <c r="G83" t="str">
        <f>PROPER(SalesData[[#This Row],[Product Name]])</f>
        <v>Biodegradable Cleaning Cloth</v>
      </c>
      <c r="H83" t="s">
        <v>1015</v>
      </c>
      <c r="I83" t="str">
        <f>UPPER(SalesData[[#This Row],[Product Category]])</f>
        <v>CLEANING</v>
      </c>
      <c r="J83">
        <v>9</v>
      </c>
      <c r="K83">
        <v>10</v>
      </c>
      <c r="L83" s="15">
        <f>IF(SalesData[[#This Row],[Unit Price]]="",
    AVERAGEIFS(SalesData[Unit Price],
               SalesData[Product Name],SalesData[[#This Row],[Product Name]]),
    SalesData[[#This Row],[Unit Price]])</f>
        <v>10</v>
      </c>
      <c r="M83" s="15">
        <v>3.04</v>
      </c>
      <c r="N83" s="15">
        <f>SalesData[[#This Row],[Quantity Sold]] * SalesData[[#This Row],[Cleaned Unit Price]]</f>
        <v>90</v>
      </c>
      <c r="O83" s="15">
        <f>SalesData[[#This Row],[Quantity Sold]] * SalesData[[#This Row],[Unit Cost]]</f>
        <v>27.36</v>
      </c>
      <c r="P83" s="15">
        <f>SalesData[[#This Row],[Revenue]] - SalesData[[#This Row],[Cost]]</f>
        <v>62.64</v>
      </c>
      <c r="Q83" s="13">
        <f>IF(SalesData[[#This Row],[Revenue]]=0,0,SalesData[[#This Row],[Profit]]/SalesData[[#This Row],[Revenue]])</f>
        <v>0.69599999999999995</v>
      </c>
      <c r="R83" t="s">
        <v>1133</v>
      </c>
      <c r="S83" t="s">
        <v>1332</v>
      </c>
      <c r="T83" t="str">
        <f>PROPER(SalesData[[#This Row],[Customer Name]])</f>
        <v>Charlotte Garcia</v>
      </c>
      <c r="U83" t="s">
        <v>1414</v>
      </c>
      <c r="V83" t="s">
        <v>1427</v>
      </c>
    </row>
    <row r="84" spans="1:22" x14ac:dyDescent="0.25">
      <c r="A84" t="s">
        <v>1510</v>
      </c>
      <c r="B84" s="5">
        <v>45317</v>
      </c>
      <c r="C84" s="2" t="str">
        <f>TEXT(SalesData[[#This Row],[Order Date]],"mmm")</f>
        <v>Jan</v>
      </c>
      <c r="D84" s="7">
        <f>MONTH(SalesData[[#This Row],[Order Date]])</f>
        <v>1</v>
      </c>
      <c r="E84" s="7">
        <f>YEAR(SalesData[[#This Row],[Order Date]])</f>
        <v>2024</v>
      </c>
      <c r="F84" t="s">
        <v>635</v>
      </c>
      <c r="G84" t="str">
        <f>PROPER(SalesData[[#This Row],[Product Name]])</f>
        <v>Biodegradable Cleaning Cloth</v>
      </c>
      <c r="H84" t="s">
        <v>1015</v>
      </c>
      <c r="I84" t="str">
        <f>UPPER(SalesData[[#This Row],[Product Category]])</f>
        <v>CLEANING</v>
      </c>
      <c r="J84">
        <v>7</v>
      </c>
      <c r="L84" s="15">
        <f>IF(SalesData[[#This Row],[Unit Price]]="",
    AVERAGEIFS(SalesData[Unit Price],
               SalesData[Product Name],SalesData[[#This Row],[Product Name]]),
    SalesData[[#This Row],[Unit Price]])</f>
        <v>10</v>
      </c>
      <c r="M84" s="15">
        <v>2.2400000000000002</v>
      </c>
      <c r="N84" s="15">
        <f>SalesData[[#This Row],[Quantity Sold]] * SalesData[[#This Row],[Cleaned Unit Price]]</f>
        <v>70</v>
      </c>
      <c r="O84" s="15">
        <f>SalesData[[#This Row],[Quantity Sold]] * SalesData[[#This Row],[Unit Cost]]</f>
        <v>15.680000000000001</v>
      </c>
      <c r="P84" s="15">
        <f>SalesData[[#This Row],[Revenue]] - SalesData[[#This Row],[Cost]]</f>
        <v>54.32</v>
      </c>
      <c r="Q84" s="13">
        <f>IF(SalesData[[#This Row],[Revenue]]=0,0,SalesData[[#This Row],[Profit]]/SalesData[[#This Row],[Revenue]])</f>
        <v>0.77600000000000002</v>
      </c>
      <c r="R84" t="s">
        <v>1190</v>
      </c>
      <c r="S84" t="s">
        <v>1389</v>
      </c>
      <c r="T84" t="str">
        <f>PROPER(SalesData[[#This Row],[Customer Name]])</f>
        <v>James Garcia</v>
      </c>
      <c r="U84" t="s">
        <v>1414</v>
      </c>
      <c r="V84" t="s">
        <v>1427</v>
      </c>
    </row>
    <row r="85" spans="1:22" x14ac:dyDescent="0.25">
      <c r="A85" t="s">
        <v>1511</v>
      </c>
      <c r="B85" s="5">
        <v>45318</v>
      </c>
      <c r="C85" s="2" t="str">
        <f>TEXT(SalesData[[#This Row],[Order Date]],"mmm")</f>
        <v>Jan</v>
      </c>
      <c r="D85" s="7">
        <f>MONTH(SalesData[[#This Row],[Order Date]])</f>
        <v>1</v>
      </c>
      <c r="E85" s="7">
        <f>YEAR(SalesData[[#This Row],[Order Date]])</f>
        <v>2024</v>
      </c>
      <c r="F85" t="s">
        <v>65</v>
      </c>
      <c r="G85" t="str">
        <f>PROPER(SalesData[[#This Row],[Product Name]])</f>
        <v>Eco Canvas Tote Bag</v>
      </c>
      <c r="H85" t="s">
        <v>1013</v>
      </c>
      <c r="I85" t="str">
        <f>UPPER(SalesData[[#This Row],[Product Category]])</f>
        <v>BAGS</v>
      </c>
      <c r="J85">
        <v>2</v>
      </c>
      <c r="K85">
        <v>25</v>
      </c>
      <c r="L85" s="15">
        <f>IF(SalesData[[#This Row],[Unit Price]]="",
    AVERAGEIFS(SalesData[Unit Price],
               SalesData[Product Name],SalesData[[#This Row],[Product Name]]),
    SalesData[[#This Row],[Unit Price]])</f>
        <v>25</v>
      </c>
      <c r="M85" s="15">
        <v>6.69</v>
      </c>
      <c r="N85" s="15">
        <f>SalesData[[#This Row],[Quantity Sold]] * SalesData[[#This Row],[Cleaned Unit Price]]</f>
        <v>50</v>
      </c>
      <c r="O85" s="15">
        <f>SalesData[[#This Row],[Quantity Sold]] * SalesData[[#This Row],[Unit Cost]]</f>
        <v>13.38</v>
      </c>
      <c r="P85" s="15">
        <f>SalesData[[#This Row],[Revenue]] - SalesData[[#This Row],[Cost]]</f>
        <v>36.619999999999997</v>
      </c>
      <c r="Q85" s="13">
        <f>IF(SalesData[[#This Row],[Revenue]]=0,0,SalesData[[#This Row],[Profit]]/SalesData[[#This Row],[Revenue]])</f>
        <v>0.73239999999999994</v>
      </c>
      <c r="R85" t="s">
        <v>1048</v>
      </c>
      <c r="S85" t="s">
        <v>1247</v>
      </c>
      <c r="T85" t="str">
        <f>PROPER(SalesData[[#This Row],[Customer Name]])</f>
        <v>Mason Davis</v>
      </c>
      <c r="U85" t="s">
        <v>1414</v>
      </c>
      <c r="V85" t="s">
        <v>1427</v>
      </c>
    </row>
    <row r="86" spans="1:22" x14ac:dyDescent="0.25">
      <c r="A86" t="s">
        <v>1512</v>
      </c>
      <c r="B86" s="5">
        <v>45318</v>
      </c>
      <c r="C86" s="2" t="str">
        <f>TEXT(SalesData[[#This Row],[Order Date]],"mmm")</f>
        <v>Jan</v>
      </c>
      <c r="D86" s="7">
        <f>MONTH(SalesData[[#This Row],[Order Date]])</f>
        <v>1</v>
      </c>
      <c r="E86" s="7">
        <f>YEAR(SalesData[[#This Row],[Order Date]])</f>
        <v>2024</v>
      </c>
      <c r="F86" t="s">
        <v>111</v>
      </c>
      <c r="G86" t="str">
        <f>PROPER(SalesData[[#This Row],[Product Name]])</f>
        <v>Reusable Bamboo Utensil Set</v>
      </c>
      <c r="H86" t="s">
        <v>1014</v>
      </c>
      <c r="I86" t="str">
        <f>UPPER(SalesData[[#This Row],[Product Category]])</f>
        <v>KITCHENWARE</v>
      </c>
      <c r="J86">
        <v>9</v>
      </c>
      <c r="K86">
        <v>15</v>
      </c>
      <c r="L86" s="15">
        <f>IF(SalesData[[#This Row],[Unit Price]]="",
    AVERAGEIFS(SalesData[Unit Price],
               SalesData[Product Name],SalesData[[#This Row],[Product Name]]),
    SalesData[[#This Row],[Unit Price]])</f>
        <v>15</v>
      </c>
      <c r="M86" s="15">
        <v>3.37</v>
      </c>
      <c r="N86" s="15">
        <f>SalesData[[#This Row],[Quantity Sold]] * SalesData[[#This Row],[Cleaned Unit Price]]</f>
        <v>135</v>
      </c>
      <c r="O86" s="15">
        <f>SalesData[[#This Row],[Quantity Sold]] * SalesData[[#This Row],[Unit Cost]]</f>
        <v>30.330000000000002</v>
      </c>
      <c r="P86" s="15">
        <f>SalesData[[#This Row],[Revenue]] - SalesData[[#This Row],[Cost]]</f>
        <v>104.67</v>
      </c>
      <c r="Q86" s="13">
        <f>IF(SalesData[[#This Row],[Revenue]]=0,0,SalesData[[#This Row],[Profit]]/SalesData[[#This Row],[Revenue]])</f>
        <v>0.77533333333333332</v>
      </c>
      <c r="R86" t="s">
        <v>1093</v>
      </c>
      <c r="S86" t="s">
        <v>1292</v>
      </c>
      <c r="T86" t="str">
        <f>PROPER(SalesData[[#This Row],[Customer Name]])</f>
        <v>Ava Miller</v>
      </c>
      <c r="U86" t="s">
        <v>1414</v>
      </c>
      <c r="V86" t="s">
        <v>1418</v>
      </c>
    </row>
    <row r="87" spans="1:22" x14ac:dyDescent="0.25">
      <c r="A87" t="s">
        <v>1513</v>
      </c>
      <c r="B87" s="5">
        <v>45318</v>
      </c>
      <c r="C87" s="2" t="str">
        <f>TEXT(SalesData[[#This Row],[Order Date]],"mmm")</f>
        <v>Jan</v>
      </c>
      <c r="D87" s="7">
        <f>MONTH(SalesData[[#This Row],[Order Date]])</f>
        <v>1</v>
      </c>
      <c r="E87" s="7">
        <f>YEAR(SalesData[[#This Row],[Order Date]])</f>
        <v>2024</v>
      </c>
      <c r="F87" t="s">
        <v>182</v>
      </c>
      <c r="G87" t="str">
        <f>PROPER(SalesData[[#This Row],[Product Name]])</f>
        <v>Eco Canvas Tote Bag</v>
      </c>
      <c r="H87" t="s">
        <v>1013</v>
      </c>
      <c r="I87" t="str">
        <f>UPPER(SalesData[[#This Row],[Product Category]])</f>
        <v>BAGS</v>
      </c>
      <c r="J87">
        <v>4</v>
      </c>
      <c r="K87">
        <v>25</v>
      </c>
      <c r="L87" s="15">
        <f>IF(SalesData[[#This Row],[Unit Price]]="",
    AVERAGEIFS(SalesData[Unit Price],
               SalesData[Product Name],SalesData[[#This Row],[Product Name]]),
    SalesData[[#This Row],[Unit Price]])</f>
        <v>25</v>
      </c>
      <c r="M87" s="15">
        <v>8.91</v>
      </c>
      <c r="N87" s="15">
        <f>SalesData[[#This Row],[Quantity Sold]] * SalesData[[#This Row],[Cleaned Unit Price]]</f>
        <v>100</v>
      </c>
      <c r="O87" s="15">
        <f>SalesData[[#This Row],[Quantity Sold]] * SalesData[[#This Row],[Unit Cost]]</f>
        <v>35.64</v>
      </c>
      <c r="P87" s="15">
        <f>SalesData[[#This Row],[Revenue]] - SalesData[[#This Row],[Cost]]</f>
        <v>64.36</v>
      </c>
      <c r="Q87" s="13">
        <f>IF(SalesData[[#This Row],[Revenue]]=0,0,SalesData[[#This Row],[Profit]]/SalesData[[#This Row],[Revenue]])</f>
        <v>0.64359999999999995</v>
      </c>
      <c r="R87" t="s">
        <v>1132</v>
      </c>
      <c r="S87" t="s">
        <v>1331</v>
      </c>
      <c r="T87" t="str">
        <f>PROPER(SalesData[[#This Row],[Customer Name]])</f>
        <v>Isabella Rodriguez</v>
      </c>
      <c r="U87" t="s">
        <v>1417</v>
      </c>
      <c r="V87" t="s">
        <v>1421</v>
      </c>
    </row>
    <row r="88" spans="1:22" x14ac:dyDescent="0.25">
      <c r="A88" t="s">
        <v>1514</v>
      </c>
      <c r="B88" s="5">
        <v>45318</v>
      </c>
      <c r="C88" s="2" t="str">
        <f>TEXT(SalesData[[#This Row],[Order Date]],"mmm")</f>
        <v>Jan</v>
      </c>
      <c r="D88" s="7">
        <f>MONTH(SalesData[[#This Row],[Order Date]])</f>
        <v>1</v>
      </c>
      <c r="E88" s="7">
        <f>YEAR(SalesData[[#This Row],[Order Date]])</f>
        <v>2024</v>
      </c>
      <c r="F88" t="s">
        <v>391</v>
      </c>
      <c r="G88" t="str">
        <f>PROPER(SalesData[[#This Row],[Product Name]])</f>
        <v>Compostable Plant Pots</v>
      </c>
      <c r="H88" t="s">
        <v>1011</v>
      </c>
      <c r="I88" t="str">
        <f>UPPER(SalesData[[#This Row],[Product Category]])</f>
        <v>GARDENING</v>
      </c>
      <c r="J88">
        <v>1</v>
      </c>
      <c r="K88">
        <v>12</v>
      </c>
      <c r="L88" s="15">
        <f>IF(SalesData[[#This Row],[Unit Price]]="",
    AVERAGEIFS(SalesData[Unit Price],
               SalesData[Product Name],SalesData[[#This Row],[Product Name]]),
    SalesData[[#This Row],[Unit Price]])</f>
        <v>12</v>
      </c>
      <c r="M88" s="15">
        <v>2.87</v>
      </c>
      <c r="N88" s="15">
        <f>SalesData[[#This Row],[Quantity Sold]] * SalesData[[#This Row],[Cleaned Unit Price]]</f>
        <v>12</v>
      </c>
      <c r="O88" s="15">
        <f>SalesData[[#This Row],[Quantity Sold]] * SalesData[[#This Row],[Unit Cost]]</f>
        <v>2.87</v>
      </c>
      <c r="P88" s="15">
        <f>SalesData[[#This Row],[Revenue]] - SalesData[[#This Row],[Cost]]</f>
        <v>9.129999999999999</v>
      </c>
      <c r="Q88" s="13">
        <f>IF(SalesData[[#This Row],[Revenue]]=0,0,SalesData[[#This Row],[Profit]]/SalesData[[#This Row],[Revenue]])</f>
        <v>0.76083333333333325</v>
      </c>
      <c r="R88" t="s">
        <v>1089</v>
      </c>
      <c r="S88" t="s">
        <v>1288</v>
      </c>
      <c r="T88" t="str">
        <f>PROPER(SalesData[[#This Row],[Customer Name]])</f>
        <v>Isabella Garcia</v>
      </c>
      <c r="U88" t="s">
        <v>1416</v>
      </c>
      <c r="V88" t="s">
        <v>1424</v>
      </c>
    </row>
    <row r="89" spans="1:22" x14ac:dyDescent="0.25">
      <c r="A89" t="s">
        <v>1515</v>
      </c>
      <c r="B89" s="5">
        <v>45318</v>
      </c>
      <c r="C89" s="2" t="str">
        <f>TEXT(SalesData[[#This Row],[Order Date]],"mmm")</f>
        <v>Jan</v>
      </c>
      <c r="D89" s="7">
        <f>MONTH(SalesData[[#This Row],[Order Date]])</f>
        <v>1</v>
      </c>
      <c r="E89" s="7">
        <f>YEAR(SalesData[[#This Row],[Order Date]])</f>
        <v>2024</v>
      </c>
      <c r="F89" t="s">
        <v>428</v>
      </c>
      <c r="G89" t="str">
        <f>PROPER(SalesData[[#This Row],[Product Name]])</f>
        <v>Solar Led Lantern</v>
      </c>
      <c r="H89" t="s">
        <v>1012</v>
      </c>
      <c r="I89" t="str">
        <f>UPPER(SalesData[[#This Row],[Product Category]])</f>
        <v>LIGHTING</v>
      </c>
      <c r="J89">
        <v>6</v>
      </c>
      <c r="K89">
        <v>40</v>
      </c>
      <c r="L89" s="15">
        <f>IF(SalesData[[#This Row],[Unit Price]]="",
    AVERAGEIFS(SalesData[Unit Price],
               SalesData[Product Name],SalesData[[#This Row],[Product Name]]),
    SalesData[[#This Row],[Unit Price]])</f>
        <v>40</v>
      </c>
      <c r="M89" s="15">
        <v>11.82</v>
      </c>
      <c r="N89" s="15">
        <f>SalesData[[#This Row],[Quantity Sold]] * SalesData[[#This Row],[Cleaned Unit Price]]</f>
        <v>240</v>
      </c>
      <c r="O89" s="15">
        <f>SalesData[[#This Row],[Quantity Sold]] * SalesData[[#This Row],[Unit Cost]]</f>
        <v>70.92</v>
      </c>
      <c r="P89" s="15">
        <f>SalesData[[#This Row],[Revenue]] - SalesData[[#This Row],[Cost]]</f>
        <v>169.07999999999998</v>
      </c>
      <c r="Q89" s="13">
        <f>IF(SalesData[[#This Row],[Revenue]]=0,0,SalesData[[#This Row],[Profit]]/SalesData[[#This Row],[Revenue]])</f>
        <v>0.7044999999999999</v>
      </c>
      <c r="R89" t="s">
        <v>1150</v>
      </c>
      <c r="S89" t="s">
        <v>1349</v>
      </c>
      <c r="T89" t="str">
        <f>PROPER(SalesData[[#This Row],[Customer Name]])</f>
        <v>Mia Davis</v>
      </c>
      <c r="U89" t="s">
        <v>1414</v>
      </c>
      <c r="V89" t="s">
        <v>1418</v>
      </c>
    </row>
    <row r="90" spans="1:22" x14ac:dyDescent="0.25">
      <c r="A90" t="s">
        <v>1516</v>
      </c>
      <c r="B90" s="5">
        <v>45318</v>
      </c>
      <c r="C90" s="2" t="str">
        <f>TEXT(SalesData[[#This Row],[Order Date]],"mmm")</f>
        <v>Jan</v>
      </c>
      <c r="D90" s="7">
        <f>MONTH(SalesData[[#This Row],[Order Date]])</f>
        <v>1</v>
      </c>
      <c r="E90" s="7">
        <f>YEAR(SalesData[[#This Row],[Order Date]])</f>
        <v>2024</v>
      </c>
      <c r="F90" t="s">
        <v>964</v>
      </c>
      <c r="G90" t="str">
        <f>PROPER(SalesData[[#This Row],[Product Name]])</f>
        <v>Eco Canvas Tote Bag</v>
      </c>
      <c r="H90" t="s">
        <v>1013</v>
      </c>
      <c r="I90" t="str">
        <f>UPPER(SalesData[[#This Row],[Product Category]])</f>
        <v>BAGS</v>
      </c>
      <c r="J90">
        <v>6</v>
      </c>
      <c r="K90">
        <v>25</v>
      </c>
      <c r="L90" s="15">
        <f>IF(SalesData[[#This Row],[Unit Price]]="",
    AVERAGEIFS(SalesData[Unit Price],
               SalesData[Product Name],SalesData[[#This Row],[Product Name]]),
    SalesData[[#This Row],[Unit Price]])</f>
        <v>25</v>
      </c>
      <c r="M90" s="15">
        <v>9.0500000000000007</v>
      </c>
      <c r="N90" s="15">
        <f>SalesData[[#This Row],[Quantity Sold]] * SalesData[[#This Row],[Cleaned Unit Price]]</f>
        <v>150</v>
      </c>
      <c r="O90" s="15">
        <f>SalesData[[#This Row],[Quantity Sold]] * SalesData[[#This Row],[Unit Cost]]</f>
        <v>54.300000000000004</v>
      </c>
      <c r="P90" s="15">
        <f>SalesData[[#This Row],[Revenue]] - SalesData[[#This Row],[Cost]]</f>
        <v>95.699999999999989</v>
      </c>
      <c r="Q90" s="13">
        <f>IF(SalesData[[#This Row],[Revenue]]=0,0,SalesData[[#This Row],[Profit]]/SalesData[[#This Row],[Revenue]])</f>
        <v>0.6379999999999999</v>
      </c>
      <c r="R90" t="s">
        <v>1211</v>
      </c>
      <c r="S90" t="s">
        <v>1410</v>
      </c>
      <c r="T90" t="str">
        <f>PROPER(SalesData[[#This Row],[Customer Name]])</f>
        <v>Emma Davis</v>
      </c>
      <c r="U90" t="s">
        <v>1416</v>
      </c>
      <c r="V90" t="s">
        <v>1426</v>
      </c>
    </row>
    <row r="91" spans="1:22" x14ac:dyDescent="0.25">
      <c r="A91" t="s">
        <v>1517</v>
      </c>
      <c r="B91" s="5">
        <v>45319</v>
      </c>
      <c r="C91" s="2" t="str">
        <f>TEXT(SalesData[[#This Row],[Order Date]],"mmm")</f>
        <v>Jan</v>
      </c>
      <c r="D91" s="7">
        <f>MONTH(SalesData[[#This Row],[Order Date]])</f>
        <v>1</v>
      </c>
      <c r="E91" s="7">
        <f>YEAR(SalesData[[#This Row],[Order Date]])</f>
        <v>2024</v>
      </c>
      <c r="F91" t="s">
        <v>43</v>
      </c>
      <c r="G91" t="str">
        <f>PROPER(SalesData[[#This Row],[Product Name]])</f>
        <v>Compostable Plant Pots</v>
      </c>
      <c r="H91" t="s">
        <v>1011</v>
      </c>
      <c r="I91" t="str">
        <f>UPPER(SalesData[[#This Row],[Product Category]])</f>
        <v>GARDENING</v>
      </c>
      <c r="J91">
        <v>10</v>
      </c>
      <c r="K91">
        <v>12</v>
      </c>
      <c r="L91" s="15">
        <f>IF(SalesData[[#This Row],[Unit Price]]="",
    AVERAGEIFS(SalesData[Unit Price],
               SalesData[Product Name],SalesData[[#This Row],[Product Name]]),
    SalesData[[#This Row],[Unit Price]])</f>
        <v>12</v>
      </c>
      <c r="M91" s="15">
        <v>4.34</v>
      </c>
      <c r="N91" s="15">
        <f>SalesData[[#This Row],[Quantity Sold]] * SalesData[[#This Row],[Cleaned Unit Price]]</f>
        <v>120</v>
      </c>
      <c r="O91" s="15">
        <f>SalesData[[#This Row],[Quantity Sold]] * SalesData[[#This Row],[Unit Cost]]</f>
        <v>43.4</v>
      </c>
      <c r="P91" s="15">
        <f>SalesData[[#This Row],[Revenue]] - SalesData[[#This Row],[Cost]]</f>
        <v>76.599999999999994</v>
      </c>
      <c r="Q91" s="13">
        <f>IF(SalesData[[#This Row],[Revenue]]=0,0,SalesData[[#This Row],[Profit]]/SalesData[[#This Row],[Revenue]])</f>
        <v>0.63833333333333331</v>
      </c>
      <c r="R91" t="s">
        <v>1030</v>
      </c>
      <c r="S91" t="s">
        <v>1229</v>
      </c>
      <c r="T91" t="str">
        <f>PROPER(SalesData[[#This Row],[Customer Name]])</f>
        <v>Olivia Garcia</v>
      </c>
      <c r="U91" t="s">
        <v>1416</v>
      </c>
      <c r="V91" t="s">
        <v>1421</v>
      </c>
    </row>
    <row r="92" spans="1:22" x14ac:dyDescent="0.25">
      <c r="A92" t="s">
        <v>1518</v>
      </c>
      <c r="B92" s="5">
        <v>45319</v>
      </c>
      <c r="C92" s="2" t="str">
        <f>TEXT(SalesData[[#This Row],[Order Date]],"mmm")</f>
        <v>Jan</v>
      </c>
      <c r="D92" s="7">
        <f>MONTH(SalesData[[#This Row],[Order Date]])</f>
        <v>1</v>
      </c>
      <c r="E92" s="7">
        <f>YEAR(SalesData[[#This Row],[Order Date]])</f>
        <v>2024</v>
      </c>
      <c r="F92" t="s">
        <v>417</v>
      </c>
      <c r="G92" t="str">
        <f>PROPER(SalesData[[#This Row],[Product Name]])</f>
        <v>Eco Canvas Tote Bag</v>
      </c>
      <c r="H92" t="s">
        <v>1013</v>
      </c>
      <c r="I92" t="str">
        <f>UPPER(SalesData[[#This Row],[Product Category]])</f>
        <v>BAGS</v>
      </c>
      <c r="J92">
        <v>3</v>
      </c>
      <c r="L92" s="15">
        <f>IF(SalesData[[#This Row],[Unit Price]]="",
    AVERAGEIFS(SalesData[Unit Price],
               SalesData[Product Name],SalesData[[#This Row],[Product Name]]),
    SalesData[[#This Row],[Unit Price]])</f>
        <v>25</v>
      </c>
      <c r="M92" s="15">
        <v>7.45</v>
      </c>
      <c r="N92" s="15">
        <f>SalesData[[#This Row],[Quantity Sold]] * SalesData[[#This Row],[Cleaned Unit Price]]</f>
        <v>75</v>
      </c>
      <c r="O92" s="15">
        <f>SalesData[[#This Row],[Quantity Sold]] * SalesData[[#This Row],[Unit Cost]]</f>
        <v>22.35</v>
      </c>
      <c r="P92" s="15">
        <f>SalesData[[#This Row],[Revenue]] - SalesData[[#This Row],[Cost]]</f>
        <v>52.65</v>
      </c>
      <c r="Q92" s="13">
        <f>IF(SalesData[[#This Row],[Revenue]]=0,0,SalesData[[#This Row],[Profit]]/SalesData[[#This Row],[Revenue]])</f>
        <v>0.70199999999999996</v>
      </c>
      <c r="R92" t="s">
        <v>1188</v>
      </c>
      <c r="S92" t="s">
        <v>1387</v>
      </c>
      <c r="T92" t="str">
        <f>PROPER(SalesData[[#This Row],[Customer Name]])</f>
        <v>Mia Johnson</v>
      </c>
      <c r="U92" t="s">
        <v>1416</v>
      </c>
      <c r="V92" t="s">
        <v>1419</v>
      </c>
    </row>
    <row r="93" spans="1:22" x14ac:dyDescent="0.25">
      <c r="A93" t="s">
        <v>1519</v>
      </c>
      <c r="B93" s="5">
        <v>45319</v>
      </c>
      <c r="C93" s="2" t="str">
        <f>TEXT(SalesData[[#This Row],[Order Date]],"mmm")</f>
        <v>Jan</v>
      </c>
      <c r="D93" s="7">
        <f>MONTH(SalesData[[#This Row],[Order Date]])</f>
        <v>1</v>
      </c>
      <c r="E93" s="7">
        <f>YEAR(SalesData[[#This Row],[Order Date]])</f>
        <v>2024</v>
      </c>
      <c r="F93" t="s">
        <v>478</v>
      </c>
      <c r="G93" t="str">
        <f>PROPER(SalesData[[#This Row],[Product Name]])</f>
        <v>Reusable Bamboo Utensil Set</v>
      </c>
      <c r="H93" t="s">
        <v>1014</v>
      </c>
      <c r="I93" t="str">
        <f>UPPER(SalesData[[#This Row],[Product Category]])</f>
        <v>KITCHENWARE</v>
      </c>
      <c r="J93">
        <v>9</v>
      </c>
      <c r="K93">
        <v>15</v>
      </c>
      <c r="L93" s="15">
        <f>IF(SalesData[[#This Row],[Unit Price]]="",
    AVERAGEIFS(SalesData[Unit Price],
               SalesData[Product Name],SalesData[[#This Row],[Product Name]]),
    SalesData[[#This Row],[Unit Price]])</f>
        <v>15</v>
      </c>
      <c r="M93" s="15">
        <v>4.92</v>
      </c>
      <c r="N93" s="15">
        <f>SalesData[[#This Row],[Quantity Sold]] * SalesData[[#This Row],[Cleaned Unit Price]]</f>
        <v>135</v>
      </c>
      <c r="O93" s="15">
        <f>SalesData[[#This Row],[Quantity Sold]] * SalesData[[#This Row],[Unit Cost]]</f>
        <v>44.28</v>
      </c>
      <c r="P93" s="15">
        <f>SalesData[[#This Row],[Revenue]] - SalesData[[#This Row],[Cost]]</f>
        <v>90.72</v>
      </c>
      <c r="Q93" s="13">
        <f>IF(SalesData[[#This Row],[Revenue]]=0,0,SalesData[[#This Row],[Profit]]/SalesData[[#This Row],[Revenue]])</f>
        <v>0.67200000000000004</v>
      </c>
      <c r="R93" t="s">
        <v>1199</v>
      </c>
      <c r="S93" t="s">
        <v>1398</v>
      </c>
      <c r="T93" t="str">
        <f>PROPER(SalesData[[#This Row],[Customer Name]])</f>
        <v>Charlotte Jones</v>
      </c>
      <c r="U93" t="s">
        <v>1415</v>
      </c>
      <c r="V93" t="s">
        <v>1418</v>
      </c>
    </row>
    <row r="94" spans="1:22" x14ac:dyDescent="0.25">
      <c r="A94" t="s">
        <v>1520</v>
      </c>
      <c r="B94" s="5">
        <v>45319</v>
      </c>
      <c r="C94" s="2" t="str">
        <f>TEXT(SalesData[[#This Row],[Order Date]],"mmm")</f>
        <v>Jan</v>
      </c>
      <c r="D94" s="7">
        <f>MONTH(SalesData[[#This Row],[Order Date]])</f>
        <v>1</v>
      </c>
      <c r="E94" s="7">
        <f>YEAR(SalesData[[#This Row],[Order Date]])</f>
        <v>2024</v>
      </c>
      <c r="F94" t="s">
        <v>591</v>
      </c>
      <c r="G94" t="str">
        <f>PROPER(SalesData[[#This Row],[Product Name]])</f>
        <v>Biodegradable Cleaning Cloth</v>
      </c>
      <c r="H94" t="s">
        <v>1015</v>
      </c>
      <c r="I94" t="str">
        <f>UPPER(SalesData[[#This Row],[Product Category]])</f>
        <v>CLEANING</v>
      </c>
      <c r="J94">
        <v>7</v>
      </c>
      <c r="K94">
        <v>10</v>
      </c>
      <c r="L94" s="15">
        <f>IF(SalesData[[#This Row],[Unit Price]]="",
    AVERAGEIFS(SalesData[Unit Price],
               SalesData[Product Name],SalesData[[#This Row],[Product Name]]),
    SalesData[[#This Row],[Unit Price]])</f>
        <v>10</v>
      </c>
      <c r="M94" s="15">
        <v>2.4500000000000002</v>
      </c>
      <c r="N94" s="15">
        <f>SalesData[[#This Row],[Quantity Sold]] * SalesData[[#This Row],[Cleaned Unit Price]]</f>
        <v>70</v>
      </c>
      <c r="O94" s="15">
        <f>SalesData[[#This Row],[Quantity Sold]] * SalesData[[#This Row],[Unit Cost]]</f>
        <v>17.150000000000002</v>
      </c>
      <c r="P94" s="15">
        <f>SalesData[[#This Row],[Revenue]] - SalesData[[#This Row],[Cost]]</f>
        <v>52.849999999999994</v>
      </c>
      <c r="Q94" s="13">
        <f>IF(SalesData[[#This Row],[Revenue]]=0,0,SalesData[[#This Row],[Profit]]/SalesData[[#This Row],[Revenue]])</f>
        <v>0.75499999999999989</v>
      </c>
      <c r="R94" t="s">
        <v>1156</v>
      </c>
      <c r="S94" t="s">
        <v>1355</v>
      </c>
      <c r="T94" t="str">
        <f>PROPER(SalesData[[#This Row],[Customer Name]])</f>
        <v>Mason Johnson</v>
      </c>
      <c r="U94" t="s">
        <v>1414</v>
      </c>
      <c r="V94" t="s">
        <v>1425</v>
      </c>
    </row>
    <row r="95" spans="1:22" x14ac:dyDescent="0.25">
      <c r="A95" t="s">
        <v>1521</v>
      </c>
      <c r="B95" s="5">
        <v>45319</v>
      </c>
      <c r="C95" s="2" t="str">
        <f>TEXT(SalesData[[#This Row],[Order Date]],"mmm")</f>
        <v>Jan</v>
      </c>
      <c r="D95" s="7">
        <f>MONTH(SalesData[[#This Row],[Order Date]])</f>
        <v>1</v>
      </c>
      <c r="E95" s="7">
        <f>YEAR(SalesData[[#This Row],[Order Date]])</f>
        <v>2024</v>
      </c>
      <c r="F95" t="s">
        <v>629</v>
      </c>
      <c r="G95" t="str">
        <f>PROPER(SalesData[[#This Row],[Product Name]])</f>
        <v>Eco Canvas Tote Bag</v>
      </c>
      <c r="H95" t="s">
        <v>1013</v>
      </c>
      <c r="I95" t="str">
        <f>UPPER(SalesData[[#This Row],[Product Category]])</f>
        <v>BAGS</v>
      </c>
      <c r="J95">
        <v>1</v>
      </c>
      <c r="K95">
        <v>25</v>
      </c>
      <c r="L95" s="15">
        <f>IF(SalesData[[#This Row],[Unit Price]]="",
    AVERAGEIFS(SalesData[Unit Price],
               SalesData[Product Name],SalesData[[#This Row],[Product Name]]),
    SalesData[[#This Row],[Unit Price]])</f>
        <v>25</v>
      </c>
      <c r="M95" s="15">
        <v>7.24</v>
      </c>
      <c r="N95" s="15">
        <f>SalesData[[#This Row],[Quantity Sold]] * SalesData[[#This Row],[Cleaned Unit Price]]</f>
        <v>25</v>
      </c>
      <c r="O95" s="15">
        <f>SalesData[[#This Row],[Quantity Sold]] * SalesData[[#This Row],[Unit Cost]]</f>
        <v>7.24</v>
      </c>
      <c r="P95" s="15">
        <f>SalesData[[#This Row],[Revenue]] - SalesData[[#This Row],[Cost]]</f>
        <v>17.759999999999998</v>
      </c>
      <c r="Q95" s="13">
        <f>IF(SalesData[[#This Row],[Revenue]]=0,0,SalesData[[#This Row],[Profit]]/SalesData[[#This Row],[Revenue]])</f>
        <v>0.71039999999999992</v>
      </c>
      <c r="R95" t="s">
        <v>1035</v>
      </c>
      <c r="S95" t="s">
        <v>1234</v>
      </c>
      <c r="T95" t="str">
        <f>PROPER(SalesData[[#This Row],[Customer Name]])</f>
        <v>Olivia Martinez</v>
      </c>
      <c r="U95" t="s">
        <v>1416</v>
      </c>
      <c r="V95" t="s">
        <v>1427</v>
      </c>
    </row>
    <row r="96" spans="1:22" x14ac:dyDescent="0.25">
      <c r="A96" t="s">
        <v>1522</v>
      </c>
      <c r="B96" s="5">
        <v>45319</v>
      </c>
      <c r="C96" s="2" t="str">
        <f>TEXT(SalesData[[#This Row],[Order Date]],"mmm")</f>
        <v>Jan</v>
      </c>
      <c r="D96" s="7">
        <f>MONTH(SalesData[[#This Row],[Order Date]])</f>
        <v>1</v>
      </c>
      <c r="E96" s="7">
        <f>YEAR(SalesData[[#This Row],[Order Date]])</f>
        <v>2024</v>
      </c>
      <c r="F96" t="s">
        <v>847</v>
      </c>
      <c r="G96" t="str">
        <f>PROPER(SalesData[[#This Row],[Product Name]])</f>
        <v>Solar Led Lantern</v>
      </c>
      <c r="H96" t="s">
        <v>1012</v>
      </c>
      <c r="I96" t="str">
        <f>UPPER(SalesData[[#This Row],[Product Category]])</f>
        <v>LIGHTING</v>
      </c>
      <c r="J96">
        <v>2</v>
      </c>
      <c r="K96">
        <v>40</v>
      </c>
      <c r="L96" s="15">
        <f>IF(SalesData[[#This Row],[Unit Price]]="",
    AVERAGEIFS(SalesData[Unit Price],
               SalesData[Product Name],SalesData[[#This Row],[Product Name]]),
    SalesData[[#This Row],[Unit Price]])</f>
        <v>40</v>
      </c>
      <c r="M96" s="15">
        <v>14.07</v>
      </c>
      <c r="N96" s="15">
        <f>SalesData[[#This Row],[Quantity Sold]] * SalesData[[#This Row],[Cleaned Unit Price]]</f>
        <v>80</v>
      </c>
      <c r="O96" s="15">
        <f>SalesData[[#This Row],[Quantity Sold]] * SalesData[[#This Row],[Unit Cost]]</f>
        <v>28.14</v>
      </c>
      <c r="P96" s="15">
        <f>SalesData[[#This Row],[Revenue]] - SalesData[[#This Row],[Cost]]</f>
        <v>51.86</v>
      </c>
      <c r="Q96" s="13">
        <f>IF(SalesData[[#This Row],[Revenue]]=0,0,SalesData[[#This Row],[Profit]]/SalesData[[#This Row],[Revenue]])</f>
        <v>0.64824999999999999</v>
      </c>
      <c r="R96" t="s">
        <v>1050</v>
      </c>
      <c r="S96" t="s">
        <v>1249</v>
      </c>
      <c r="T96" t="str">
        <f>PROPER(SalesData[[#This Row],[Customer Name]])</f>
        <v>Charlotte Garcia</v>
      </c>
      <c r="U96" t="s">
        <v>1417</v>
      </c>
      <c r="V96" t="s">
        <v>1425</v>
      </c>
    </row>
    <row r="97" spans="1:22" x14ac:dyDescent="0.25">
      <c r="A97" t="s">
        <v>1523</v>
      </c>
      <c r="B97" s="5">
        <v>45319</v>
      </c>
      <c r="C97" s="2" t="str">
        <f>TEXT(SalesData[[#This Row],[Order Date]],"mmm")</f>
        <v>Jan</v>
      </c>
      <c r="D97" s="7">
        <f>MONTH(SalesData[[#This Row],[Order Date]])</f>
        <v>1</v>
      </c>
      <c r="E97" s="7">
        <f>YEAR(SalesData[[#This Row],[Order Date]])</f>
        <v>2024</v>
      </c>
      <c r="F97" t="s">
        <v>932</v>
      </c>
      <c r="G97" t="str">
        <f>PROPER(SalesData[[#This Row],[Product Name]])</f>
        <v>Eco Canvas Tote Bag</v>
      </c>
      <c r="H97" t="s">
        <v>1013</v>
      </c>
      <c r="I97" t="str">
        <f>UPPER(SalesData[[#This Row],[Product Category]])</f>
        <v>BAGS</v>
      </c>
      <c r="J97">
        <v>10</v>
      </c>
      <c r="K97">
        <v>25</v>
      </c>
      <c r="L97" s="15">
        <f>IF(SalesData[[#This Row],[Unit Price]]="",
    AVERAGEIFS(SalesData[Unit Price],
               SalesData[Product Name],SalesData[[#This Row],[Product Name]]),
    SalesData[[#This Row],[Unit Price]])</f>
        <v>25</v>
      </c>
      <c r="M97" s="15">
        <v>9.9</v>
      </c>
      <c r="N97" s="15">
        <f>SalesData[[#This Row],[Quantity Sold]] * SalesData[[#This Row],[Cleaned Unit Price]]</f>
        <v>250</v>
      </c>
      <c r="O97" s="15">
        <f>SalesData[[#This Row],[Quantity Sold]] * SalesData[[#This Row],[Unit Cost]]</f>
        <v>99</v>
      </c>
      <c r="P97" s="15">
        <f>SalesData[[#This Row],[Revenue]] - SalesData[[#This Row],[Cost]]</f>
        <v>151</v>
      </c>
      <c r="Q97" s="13">
        <f>IF(SalesData[[#This Row],[Revenue]]=0,0,SalesData[[#This Row],[Profit]]/SalesData[[#This Row],[Revenue]])</f>
        <v>0.60399999999999998</v>
      </c>
      <c r="R97" t="s">
        <v>1030</v>
      </c>
      <c r="S97" t="s">
        <v>1229</v>
      </c>
      <c r="T97" t="str">
        <f>PROPER(SalesData[[#This Row],[Customer Name]])</f>
        <v>Olivia Garcia</v>
      </c>
      <c r="U97" t="s">
        <v>1414</v>
      </c>
      <c r="V97" t="s">
        <v>1427</v>
      </c>
    </row>
    <row r="98" spans="1:22" x14ac:dyDescent="0.25">
      <c r="A98" t="s">
        <v>1524</v>
      </c>
      <c r="B98" s="5">
        <v>45320</v>
      </c>
      <c r="C98" s="2" t="str">
        <f>TEXT(SalesData[[#This Row],[Order Date]],"mmm")</f>
        <v>Jan</v>
      </c>
      <c r="D98" s="7">
        <f>MONTH(SalesData[[#This Row],[Order Date]])</f>
        <v>1</v>
      </c>
      <c r="E98" s="7">
        <f>YEAR(SalesData[[#This Row],[Order Date]])</f>
        <v>2024</v>
      </c>
      <c r="F98" t="s">
        <v>431</v>
      </c>
      <c r="G98" t="str">
        <f>PROPER(SalesData[[#This Row],[Product Name]])</f>
        <v>Solar Led Lantern</v>
      </c>
      <c r="H98" t="s">
        <v>1012</v>
      </c>
      <c r="I98" t="str">
        <f>UPPER(SalesData[[#This Row],[Product Category]])</f>
        <v>LIGHTING</v>
      </c>
      <c r="J98">
        <v>9</v>
      </c>
      <c r="K98">
        <v>40</v>
      </c>
      <c r="L98" s="15">
        <f>IF(SalesData[[#This Row],[Unit Price]]="",
    AVERAGEIFS(SalesData[Unit Price],
               SalesData[Product Name],SalesData[[#This Row],[Product Name]]),
    SalesData[[#This Row],[Unit Price]])</f>
        <v>40</v>
      </c>
      <c r="M98" s="15">
        <v>15.18</v>
      </c>
      <c r="N98" s="15">
        <f>SalesData[[#This Row],[Quantity Sold]] * SalesData[[#This Row],[Cleaned Unit Price]]</f>
        <v>360</v>
      </c>
      <c r="O98" s="15">
        <f>SalesData[[#This Row],[Quantity Sold]] * SalesData[[#This Row],[Unit Cost]]</f>
        <v>136.62</v>
      </c>
      <c r="P98" s="15">
        <f>SalesData[[#This Row],[Revenue]] - SalesData[[#This Row],[Cost]]</f>
        <v>223.38</v>
      </c>
      <c r="Q98" s="13">
        <f>IF(SalesData[[#This Row],[Revenue]]=0,0,SalesData[[#This Row],[Profit]]/SalesData[[#This Row],[Revenue]])</f>
        <v>0.62049999999999994</v>
      </c>
      <c r="R98" t="s">
        <v>1115</v>
      </c>
      <c r="S98" t="s">
        <v>1314</v>
      </c>
      <c r="T98" t="str">
        <f>PROPER(SalesData[[#This Row],[Customer Name]])</f>
        <v>Noah Brown</v>
      </c>
      <c r="U98" t="s">
        <v>1415</v>
      </c>
      <c r="V98" t="s">
        <v>1425</v>
      </c>
    </row>
    <row r="99" spans="1:22" x14ac:dyDescent="0.25">
      <c r="A99" t="s">
        <v>1525</v>
      </c>
      <c r="B99" s="5">
        <v>45320</v>
      </c>
      <c r="C99" s="2" t="str">
        <f>TEXT(SalesData[[#This Row],[Order Date]],"mmm")</f>
        <v>Jan</v>
      </c>
      <c r="D99" s="7">
        <f>MONTH(SalesData[[#This Row],[Order Date]])</f>
        <v>1</v>
      </c>
      <c r="E99" s="7">
        <f>YEAR(SalesData[[#This Row],[Order Date]])</f>
        <v>2024</v>
      </c>
      <c r="F99" t="s">
        <v>587</v>
      </c>
      <c r="G99" t="str">
        <f>PROPER(SalesData[[#This Row],[Product Name]])</f>
        <v>Biodegradable Cleaning Cloth</v>
      </c>
      <c r="H99" t="s">
        <v>1015</v>
      </c>
      <c r="I99" t="str">
        <f>UPPER(SalesData[[#This Row],[Product Category]])</f>
        <v>CLEANING</v>
      </c>
      <c r="J99">
        <v>4</v>
      </c>
      <c r="K99">
        <v>10</v>
      </c>
      <c r="L99" s="15">
        <f>IF(SalesData[[#This Row],[Unit Price]]="",
    AVERAGEIFS(SalesData[Unit Price],
               SalesData[Product Name],SalesData[[#This Row],[Product Name]]),
    SalesData[[#This Row],[Unit Price]])</f>
        <v>10</v>
      </c>
      <c r="M99" s="15">
        <v>3.54</v>
      </c>
      <c r="N99" s="15">
        <f>SalesData[[#This Row],[Quantity Sold]] * SalesData[[#This Row],[Cleaned Unit Price]]</f>
        <v>40</v>
      </c>
      <c r="O99" s="15">
        <f>SalesData[[#This Row],[Quantity Sold]] * SalesData[[#This Row],[Unit Cost]]</f>
        <v>14.16</v>
      </c>
      <c r="P99" s="15">
        <f>SalesData[[#This Row],[Revenue]] - SalesData[[#This Row],[Cost]]</f>
        <v>25.84</v>
      </c>
      <c r="Q99" s="13">
        <f>IF(SalesData[[#This Row],[Revenue]]=0,0,SalesData[[#This Row],[Profit]]/SalesData[[#This Row],[Revenue]])</f>
        <v>0.64600000000000002</v>
      </c>
      <c r="R99" t="s">
        <v>1061</v>
      </c>
      <c r="S99" t="s">
        <v>1260</v>
      </c>
      <c r="T99" t="str">
        <f>PROPER(SalesData[[#This Row],[Customer Name]])</f>
        <v>Lucas Williams</v>
      </c>
      <c r="U99" t="s">
        <v>1414</v>
      </c>
      <c r="V99" t="s">
        <v>1425</v>
      </c>
    </row>
    <row r="100" spans="1:22" x14ac:dyDescent="0.25">
      <c r="A100" t="s">
        <v>1526</v>
      </c>
      <c r="B100" s="5">
        <v>45320</v>
      </c>
      <c r="C100" s="2" t="str">
        <f>TEXT(SalesData[[#This Row],[Order Date]],"mmm")</f>
        <v>Jan</v>
      </c>
      <c r="D100" s="7">
        <f>MONTH(SalesData[[#This Row],[Order Date]])</f>
        <v>1</v>
      </c>
      <c r="E100" s="7">
        <f>YEAR(SalesData[[#This Row],[Order Date]])</f>
        <v>2024</v>
      </c>
      <c r="F100" t="s">
        <v>670</v>
      </c>
      <c r="G100" t="str">
        <f>PROPER(SalesData[[#This Row],[Product Name]])</f>
        <v>Compostable Plant Pots</v>
      </c>
      <c r="H100" t="s">
        <v>1011</v>
      </c>
      <c r="I100" t="str">
        <f>UPPER(SalesData[[#This Row],[Product Category]])</f>
        <v>GARDENING</v>
      </c>
      <c r="J100">
        <v>10</v>
      </c>
      <c r="K100">
        <v>12</v>
      </c>
      <c r="L100" s="15">
        <f>IF(SalesData[[#This Row],[Unit Price]]="",
    AVERAGEIFS(SalesData[Unit Price],
               SalesData[Product Name],SalesData[[#This Row],[Product Name]]),
    SalesData[[#This Row],[Unit Price]])</f>
        <v>12</v>
      </c>
      <c r="M100" s="15">
        <v>3.79</v>
      </c>
      <c r="N100" s="15">
        <f>SalesData[[#This Row],[Quantity Sold]] * SalesData[[#This Row],[Cleaned Unit Price]]</f>
        <v>120</v>
      </c>
      <c r="O100" s="15">
        <f>SalesData[[#This Row],[Quantity Sold]] * SalesData[[#This Row],[Unit Cost]]</f>
        <v>37.9</v>
      </c>
      <c r="P100" s="15">
        <f>SalesData[[#This Row],[Revenue]] - SalesData[[#This Row],[Cost]]</f>
        <v>82.1</v>
      </c>
      <c r="Q100" s="13">
        <f>IF(SalesData[[#This Row],[Revenue]]=0,0,SalesData[[#This Row],[Profit]]/SalesData[[#This Row],[Revenue]])</f>
        <v>0.68416666666666659</v>
      </c>
      <c r="R100" t="s">
        <v>1204</v>
      </c>
      <c r="S100" t="s">
        <v>1403</v>
      </c>
      <c r="T100" t="str">
        <f>PROPER(SalesData[[#This Row],[Customer Name]])</f>
        <v>Harper Rodriguez</v>
      </c>
      <c r="U100" t="s">
        <v>1414</v>
      </c>
      <c r="V100" t="s">
        <v>1420</v>
      </c>
    </row>
    <row r="101" spans="1:22" x14ac:dyDescent="0.25">
      <c r="A101" t="s">
        <v>1527</v>
      </c>
      <c r="B101" s="5">
        <v>45320</v>
      </c>
      <c r="C101" s="2" t="str">
        <f>TEXT(SalesData[[#This Row],[Order Date]],"mmm")</f>
        <v>Jan</v>
      </c>
      <c r="D101" s="7">
        <f>MONTH(SalesData[[#This Row],[Order Date]])</f>
        <v>1</v>
      </c>
      <c r="E101" s="7">
        <f>YEAR(SalesData[[#This Row],[Order Date]])</f>
        <v>2024</v>
      </c>
      <c r="F101" t="s">
        <v>750</v>
      </c>
      <c r="G101" t="str">
        <f>PROPER(SalesData[[#This Row],[Product Name]])</f>
        <v>Biodegradable Cleaning Cloth</v>
      </c>
      <c r="H101" t="s">
        <v>1015</v>
      </c>
      <c r="I101" t="str">
        <f>UPPER(SalesData[[#This Row],[Product Category]])</f>
        <v>CLEANING</v>
      </c>
      <c r="J101">
        <v>8</v>
      </c>
      <c r="K101">
        <v>10</v>
      </c>
      <c r="L101" s="15">
        <f>IF(SalesData[[#This Row],[Unit Price]]="",
    AVERAGEIFS(SalesData[Unit Price],
               SalesData[Product Name],SalesData[[#This Row],[Product Name]]),
    SalesData[[#This Row],[Unit Price]])</f>
        <v>10</v>
      </c>
      <c r="M101" s="15">
        <v>2.6</v>
      </c>
      <c r="N101" s="15">
        <f>SalesData[[#This Row],[Quantity Sold]] * SalesData[[#This Row],[Cleaned Unit Price]]</f>
        <v>80</v>
      </c>
      <c r="O101" s="15">
        <f>SalesData[[#This Row],[Quantity Sold]] * SalesData[[#This Row],[Unit Cost]]</f>
        <v>20.8</v>
      </c>
      <c r="P101" s="15">
        <f>SalesData[[#This Row],[Revenue]] - SalesData[[#This Row],[Cost]]</f>
        <v>59.2</v>
      </c>
      <c r="Q101" s="13">
        <f>IF(SalesData[[#This Row],[Revenue]]=0,0,SalesData[[#This Row],[Profit]]/SalesData[[#This Row],[Revenue]])</f>
        <v>0.74</v>
      </c>
      <c r="R101" t="s">
        <v>1125</v>
      </c>
      <c r="S101" t="s">
        <v>1324</v>
      </c>
      <c r="T101" t="str">
        <f>PROPER(SalesData[[#This Row],[Customer Name]])</f>
        <v>Mia Brown</v>
      </c>
      <c r="U101" t="s">
        <v>1414</v>
      </c>
      <c r="V101" t="s">
        <v>1424</v>
      </c>
    </row>
    <row r="102" spans="1:22" x14ac:dyDescent="0.25">
      <c r="A102" t="s">
        <v>1528</v>
      </c>
      <c r="B102" s="5">
        <v>45320</v>
      </c>
      <c r="C102" s="2" t="str">
        <f>TEXT(SalesData[[#This Row],[Order Date]],"mmm")</f>
        <v>Jan</v>
      </c>
      <c r="D102" s="7">
        <f>MONTH(SalesData[[#This Row],[Order Date]])</f>
        <v>1</v>
      </c>
      <c r="E102" s="7">
        <f>YEAR(SalesData[[#This Row],[Order Date]])</f>
        <v>2024</v>
      </c>
      <c r="F102" t="s">
        <v>783</v>
      </c>
      <c r="G102" t="str">
        <f>PROPER(SalesData[[#This Row],[Product Name]])</f>
        <v>Eco Canvas Tote Bag</v>
      </c>
      <c r="H102" t="s">
        <v>1013</v>
      </c>
      <c r="I102" t="str">
        <f>UPPER(SalesData[[#This Row],[Product Category]])</f>
        <v>BAGS</v>
      </c>
      <c r="J102">
        <v>8</v>
      </c>
      <c r="K102">
        <v>25</v>
      </c>
      <c r="L102" s="15">
        <f>IF(SalesData[[#This Row],[Unit Price]]="",
    AVERAGEIFS(SalesData[Unit Price],
               SalesData[Product Name],SalesData[[#This Row],[Product Name]]),
    SalesData[[#This Row],[Unit Price]])</f>
        <v>25</v>
      </c>
      <c r="M102" s="15">
        <v>6.48</v>
      </c>
      <c r="N102" s="15">
        <f>SalesData[[#This Row],[Quantity Sold]] * SalesData[[#This Row],[Cleaned Unit Price]]</f>
        <v>200</v>
      </c>
      <c r="O102" s="15">
        <f>SalesData[[#This Row],[Quantity Sold]] * SalesData[[#This Row],[Unit Cost]]</f>
        <v>51.84</v>
      </c>
      <c r="P102" s="15">
        <f>SalesData[[#This Row],[Revenue]] - SalesData[[#This Row],[Cost]]</f>
        <v>148.16</v>
      </c>
      <c r="Q102" s="13">
        <f>IF(SalesData[[#This Row],[Revenue]]=0,0,SalesData[[#This Row],[Profit]]/SalesData[[#This Row],[Revenue]])</f>
        <v>0.74080000000000001</v>
      </c>
      <c r="R102" t="s">
        <v>1020</v>
      </c>
      <c r="S102" t="s">
        <v>1219</v>
      </c>
      <c r="T102" t="str">
        <f>PROPER(SalesData[[#This Row],[Customer Name]])</f>
        <v>Noah Garcia</v>
      </c>
      <c r="U102" t="s">
        <v>1416</v>
      </c>
      <c r="V102" t="s">
        <v>1422</v>
      </c>
    </row>
    <row r="103" spans="1:22" x14ac:dyDescent="0.25">
      <c r="A103" t="s">
        <v>1529</v>
      </c>
      <c r="B103" s="5">
        <v>45320</v>
      </c>
      <c r="C103" s="2" t="str">
        <f>TEXT(SalesData[[#This Row],[Order Date]],"mmm")</f>
        <v>Jan</v>
      </c>
      <c r="D103" s="7">
        <f>MONTH(SalesData[[#This Row],[Order Date]])</f>
        <v>1</v>
      </c>
      <c r="E103" s="7">
        <f>YEAR(SalesData[[#This Row],[Order Date]])</f>
        <v>2024</v>
      </c>
      <c r="F103" t="s">
        <v>822</v>
      </c>
      <c r="G103" t="str">
        <f>PROPER(SalesData[[#This Row],[Product Name]])</f>
        <v>Biodegradable Cleaning Cloth</v>
      </c>
      <c r="H103" t="s">
        <v>1015</v>
      </c>
      <c r="I103" t="str">
        <f>UPPER(SalesData[[#This Row],[Product Category]])</f>
        <v>CLEANING</v>
      </c>
      <c r="J103">
        <v>9</v>
      </c>
      <c r="K103">
        <v>10</v>
      </c>
      <c r="L103" s="15">
        <f>IF(SalesData[[#This Row],[Unit Price]]="",
    AVERAGEIFS(SalesData[Unit Price],
               SalesData[Product Name],SalesData[[#This Row],[Product Name]]),
    SalesData[[#This Row],[Unit Price]])</f>
        <v>10</v>
      </c>
      <c r="M103" s="15">
        <v>3.07</v>
      </c>
      <c r="N103" s="15">
        <f>SalesData[[#This Row],[Quantity Sold]] * SalesData[[#This Row],[Cleaned Unit Price]]</f>
        <v>90</v>
      </c>
      <c r="O103" s="15">
        <f>SalesData[[#This Row],[Quantity Sold]] * SalesData[[#This Row],[Unit Cost]]</f>
        <v>27.63</v>
      </c>
      <c r="P103" s="15">
        <f>SalesData[[#This Row],[Revenue]] - SalesData[[#This Row],[Cost]]</f>
        <v>62.370000000000005</v>
      </c>
      <c r="Q103" s="13">
        <f>IF(SalesData[[#This Row],[Revenue]]=0,0,SalesData[[#This Row],[Profit]]/SalesData[[#This Row],[Revenue]])</f>
        <v>0.69300000000000006</v>
      </c>
      <c r="R103" t="s">
        <v>1016</v>
      </c>
      <c r="S103" t="s">
        <v>1215</v>
      </c>
      <c r="T103" t="str">
        <f>PROPER(SalesData[[#This Row],[Customer Name]])</f>
        <v>Harper Davis</v>
      </c>
      <c r="U103" t="s">
        <v>1415</v>
      </c>
      <c r="V103" t="s">
        <v>1427</v>
      </c>
    </row>
    <row r="104" spans="1:22" x14ac:dyDescent="0.25">
      <c r="A104" t="s">
        <v>1530</v>
      </c>
      <c r="B104" s="5">
        <v>45321</v>
      </c>
      <c r="C104" s="2" t="str">
        <f>TEXT(SalesData[[#This Row],[Order Date]],"mmm")</f>
        <v>Jan</v>
      </c>
      <c r="D104" s="7">
        <f>MONTH(SalesData[[#This Row],[Order Date]])</f>
        <v>1</v>
      </c>
      <c r="E104" s="7">
        <f>YEAR(SalesData[[#This Row],[Order Date]])</f>
        <v>2024</v>
      </c>
      <c r="F104" t="s">
        <v>344</v>
      </c>
      <c r="G104" t="str">
        <f>PROPER(SalesData[[#This Row],[Product Name]])</f>
        <v>Solar Led Lantern</v>
      </c>
      <c r="H104" t="s">
        <v>1012</v>
      </c>
      <c r="I104" t="str">
        <f>UPPER(SalesData[[#This Row],[Product Category]])</f>
        <v>LIGHTING</v>
      </c>
      <c r="J104">
        <v>8</v>
      </c>
      <c r="K104">
        <v>40</v>
      </c>
      <c r="L104" s="15">
        <f>IF(SalesData[[#This Row],[Unit Price]]="",
    AVERAGEIFS(SalesData[Unit Price],
               SalesData[Product Name],SalesData[[#This Row],[Product Name]]),
    SalesData[[#This Row],[Unit Price]])</f>
        <v>40</v>
      </c>
      <c r="M104" s="15">
        <v>10.88</v>
      </c>
      <c r="N104" s="15">
        <f>SalesData[[#This Row],[Quantity Sold]] * SalesData[[#This Row],[Cleaned Unit Price]]</f>
        <v>320</v>
      </c>
      <c r="O104" s="15">
        <f>SalesData[[#This Row],[Quantity Sold]] * SalesData[[#This Row],[Unit Cost]]</f>
        <v>87.04</v>
      </c>
      <c r="P104" s="15">
        <f>SalesData[[#This Row],[Revenue]] - SalesData[[#This Row],[Cost]]</f>
        <v>232.95999999999998</v>
      </c>
      <c r="Q104" s="13">
        <f>IF(SalesData[[#This Row],[Revenue]]=0,0,SalesData[[#This Row],[Profit]]/SalesData[[#This Row],[Revenue]])</f>
        <v>0.72799999999999998</v>
      </c>
      <c r="R104" t="s">
        <v>1144</v>
      </c>
      <c r="S104" t="s">
        <v>1343</v>
      </c>
      <c r="T104" t="str">
        <f>PROPER(SalesData[[#This Row],[Customer Name]])</f>
        <v>Ava Davis</v>
      </c>
      <c r="U104" t="s">
        <v>1416</v>
      </c>
      <c r="V104" t="s">
        <v>1424</v>
      </c>
    </row>
    <row r="105" spans="1:22" x14ac:dyDescent="0.25">
      <c r="A105" t="s">
        <v>1531</v>
      </c>
      <c r="B105" s="5">
        <v>45321</v>
      </c>
      <c r="C105" s="2" t="str">
        <f>TEXT(SalesData[[#This Row],[Order Date]],"mmm")</f>
        <v>Jan</v>
      </c>
      <c r="D105" s="7">
        <f>MONTH(SalesData[[#This Row],[Order Date]])</f>
        <v>1</v>
      </c>
      <c r="E105" s="7">
        <f>YEAR(SalesData[[#This Row],[Order Date]])</f>
        <v>2024</v>
      </c>
      <c r="F105" t="s">
        <v>731</v>
      </c>
      <c r="G105" t="str">
        <f>PROPER(SalesData[[#This Row],[Product Name]])</f>
        <v>Reusable Bamboo Utensil Set</v>
      </c>
      <c r="H105" t="s">
        <v>1014</v>
      </c>
      <c r="I105" t="str">
        <f>UPPER(SalesData[[#This Row],[Product Category]])</f>
        <v>KITCHENWARE</v>
      </c>
      <c r="J105">
        <v>7</v>
      </c>
      <c r="K105">
        <v>15</v>
      </c>
      <c r="L105" s="15">
        <f>IF(SalesData[[#This Row],[Unit Price]]="",
    AVERAGEIFS(SalesData[Unit Price],
               SalesData[Product Name],SalesData[[#This Row],[Product Name]]),
    SalesData[[#This Row],[Unit Price]])</f>
        <v>15</v>
      </c>
      <c r="M105" s="15">
        <v>5.75</v>
      </c>
      <c r="N105" s="15">
        <f>SalesData[[#This Row],[Quantity Sold]] * SalesData[[#This Row],[Cleaned Unit Price]]</f>
        <v>105</v>
      </c>
      <c r="O105" s="15">
        <f>SalesData[[#This Row],[Quantity Sold]] * SalesData[[#This Row],[Unit Cost]]</f>
        <v>40.25</v>
      </c>
      <c r="P105" s="15">
        <f>SalesData[[#This Row],[Revenue]] - SalesData[[#This Row],[Cost]]</f>
        <v>64.75</v>
      </c>
      <c r="Q105" s="13">
        <f>IF(SalesData[[#This Row],[Revenue]]=0,0,SalesData[[#This Row],[Profit]]/SalesData[[#This Row],[Revenue]])</f>
        <v>0.6166666666666667</v>
      </c>
      <c r="R105" t="s">
        <v>1129</v>
      </c>
      <c r="S105" t="s">
        <v>1328</v>
      </c>
      <c r="T105" t="str">
        <f>PROPER(SalesData[[#This Row],[Customer Name]])</f>
        <v>Ava Brown</v>
      </c>
      <c r="U105" t="s">
        <v>1414</v>
      </c>
      <c r="V105" t="s">
        <v>1423</v>
      </c>
    </row>
    <row r="106" spans="1:22" x14ac:dyDescent="0.25">
      <c r="A106" t="s">
        <v>1532</v>
      </c>
      <c r="B106" s="5">
        <v>45322</v>
      </c>
      <c r="C106" s="2" t="str">
        <f>TEXT(SalesData[[#This Row],[Order Date]],"mmm")</f>
        <v>Jan</v>
      </c>
      <c r="D106" s="7">
        <f>MONTH(SalesData[[#This Row],[Order Date]])</f>
        <v>1</v>
      </c>
      <c r="E106" s="7">
        <f>YEAR(SalesData[[#This Row],[Order Date]])</f>
        <v>2024</v>
      </c>
      <c r="F106" t="s">
        <v>193</v>
      </c>
      <c r="G106" t="str">
        <f>PROPER(SalesData[[#This Row],[Product Name]])</f>
        <v>Biodegradable Cleaning Cloth</v>
      </c>
      <c r="H106" t="s">
        <v>1015</v>
      </c>
      <c r="I106" t="str">
        <f>UPPER(SalesData[[#This Row],[Product Category]])</f>
        <v>CLEANING</v>
      </c>
      <c r="J106">
        <v>3</v>
      </c>
      <c r="K106">
        <v>10</v>
      </c>
      <c r="L106" s="15">
        <f>IF(SalesData[[#This Row],[Unit Price]]="",
    AVERAGEIFS(SalesData[Unit Price],
               SalesData[Product Name],SalesData[[#This Row],[Product Name]]),
    SalesData[[#This Row],[Unit Price]])</f>
        <v>10</v>
      </c>
      <c r="M106" s="15">
        <v>2.88</v>
      </c>
      <c r="N106" s="15">
        <f>SalesData[[#This Row],[Quantity Sold]] * SalesData[[#This Row],[Cleaned Unit Price]]</f>
        <v>30</v>
      </c>
      <c r="O106" s="15">
        <f>SalesData[[#This Row],[Quantity Sold]] * SalesData[[#This Row],[Unit Cost]]</f>
        <v>8.64</v>
      </c>
      <c r="P106" s="15">
        <f>SalesData[[#This Row],[Revenue]] - SalesData[[#This Row],[Cost]]</f>
        <v>21.36</v>
      </c>
      <c r="Q106" s="13">
        <f>IF(SalesData[[#This Row],[Revenue]]=0,0,SalesData[[#This Row],[Profit]]/SalesData[[#This Row],[Revenue]])</f>
        <v>0.71199999999999997</v>
      </c>
      <c r="R106" t="s">
        <v>1137</v>
      </c>
      <c r="S106" t="s">
        <v>1336</v>
      </c>
      <c r="T106" t="str">
        <f>PROPER(SalesData[[#This Row],[Customer Name]])</f>
        <v>Harper Miller</v>
      </c>
      <c r="U106" t="s">
        <v>1416</v>
      </c>
      <c r="V106" t="s">
        <v>1424</v>
      </c>
    </row>
    <row r="107" spans="1:22" x14ac:dyDescent="0.25">
      <c r="A107" t="s">
        <v>1533</v>
      </c>
      <c r="B107" s="5">
        <v>45322</v>
      </c>
      <c r="C107" s="2" t="str">
        <f>TEXT(SalesData[[#This Row],[Order Date]],"mmm")</f>
        <v>Jan</v>
      </c>
      <c r="D107" s="7">
        <f>MONTH(SalesData[[#This Row],[Order Date]])</f>
        <v>1</v>
      </c>
      <c r="E107" s="7">
        <f>YEAR(SalesData[[#This Row],[Order Date]])</f>
        <v>2024</v>
      </c>
      <c r="F107" t="s">
        <v>262</v>
      </c>
      <c r="G107" t="str">
        <f>PROPER(SalesData[[#This Row],[Product Name]])</f>
        <v>Biodegradable Cleaning Cloth</v>
      </c>
      <c r="H107" t="s">
        <v>1015</v>
      </c>
      <c r="I107" t="str">
        <f>UPPER(SalesData[[#This Row],[Product Category]])</f>
        <v>CLEANING</v>
      </c>
      <c r="J107">
        <v>9</v>
      </c>
      <c r="K107">
        <v>10</v>
      </c>
      <c r="L107" s="15">
        <f>IF(SalesData[[#This Row],[Unit Price]]="",
    AVERAGEIFS(SalesData[Unit Price],
               SalesData[Product Name],SalesData[[#This Row],[Product Name]]),
    SalesData[[#This Row],[Unit Price]])</f>
        <v>10</v>
      </c>
      <c r="M107" s="15">
        <v>3.15</v>
      </c>
      <c r="N107" s="15">
        <f>SalesData[[#This Row],[Quantity Sold]] * SalesData[[#This Row],[Cleaned Unit Price]]</f>
        <v>90</v>
      </c>
      <c r="O107" s="15">
        <f>SalesData[[#This Row],[Quantity Sold]] * SalesData[[#This Row],[Unit Cost]]</f>
        <v>28.349999999999998</v>
      </c>
      <c r="P107" s="15">
        <f>SalesData[[#This Row],[Revenue]] - SalesData[[#This Row],[Cost]]</f>
        <v>61.650000000000006</v>
      </c>
      <c r="Q107" s="13">
        <f>IF(SalesData[[#This Row],[Revenue]]=0,0,SalesData[[#This Row],[Profit]]/SalesData[[#This Row],[Revenue]])</f>
        <v>0.68500000000000005</v>
      </c>
      <c r="R107" t="s">
        <v>1089</v>
      </c>
      <c r="S107" t="s">
        <v>1288</v>
      </c>
      <c r="T107" t="str">
        <f>PROPER(SalesData[[#This Row],[Customer Name]])</f>
        <v>Isabella Garcia</v>
      </c>
      <c r="U107" t="s">
        <v>1414</v>
      </c>
      <c r="V107" t="s">
        <v>1425</v>
      </c>
    </row>
    <row r="108" spans="1:22" x14ac:dyDescent="0.25">
      <c r="A108" t="s">
        <v>1534</v>
      </c>
      <c r="B108" s="5">
        <v>45322</v>
      </c>
      <c r="C108" s="2" t="str">
        <f>TEXT(SalesData[[#This Row],[Order Date]],"mmm")</f>
        <v>Jan</v>
      </c>
      <c r="D108" s="7">
        <f>MONTH(SalesData[[#This Row],[Order Date]])</f>
        <v>1</v>
      </c>
      <c r="E108" s="7">
        <f>YEAR(SalesData[[#This Row],[Order Date]])</f>
        <v>2024</v>
      </c>
      <c r="F108" t="s">
        <v>460</v>
      </c>
      <c r="G108" t="str">
        <f>PROPER(SalesData[[#This Row],[Product Name]])</f>
        <v>Eco Canvas Tote Bag</v>
      </c>
      <c r="H108" t="s">
        <v>1013</v>
      </c>
      <c r="I108" t="str">
        <f>UPPER(SalesData[[#This Row],[Product Category]])</f>
        <v>BAGS</v>
      </c>
      <c r="J108">
        <v>1</v>
      </c>
      <c r="K108">
        <v>25</v>
      </c>
      <c r="L108" s="15">
        <f>IF(SalesData[[#This Row],[Unit Price]]="",
    AVERAGEIFS(SalesData[Unit Price],
               SalesData[Product Name],SalesData[[#This Row],[Product Name]]),
    SalesData[[#This Row],[Unit Price]])</f>
        <v>25</v>
      </c>
      <c r="M108" s="15">
        <v>5.62</v>
      </c>
      <c r="N108" s="15">
        <f>SalesData[[#This Row],[Quantity Sold]] * SalesData[[#This Row],[Cleaned Unit Price]]</f>
        <v>25</v>
      </c>
      <c r="O108" s="15">
        <f>SalesData[[#This Row],[Quantity Sold]] * SalesData[[#This Row],[Unit Cost]]</f>
        <v>5.62</v>
      </c>
      <c r="P108" s="15">
        <f>SalesData[[#This Row],[Revenue]] - SalesData[[#This Row],[Cost]]</f>
        <v>19.38</v>
      </c>
      <c r="Q108" s="13">
        <f>IF(SalesData[[#This Row],[Revenue]]=0,0,SalesData[[#This Row],[Profit]]/SalesData[[#This Row],[Revenue]])</f>
        <v>0.7752</v>
      </c>
      <c r="R108" t="s">
        <v>1074</v>
      </c>
      <c r="S108" t="s">
        <v>1273</v>
      </c>
      <c r="T108" t="str">
        <f>PROPER(SalesData[[#This Row],[Customer Name]])</f>
        <v>Isabella Jones</v>
      </c>
      <c r="U108" t="s">
        <v>1414</v>
      </c>
      <c r="V108" t="s">
        <v>1422</v>
      </c>
    </row>
    <row r="109" spans="1:22" x14ac:dyDescent="0.25">
      <c r="A109" t="s">
        <v>1535</v>
      </c>
      <c r="B109" s="5">
        <v>45322</v>
      </c>
      <c r="C109" s="2" t="str">
        <f>TEXT(SalesData[[#This Row],[Order Date]],"mmm")</f>
        <v>Jan</v>
      </c>
      <c r="D109" s="7">
        <f>MONTH(SalesData[[#This Row],[Order Date]])</f>
        <v>1</v>
      </c>
      <c r="E109" s="7">
        <f>YEAR(SalesData[[#This Row],[Order Date]])</f>
        <v>2024</v>
      </c>
      <c r="F109" t="s">
        <v>648</v>
      </c>
      <c r="G109" t="str">
        <f>PROPER(SalesData[[#This Row],[Product Name]])</f>
        <v>Eco Canvas Tote Bag</v>
      </c>
      <c r="H109" t="s">
        <v>1013</v>
      </c>
      <c r="I109" t="str">
        <f>UPPER(SalesData[[#This Row],[Product Category]])</f>
        <v>BAGS</v>
      </c>
      <c r="J109">
        <v>10</v>
      </c>
      <c r="K109">
        <v>25</v>
      </c>
      <c r="L109" s="15">
        <f>IF(SalesData[[#This Row],[Unit Price]]="",
    AVERAGEIFS(SalesData[Unit Price],
               SalesData[Product Name],SalesData[[#This Row],[Product Name]]),
    SalesData[[#This Row],[Unit Price]])</f>
        <v>25</v>
      </c>
      <c r="M109" s="15">
        <v>7.15</v>
      </c>
      <c r="N109" s="15">
        <f>SalesData[[#This Row],[Quantity Sold]] * SalesData[[#This Row],[Cleaned Unit Price]]</f>
        <v>250</v>
      </c>
      <c r="O109" s="15">
        <f>SalesData[[#This Row],[Quantity Sold]] * SalesData[[#This Row],[Unit Cost]]</f>
        <v>71.5</v>
      </c>
      <c r="P109" s="15">
        <f>SalesData[[#This Row],[Revenue]] - SalesData[[#This Row],[Cost]]</f>
        <v>178.5</v>
      </c>
      <c r="Q109" s="13">
        <f>IF(SalesData[[#This Row],[Revenue]]=0,0,SalesData[[#This Row],[Profit]]/SalesData[[#This Row],[Revenue]])</f>
        <v>0.71399999999999997</v>
      </c>
      <c r="R109" t="s">
        <v>1208</v>
      </c>
      <c r="S109" t="s">
        <v>1407</v>
      </c>
      <c r="T109" t="str">
        <f>PROPER(SalesData[[#This Row],[Customer Name]])</f>
        <v>Evelyn Martinez</v>
      </c>
      <c r="U109" t="s">
        <v>1414</v>
      </c>
      <c r="V109" t="s">
        <v>1426</v>
      </c>
    </row>
    <row r="110" spans="1:22" x14ac:dyDescent="0.25">
      <c r="A110" t="s">
        <v>1536</v>
      </c>
      <c r="B110" s="5">
        <v>45322</v>
      </c>
      <c r="C110" s="2" t="str">
        <f>TEXT(SalesData[[#This Row],[Order Date]],"mmm")</f>
        <v>Jan</v>
      </c>
      <c r="D110" s="7">
        <f>MONTH(SalesData[[#This Row],[Order Date]])</f>
        <v>1</v>
      </c>
      <c r="E110" s="7">
        <f>YEAR(SalesData[[#This Row],[Order Date]])</f>
        <v>2024</v>
      </c>
      <c r="F110" t="s">
        <v>692</v>
      </c>
      <c r="G110" t="str">
        <f>PROPER(SalesData[[#This Row],[Product Name]])</f>
        <v>Solar Led Lantern</v>
      </c>
      <c r="H110" t="s">
        <v>1012</v>
      </c>
      <c r="I110" t="str">
        <f>UPPER(SalesData[[#This Row],[Product Category]])</f>
        <v>LIGHTING</v>
      </c>
      <c r="J110">
        <v>10</v>
      </c>
      <c r="K110">
        <v>40</v>
      </c>
      <c r="L110" s="15">
        <f>IF(SalesData[[#This Row],[Unit Price]]="",
    AVERAGEIFS(SalesData[Unit Price],
               SalesData[Product Name],SalesData[[#This Row],[Product Name]]),
    SalesData[[#This Row],[Unit Price]])</f>
        <v>40</v>
      </c>
      <c r="M110" s="15">
        <v>14.26</v>
      </c>
      <c r="N110" s="15">
        <f>SalesData[[#This Row],[Quantity Sold]] * SalesData[[#This Row],[Cleaned Unit Price]]</f>
        <v>400</v>
      </c>
      <c r="O110" s="15">
        <f>SalesData[[#This Row],[Quantity Sold]] * SalesData[[#This Row],[Unit Cost]]</f>
        <v>142.6</v>
      </c>
      <c r="P110" s="15">
        <f>SalesData[[#This Row],[Revenue]] - SalesData[[#This Row],[Cost]]</f>
        <v>257.39999999999998</v>
      </c>
      <c r="Q110" s="13">
        <f>IF(SalesData[[#This Row],[Revenue]]=0,0,SalesData[[#This Row],[Profit]]/SalesData[[#This Row],[Revenue]])</f>
        <v>0.64349999999999996</v>
      </c>
      <c r="R110" t="s">
        <v>1067</v>
      </c>
      <c r="S110" t="s">
        <v>1266</v>
      </c>
      <c r="T110" t="str">
        <f>PROPER(SalesData[[#This Row],[Customer Name]])</f>
        <v>Charlotte Jones</v>
      </c>
      <c r="U110" t="s">
        <v>1414</v>
      </c>
      <c r="V110" t="s">
        <v>1421</v>
      </c>
    </row>
    <row r="111" spans="1:22" x14ac:dyDescent="0.25">
      <c r="A111" t="s">
        <v>1537</v>
      </c>
      <c r="B111" s="5">
        <v>45322</v>
      </c>
      <c r="C111" s="2" t="str">
        <f>TEXT(SalesData[[#This Row],[Order Date]],"mmm")</f>
        <v>Jan</v>
      </c>
      <c r="D111" s="7">
        <f>MONTH(SalesData[[#This Row],[Order Date]])</f>
        <v>1</v>
      </c>
      <c r="E111" s="7">
        <f>YEAR(SalesData[[#This Row],[Order Date]])</f>
        <v>2024</v>
      </c>
      <c r="F111" t="s">
        <v>777</v>
      </c>
      <c r="G111" t="str">
        <f>PROPER(SalesData[[#This Row],[Product Name]])</f>
        <v>Compostable Plant Pots</v>
      </c>
      <c r="H111" t="s">
        <v>1011</v>
      </c>
      <c r="I111" t="str">
        <f>UPPER(SalesData[[#This Row],[Product Category]])</f>
        <v>GARDENING</v>
      </c>
      <c r="J111">
        <v>3</v>
      </c>
      <c r="K111">
        <v>12</v>
      </c>
      <c r="L111" s="15">
        <f>IF(SalesData[[#This Row],[Unit Price]]="",
    AVERAGEIFS(SalesData[Unit Price],
               SalesData[Product Name],SalesData[[#This Row],[Product Name]]),
    SalesData[[#This Row],[Unit Price]])</f>
        <v>12</v>
      </c>
      <c r="M111" s="15">
        <v>3.43</v>
      </c>
      <c r="N111" s="15">
        <f>SalesData[[#This Row],[Quantity Sold]] * SalesData[[#This Row],[Cleaned Unit Price]]</f>
        <v>36</v>
      </c>
      <c r="O111" s="15">
        <f>SalesData[[#This Row],[Quantity Sold]] * SalesData[[#This Row],[Unit Cost]]</f>
        <v>10.290000000000001</v>
      </c>
      <c r="P111" s="15">
        <f>SalesData[[#This Row],[Revenue]] - SalesData[[#This Row],[Cost]]</f>
        <v>25.71</v>
      </c>
      <c r="Q111" s="13">
        <f>IF(SalesData[[#This Row],[Revenue]]=0,0,SalesData[[#This Row],[Profit]]/SalesData[[#This Row],[Revenue]])</f>
        <v>0.71416666666666673</v>
      </c>
      <c r="R111" t="s">
        <v>1128</v>
      </c>
      <c r="S111" t="s">
        <v>1327</v>
      </c>
      <c r="T111" t="str">
        <f>PROPER(SalesData[[#This Row],[Customer Name]])</f>
        <v>Ethan Williams</v>
      </c>
      <c r="U111" t="s">
        <v>1414</v>
      </c>
      <c r="V111" t="s">
        <v>1427</v>
      </c>
    </row>
    <row r="112" spans="1:22" x14ac:dyDescent="0.25">
      <c r="A112" t="s">
        <v>1538</v>
      </c>
      <c r="B112" s="5">
        <v>45323</v>
      </c>
      <c r="C112" s="2" t="str">
        <f>TEXT(SalesData[[#This Row],[Order Date]],"mmm")</f>
        <v>Feb</v>
      </c>
      <c r="D112" s="7">
        <f>MONTH(SalesData[[#This Row],[Order Date]])</f>
        <v>2</v>
      </c>
      <c r="E112" s="7">
        <f>YEAR(SalesData[[#This Row],[Order Date]])</f>
        <v>2024</v>
      </c>
      <c r="F112" t="s">
        <v>531</v>
      </c>
      <c r="G112" t="str">
        <f>PROPER(SalesData[[#This Row],[Product Name]])</f>
        <v>Eco Canvas Tote Bag</v>
      </c>
      <c r="H112" t="s">
        <v>1013</v>
      </c>
      <c r="I112" t="str">
        <f>UPPER(SalesData[[#This Row],[Product Category]])</f>
        <v>BAGS</v>
      </c>
      <c r="J112">
        <v>5</v>
      </c>
      <c r="K112">
        <v>25</v>
      </c>
      <c r="L112" s="15">
        <f>IF(SalesData[[#This Row],[Unit Price]]="",
    AVERAGEIFS(SalesData[Unit Price],
               SalesData[Product Name],SalesData[[#This Row],[Product Name]]),
    SalesData[[#This Row],[Unit Price]])</f>
        <v>25</v>
      </c>
      <c r="M112" s="15">
        <v>7.16</v>
      </c>
      <c r="N112" s="15">
        <f>SalesData[[#This Row],[Quantity Sold]] * SalesData[[#This Row],[Cleaned Unit Price]]</f>
        <v>125</v>
      </c>
      <c r="O112" s="15">
        <f>SalesData[[#This Row],[Quantity Sold]] * SalesData[[#This Row],[Unit Cost]]</f>
        <v>35.799999999999997</v>
      </c>
      <c r="P112" s="15">
        <f>SalesData[[#This Row],[Revenue]] - SalesData[[#This Row],[Cost]]</f>
        <v>89.2</v>
      </c>
      <c r="Q112" s="13">
        <f>IF(SalesData[[#This Row],[Revenue]]=0,0,SalesData[[#This Row],[Profit]]/SalesData[[#This Row],[Revenue]])</f>
        <v>0.71360000000000001</v>
      </c>
      <c r="R112" t="s">
        <v>1075</v>
      </c>
      <c r="S112" t="s">
        <v>1274</v>
      </c>
      <c r="T112" t="str">
        <f>PROPER(SalesData[[#This Row],[Customer Name]])</f>
        <v>Oliver Johnson</v>
      </c>
      <c r="U112" t="s">
        <v>1414</v>
      </c>
      <c r="V112" t="s">
        <v>1423</v>
      </c>
    </row>
    <row r="113" spans="1:22" x14ac:dyDescent="0.25">
      <c r="A113" t="s">
        <v>1539</v>
      </c>
      <c r="B113" s="5">
        <v>45323</v>
      </c>
      <c r="C113" s="2" t="str">
        <f>TEXT(SalesData[[#This Row],[Order Date]],"mmm")</f>
        <v>Feb</v>
      </c>
      <c r="D113" s="7">
        <f>MONTH(SalesData[[#This Row],[Order Date]])</f>
        <v>2</v>
      </c>
      <c r="E113" s="7">
        <f>YEAR(SalesData[[#This Row],[Order Date]])</f>
        <v>2024</v>
      </c>
      <c r="F113" t="s">
        <v>902</v>
      </c>
      <c r="G113" t="str">
        <f>PROPER(SalesData[[#This Row],[Product Name]])</f>
        <v>Solar Led Lantern</v>
      </c>
      <c r="H113" t="s">
        <v>1012</v>
      </c>
      <c r="I113" t="str">
        <f>UPPER(SalesData[[#This Row],[Product Category]])</f>
        <v>LIGHTING</v>
      </c>
      <c r="J113">
        <v>1</v>
      </c>
      <c r="K113">
        <v>40</v>
      </c>
      <c r="L113" s="15">
        <f>IF(SalesData[[#This Row],[Unit Price]]="",
    AVERAGEIFS(SalesData[Unit Price],
               SalesData[Product Name],SalesData[[#This Row],[Product Name]]),
    SalesData[[#This Row],[Unit Price]])</f>
        <v>40</v>
      </c>
      <c r="M113" s="15">
        <v>13.32</v>
      </c>
      <c r="N113" s="15">
        <f>SalesData[[#This Row],[Quantity Sold]] * SalesData[[#This Row],[Cleaned Unit Price]]</f>
        <v>40</v>
      </c>
      <c r="O113" s="15">
        <f>SalesData[[#This Row],[Quantity Sold]] * SalesData[[#This Row],[Unit Cost]]</f>
        <v>13.32</v>
      </c>
      <c r="P113" s="15">
        <f>SalesData[[#This Row],[Revenue]] - SalesData[[#This Row],[Cost]]</f>
        <v>26.68</v>
      </c>
      <c r="Q113" s="13">
        <f>IF(SalesData[[#This Row],[Revenue]]=0,0,SalesData[[#This Row],[Profit]]/SalesData[[#This Row],[Revenue]])</f>
        <v>0.66700000000000004</v>
      </c>
      <c r="R113" t="s">
        <v>1025</v>
      </c>
      <c r="S113" t="s">
        <v>1224</v>
      </c>
      <c r="T113" t="str">
        <f>PROPER(SalesData[[#This Row],[Customer Name]])</f>
        <v>Aiden Davis</v>
      </c>
      <c r="U113" t="s">
        <v>1414</v>
      </c>
      <c r="V113" t="s">
        <v>1420</v>
      </c>
    </row>
    <row r="114" spans="1:22" x14ac:dyDescent="0.25">
      <c r="A114" t="s">
        <v>1540</v>
      </c>
      <c r="B114" s="5">
        <v>45324</v>
      </c>
      <c r="C114" s="2" t="str">
        <f>TEXT(SalesData[[#This Row],[Order Date]],"mmm")</f>
        <v>Feb</v>
      </c>
      <c r="D114" s="7">
        <f>MONTH(SalesData[[#This Row],[Order Date]])</f>
        <v>2</v>
      </c>
      <c r="E114" s="7">
        <f>YEAR(SalesData[[#This Row],[Order Date]])</f>
        <v>2024</v>
      </c>
      <c r="F114" t="s">
        <v>163</v>
      </c>
      <c r="G114" t="str">
        <f>PROPER(SalesData[[#This Row],[Product Name]])</f>
        <v>Reusable Bamboo Utensil Set</v>
      </c>
      <c r="H114" t="s">
        <v>1014</v>
      </c>
      <c r="I114" t="str">
        <f>UPPER(SalesData[[#This Row],[Product Category]])</f>
        <v>KITCHENWARE</v>
      </c>
      <c r="J114">
        <v>8</v>
      </c>
      <c r="K114">
        <v>15</v>
      </c>
      <c r="L114" s="15">
        <f>IF(SalesData[[#This Row],[Unit Price]]="",
    AVERAGEIFS(SalesData[Unit Price],
               SalesData[Product Name],SalesData[[#This Row],[Product Name]]),
    SalesData[[#This Row],[Unit Price]])</f>
        <v>15</v>
      </c>
      <c r="M114" s="15">
        <v>4.83</v>
      </c>
      <c r="N114" s="15">
        <f>SalesData[[#This Row],[Quantity Sold]] * SalesData[[#This Row],[Cleaned Unit Price]]</f>
        <v>120</v>
      </c>
      <c r="O114" s="15">
        <f>SalesData[[#This Row],[Quantity Sold]] * SalesData[[#This Row],[Unit Cost]]</f>
        <v>38.64</v>
      </c>
      <c r="P114" s="15">
        <f>SalesData[[#This Row],[Revenue]] - SalesData[[#This Row],[Cost]]</f>
        <v>81.36</v>
      </c>
      <c r="Q114" s="13">
        <f>IF(SalesData[[#This Row],[Revenue]]=0,0,SalesData[[#This Row],[Profit]]/SalesData[[#This Row],[Revenue]])</f>
        <v>0.67800000000000005</v>
      </c>
      <c r="R114" t="s">
        <v>1124</v>
      </c>
      <c r="S114" t="s">
        <v>1323</v>
      </c>
      <c r="T114" t="str">
        <f>PROPER(SalesData[[#This Row],[Customer Name]])</f>
        <v>Emma Davis</v>
      </c>
      <c r="U114" t="s">
        <v>1415</v>
      </c>
      <c r="V114" t="s">
        <v>1427</v>
      </c>
    </row>
    <row r="115" spans="1:22" x14ac:dyDescent="0.25">
      <c r="A115" t="s">
        <v>1541</v>
      </c>
      <c r="B115" s="5">
        <v>45325</v>
      </c>
      <c r="C115" s="2" t="str">
        <f>TEXT(SalesData[[#This Row],[Order Date]],"mmm")</f>
        <v>Feb</v>
      </c>
      <c r="D115" s="7">
        <f>MONTH(SalesData[[#This Row],[Order Date]])</f>
        <v>2</v>
      </c>
      <c r="E115" s="7">
        <f>YEAR(SalesData[[#This Row],[Order Date]])</f>
        <v>2024</v>
      </c>
      <c r="F115" t="s">
        <v>286</v>
      </c>
      <c r="G115" t="str">
        <f>PROPER(SalesData[[#This Row],[Product Name]])</f>
        <v>Eco Canvas Tote Bag</v>
      </c>
      <c r="H115" t="s">
        <v>1013</v>
      </c>
      <c r="I115" t="str">
        <f>UPPER(SalesData[[#This Row],[Product Category]])</f>
        <v>BAGS</v>
      </c>
      <c r="J115">
        <v>2</v>
      </c>
      <c r="K115">
        <v>25</v>
      </c>
      <c r="L115" s="15">
        <f>IF(SalesData[[#This Row],[Unit Price]]="",
    AVERAGEIFS(SalesData[Unit Price],
               SalesData[Product Name],SalesData[[#This Row],[Product Name]]),
    SalesData[[#This Row],[Unit Price]])</f>
        <v>25</v>
      </c>
      <c r="M115" s="15">
        <v>5.45</v>
      </c>
      <c r="N115" s="15">
        <f>SalesData[[#This Row],[Quantity Sold]] * SalesData[[#This Row],[Cleaned Unit Price]]</f>
        <v>50</v>
      </c>
      <c r="O115" s="15">
        <f>SalesData[[#This Row],[Quantity Sold]] * SalesData[[#This Row],[Unit Cost]]</f>
        <v>10.9</v>
      </c>
      <c r="P115" s="15">
        <f>SalesData[[#This Row],[Revenue]] - SalesData[[#This Row],[Cost]]</f>
        <v>39.1</v>
      </c>
      <c r="Q115" s="13">
        <f>IF(SalesData[[#This Row],[Revenue]]=0,0,SalesData[[#This Row],[Profit]]/SalesData[[#This Row],[Revenue]])</f>
        <v>0.78200000000000003</v>
      </c>
      <c r="R115" t="s">
        <v>1024</v>
      </c>
      <c r="S115" t="s">
        <v>1223</v>
      </c>
      <c r="T115" t="str">
        <f>PROPER(SalesData[[#This Row],[Customer Name]])</f>
        <v>Ava Rodriguez</v>
      </c>
      <c r="U115" t="s">
        <v>1416</v>
      </c>
      <c r="V115" t="s">
        <v>1421</v>
      </c>
    </row>
    <row r="116" spans="1:22" x14ac:dyDescent="0.25">
      <c r="A116" t="s">
        <v>1542</v>
      </c>
      <c r="B116" s="5">
        <v>45326</v>
      </c>
      <c r="C116" s="2" t="str">
        <f>TEXT(SalesData[[#This Row],[Order Date]],"mmm")</f>
        <v>Feb</v>
      </c>
      <c r="D116" s="7">
        <f>MONTH(SalesData[[#This Row],[Order Date]])</f>
        <v>2</v>
      </c>
      <c r="E116" s="7">
        <f>YEAR(SalesData[[#This Row],[Order Date]])</f>
        <v>2024</v>
      </c>
      <c r="F116" t="s">
        <v>257</v>
      </c>
      <c r="G116" t="str">
        <f>PROPER(SalesData[[#This Row],[Product Name]])</f>
        <v>Eco Canvas Tote Bag</v>
      </c>
      <c r="H116" t="s">
        <v>1013</v>
      </c>
      <c r="I116" t="str">
        <f>UPPER(SalesData[[#This Row],[Product Category]])</f>
        <v>BAGS</v>
      </c>
      <c r="J116">
        <v>9</v>
      </c>
      <c r="K116">
        <v>25</v>
      </c>
      <c r="L116" s="15">
        <f>IF(SalesData[[#This Row],[Unit Price]]="",
    AVERAGEIFS(SalesData[Unit Price],
               SalesData[Product Name],SalesData[[#This Row],[Product Name]]),
    SalesData[[#This Row],[Unit Price]])</f>
        <v>25</v>
      </c>
      <c r="M116" s="15">
        <v>6.65</v>
      </c>
      <c r="N116" s="15">
        <f>SalesData[[#This Row],[Quantity Sold]] * SalesData[[#This Row],[Cleaned Unit Price]]</f>
        <v>225</v>
      </c>
      <c r="O116" s="15">
        <f>SalesData[[#This Row],[Quantity Sold]] * SalesData[[#This Row],[Unit Cost]]</f>
        <v>59.85</v>
      </c>
      <c r="P116" s="15">
        <f>SalesData[[#This Row],[Revenue]] - SalesData[[#This Row],[Cost]]</f>
        <v>165.15</v>
      </c>
      <c r="Q116" s="13">
        <f>IF(SalesData[[#This Row],[Revenue]]=0,0,SalesData[[#This Row],[Profit]]/SalesData[[#This Row],[Revenue]])</f>
        <v>0.73399999999999999</v>
      </c>
      <c r="R116" t="s">
        <v>1115</v>
      </c>
      <c r="S116" t="s">
        <v>1314</v>
      </c>
      <c r="T116" t="str">
        <f>PROPER(SalesData[[#This Row],[Customer Name]])</f>
        <v>Noah Brown</v>
      </c>
      <c r="U116" t="s">
        <v>1414</v>
      </c>
      <c r="V116" t="s">
        <v>1427</v>
      </c>
    </row>
    <row r="117" spans="1:22" x14ac:dyDescent="0.25">
      <c r="A117" t="s">
        <v>1543</v>
      </c>
      <c r="B117" s="5">
        <v>45327</v>
      </c>
      <c r="C117" s="2" t="str">
        <f>TEXT(SalesData[[#This Row],[Order Date]],"mmm")</f>
        <v>Feb</v>
      </c>
      <c r="D117" s="7">
        <f>MONTH(SalesData[[#This Row],[Order Date]])</f>
        <v>2</v>
      </c>
      <c r="E117" s="7">
        <f>YEAR(SalesData[[#This Row],[Order Date]])</f>
        <v>2024</v>
      </c>
      <c r="F117" t="s">
        <v>705</v>
      </c>
      <c r="G117" t="str">
        <f>PROPER(SalesData[[#This Row],[Product Name]])</f>
        <v>Biodegradable Cleaning Cloth</v>
      </c>
      <c r="H117" t="s">
        <v>1015</v>
      </c>
      <c r="I117" t="str">
        <f>UPPER(SalesData[[#This Row],[Product Category]])</f>
        <v>CLEANING</v>
      </c>
      <c r="J117">
        <v>1</v>
      </c>
      <c r="K117">
        <v>10</v>
      </c>
      <c r="L117" s="15">
        <f>IF(SalesData[[#This Row],[Unit Price]]="",
    AVERAGEIFS(SalesData[Unit Price],
               SalesData[Product Name],SalesData[[#This Row],[Product Name]]),
    SalesData[[#This Row],[Unit Price]])</f>
        <v>10</v>
      </c>
      <c r="M117" s="15">
        <v>2.91</v>
      </c>
      <c r="N117" s="15">
        <f>SalesData[[#This Row],[Quantity Sold]] * SalesData[[#This Row],[Cleaned Unit Price]]</f>
        <v>10</v>
      </c>
      <c r="O117" s="15">
        <f>SalesData[[#This Row],[Quantity Sold]] * SalesData[[#This Row],[Unit Cost]]</f>
        <v>2.91</v>
      </c>
      <c r="P117" s="15">
        <f>SalesData[[#This Row],[Revenue]] - SalesData[[#This Row],[Cost]]</f>
        <v>7.09</v>
      </c>
      <c r="Q117" s="13">
        <f>IF(SalesData[[#This Row],[Revenue]]=0,0,SalesData[[#This Row],[Profit]]/SalesData[[#This Row],[Revenue]])</f>
        <v>0.70899999999999996</v>
      </c>
      <c r="R117" t="s">
        <v>1112</v>
      </c>
      <c r="S117" t="s">
        <v>1311</v>
      </c>
      <c r="T117" t="str">
        <f>PROPER(SalesData[[#This Row],[Customer Name]])</f>
        <v>Mia Rodriguez</v>
      </c>
      <c r="U117" t="s">
        <v>1414</v>
      </c>
      <c r="V117" t="s">
        <v>1421</v>
      </c>
    </row>
    <row r="118" spans="1:22" x14ac:dyDescent="0.25">
      <c r="A118" t="s">
        <v>1544</v>
      </c>
      <c r="B118" s="5">
        <v>45328</v>
      </c>
      <c r="C118" s="2" t="str">
        <f>TEXT(SalesData[[#This Row],[Order Date]],"mmm")</f>
        <v>Feb</v>
      </c>
      <c r="D118" s="7">
        <f>MONTH(SalesData[[#This Row],[Order Date]])</f>
        <v>2</v>
      </c>
      <c r="E118" s="7">
        <f>YEAR(SalesData[[#This Row],[Order Date]])</f>
        <v>2024</v>
      </c>
      <c r="F118" t="s">
        <v>292</v>
      </c>
      <c r="G118" t="str">
        <f>PROPER(SalesData[[#This Row],[Product Name]])</f>
        <v>Biodegradable Cleaning Cloth</v>
      </c>
      <c r="H118" t="s">
        <v>1015</v>
      </c>
      <c r="I118" t="str">
        <f>UPPER(SalesData[[#This Row],[Product Category]])</f>
        <v>CLEANING</v>
      </c>
      <c r="J118">
        <v>8</v>
      </c>
      <c r="L118" s="15">
        <f>IF(SalesData[[#This Row],[Unit Price]]="",
    AVERAGEIFS(SalesData[Unit Price],
               SalesData[Product Name],SalesData[[#This Row],[Product Name]]),
    SalesData[[#This Row],[Unit Price]])</f>
        <v>10</v>
      </c>
      <c r="M118" s="15">
        <v>3.92</v>
      </c>
      <c r="N118" s="15">
        <f>SalesData[[#This Row],[Quantity Sold]] * SalesData[[#This Row],[Cleaned Unit Price]]</f>
        <v>80</v>
      </c>
      <c r="O118" s="15">
        <f>SalesData[[#This Row],[Quantity Sold]] * SalesData[[#This Row],[Unit Cost]]</f>
        <v>31.36</v>
      </c>
      <c r="P118" s="15">
        <f>SalesData[[#This Row],[Revenue]] - SalesData[[#This Row],[Cost]]</f>
        <v>48.64</v>
      </c>
      <c r="Q118" s="13">
        <f>IF(SalesData[[#This Row],[Revenue]]=0,0,SalesData[[#This Row],[Profit]]/SalesData[[#This Row],[Revenue]])</f>
        <v>0.60799999999999998</v>
      </c>
      <c r="R118" t="s">
        <v>1168</v>
      </c>
      <c r="S118" t="s">
        <v>1367</v>
      </c>
      <c r="T118" t="str">
        <f>PROPER(SalesData[[#This Row],[Customer Name]])</f>
        <v>Harper Miller</v>
      </c>
      <c r="U118" t="s">
        <v>1416</v>
      </c>
      <c r="V118" t="s">
        <v>1422</v>
      </c>
    </row>
    <row r="119" spans="1:22" x14ac:dyDescent="0.25">
      <c r="A119" t="s">
        <v>1545</v>
      </c>
      <c r="B119" s="5">
        <v>45328</v>
      </c>
      <c r="C119" s="2" t="str">
        <f>TEXT(SalesData[[#This Row],[Order Date]],"mmm")</f>
        <v>Feb</v>
      </c>
      <c r="D119" s="7">
        <f>MONTH(SalesData[[#This Row],[Order Date]])</f>
        <v>2</v>
      </c>
      <c r="E119" s="7">
        <f>YEAR(SalesData[[#This Row],[Order Date]])</f>
        <v>2024</v>
      </c>
      <c r="F119" t="s">
        <v>426</v>
      </c>
      <c r="G119" t="str">
        <f>PROPER(SalesData[[#This Row],[Product Name]])</f>
        <v>Reusable Bamboo Utensil Set</v>
      </c>
      <c r="H119" t="s">
        <v>1014</v>
      </c>
      <c r="I119" t="str">
        <f>UPPER(SalesData[[#This Row],[Product Category]])</f>
        <v>KITCHENWARE</v>
      </c>
      <c r="J119">
        <v>5</v>
      </c>
      <c r="K119">
        <v>15</v>
      </c>
      <c r="L119" s="15">
        <f>IF(SalesData[[#This Row],[Unit Price]]="",
    AVERAGEIFS(SalesData[Unit Price],
               SalesData[Product Name],SalesData[[#This Row],[Product Name]]),
    SalesData[[#This Row],[Unit Price]])</f>
        <v>15</v>
      </c>
      <c r="M119" s="15">
        <v>4.6100000000000003</v>
      </c>
      <c r="N119" s="15">
        <f>SalesData[[#This Row],[Quantity Sold]] * SalesData[[#This Row],[Cleaned Unit Price]]</f>
        <v>75</v>
      </c>
      <c r="O119" s="15">
        <f>SalesData[[#This Row],[Quantity Sold]] * SalesData[[#This Row],[Unit Cost]]</f>
        <v>23.05</v>
      </c>
      <c r="P119" s="15">
        <f>SalesData[[#This Row],[Revenue]] - SalesData[[#This Row],[Cost]]</f>
        <v>51.95</v>
      </c>
      <c r="Q119" s="13">
        <f>IF(SalesData[[#This Row],[Revenue]]=0,0,SalesData[[#This Row],[Profit]]/SalesData[[#This Row],[Revenue]])</f>
        <v>0.69266666666666665</v>
      </c>
      <c r="R119" t="s">
        <v>1181</v>
      </c>
      <c r="S119" t="s">
        <v>1380</v>
      </c>
      <c r="T119" t="str">
        <f>PROPER(SalesData[[#This Row],[Customer Name]])</f>
        <v>Charlotte Johnson</v>
      </c>
      <c r="U119" t="s">
        <v>1415</v>
      </c>
      <c r="V119" t="s">
        <v>1421</v>
      </c>
    </row>
    <row r="120" spans="1:22" x14ac:dyDescent="0.25">
      <c r="A120" t="s">
        <v>1546</v>
      </c>
      <c r="B120" s="5">
        <v>45328</v>
      </c>
      <c r="C120" s="2" t="str">
        <f>TEXT(SalesData[[#This Row],[Order Date]],"mmm")</f>
        <v>Feb</v>
      </c>
      <c r="D120" s="7">
        <f>MONTH(SalesData[[#This Row],[Order Date]])</f>
        <v>2</v>
      </c>
      <c r="E120" s="7">
        <f>YEAR(SalesData[[#This Row],[Order Date]])</f>
        <v>2024</v>
      </c>
      <c r="F120" t="s">
        <v>681</v>
      </c>
      <c r="G120" t="str">
        <f>PROPER(SalesData[[#This Row],[Product Name]])</f>
        <v>Biodegradable Cleaning Cloth</v>
      </c>
      <c r="H120" t="s">
        <v>1015</v>
      </c>
      <c r="I120" t="str">
        <f>UPPER(SalesData[[#This Row],[Product Category]])</f>
        <v>CLEANING</v>
      </c>
      <c r="J120">
        <v>4</v>
      </c>
      <c r="K120">
        <v>10</v>
      </c>
      <c r="L120" s="15">
        <f>IF(SalesData[[#This Row],[Unit Price]]="",
    AVERAGEIFS(SalesData[Unit Price],
               SalesData[Product Name],SalesData[[#This Row],[Product Name]]),
    SalesData[[#This Row],[Unit Price]])</f>
        <v>10</v>
      </c>
      <c r="M120" s="15">
        <v>3.17</v>
      </c>
      <c r="N120" s="15">
        <f>SalesData[[#This Row],[Quantity Sold]] * SalesData[[#This Row],[Cleaned Unit Price]]</f>
        <v>40</v>
      </c>
      <c r="O120" s="15">
        <f>SalesData[[#This Row],[Quantity Sold]] * SalesData[[#This Row],[Unit Cost]]</f>
        <v>12.68</v>
      </c>
      <c r="P120" s="15">
        <f>SalesData[[#This Row],[Revenue]] - SalesData[[#This Row],[Cost]]</f>
        <v>27.32</v>
      </c>
      <c r="Q120" s="13">
        <f>IF(SalesData[[#This Row],[Revenue]]=0,0,SalesData[[#This Row],[Profit]]/SalesData[[#This Row],[Revenue]])</f>
        <v>0.68300000000000005</v>
      </c>
      <c r="R120" t="s">
        <v>1143</v>
      </c>
      <c r="S120" t="s">
        <v>1342</v>
      </c>
      <c r="T120" t="str">
        <f>PROPER(SalesData[[#This Row],[Customer Name]])</f>
        <v>Ava Smith</v>
      </c>
      <c r="U120" t="s">
        <v>1414</v>
      </c>
      <c r="V120" t="s">
        <v>1422</v>
      </c>
    </row>
    <row r="121" spans="1:22" x14ac:dyDescent="0.25">
      <c r="A121" t="s">
        <v>1547</v>
      </c>
      <c r="B121" s="5">
        <v>45328</v>
      </c>
      <c r="C121" s="2" t="str">
        <f>TEXT(SalesData[[#This Row],[Order Date]],"mmm")</f>
        <v>Feb</v>
      </c>
      <c r="D121" s="7">
        <f>MONTH(SalesData[[#This Row],[Order Date]])</f>
        <v>2</v>
      </c>
      <c r="E121" s="7">
        <f>YEAR(SalesData[[#This Row],[Order Date]])</f>
        <v>2024</v>
      </c>
      <c r="F121" t="s">
        <v>756</v>
      </c>
      <c r="G121" t="str">
        <f>PROPER(SalesData[[#This Row],[Product Name]])</f>
        <v>Solar Led Lantern</v>
      </c>
      <c r="H121" t="s">
        <v>1012</v>
      </c>
      <c r="I121" t="str">
        <f>UPPER(SalesData[[#This Row],[Product Category]])</f>
        <v>LIGHTING</v>
      </c>
      <c r="J121">
        <v>5</v>
      </c>
      <c r="K121">
        <v>40</v>
      </c>
      <c r="L121" s="15">
        <f>IF(SalesData[[#This Row],[Unit Price]]="",
    AVERAGEIFS(SalesData[Unit Price],
               SalesData[Product Name],SalesData[[#This Row],[Product Name]]),
    SalesData[[#This Row],[Unit Price]])</f>
        <v>40</v>
      </c>
      <c r="M121" s="15">
        <v>11.02</v>
      </c>
      <c r="N121" s="15">
        <f>SalesData[[#This Row],[Quantity Sold]] * SalesData[[#This Row],[Cleaned Unit Price]]</f>
        <v>200</v>
      </c>
      <c r="O121" s="15">
        <f>SalesData[[#This Row],[Quantity Sold]] * SalesData[[#This Row],[Unit Cost]]</f>
        <v>55.099999999999994</v>
      </c>
      <c r="P121" s="15">
        <f>SalesData[[#This Row],[Revenue]] - SalesData[[#This Row],[Cost]]</f>
        <v>144.9</v>
      </c>
      <c r="Q121" s="13">
        <f>IF(SalesData[[#This Row],[Revenue]]=0,0,SalesData[[#This Row],[Profit]]/SalesData[[#This Row],[Revenue]])</f>
        <v>0.72450000000000003</v>
      </c>
      <c r="R121" t="s">
        <v>1044</v>
      </c>
      <c r="S121" t="s">
        <v>1243</v>
      </c>
      <c r="T121" t="str">
        <f>PROPER(SalesData[[#This Row],[Customer Name]])</f>
        <v>Sophia Brown</v>
      </c>
      <c r="U121" t="s">
        <v>1414</v>
      </c>
      <c r="V121" t="s">
        <v>1418</v>
      </c>
    </row>
    <row r="122" spans="1:22" x14ac:dyDescent="0.25">
      <c r="A122" t="s">
        <v>1548</v>
      </c>
      <c r="B122" s="5">
        <v>45328</v>
      </c>
      <c r="C122" s="2" t="str">
        <f>TEXT(SalesData[[#This Row],[Order Date]],"mmm")</f>
        <v>Feb</v>
      </c>
      <c r="D122" s="7">
        <f>MONTH(SalesData[[#This Row],[Order Date]])</f>
        <v>2</v>
      </c>
      <c r="E122" s="7">
        <f>YEAR(SalesData[[#This Row],[Order Date]])</f>
        <v>2024</v>
      </c>
      <c r="F122" t="s">
        <v>870</v>
      </c>
      <c r="G122" t="str">
        <f>PROPER(SalesData[[#This Row],[Product Name]])</f>
        <v>Solar Led Lantern</v>
      </c>
      <c r="H122" t="s">
        <v>1012</v>
      </c>
      <c r="I122" t="str">
        <f>UPPER(SalesData[[#This Row],[Product Category]])</f>
        <v>LIGHTING</v>
      </c>
      <c r="J122">
        <v>1</v>
      </c>
      <c r="K122">
        <v>40</v>
      </c>
      <c r="L122" s="15">
        <f>IF(SalesData[[#This Row],[Unit Price]]="",
    AVERAGEIFS(SalesData[Unit Price],
               SalesData[Product Name],SalesData[[#This Row],[Product Name]]),
    SalesData[[#This Row],[Unit Price]])</f>
        <v>40</v>
      </c>
      <c r="M122" s="15">
        <v>12.28</v>
      </c>
      <c r="N122" s="15">
        <f>SalesData[[#This Row],[Quantity Sold]] * SalesData[[#This Row],[Cleaned Unit Price]]</f>
        <v>40</v>
      </c>
      <c r="O122" s="15">
        <f>SalesData[[#This Row],[Quantity Sold]] * SalesData[[#This Row],[Unit Cost]]</f>
        <v>12.28</v>
      </c>
      <c r="P122" s="15">
        <f>SalesData[[#This Row],[Revenue]] - SalesData[[#This Row],[Cost]]</f>
        <v>27.72</v>
      </c>
      <c r="Q122" s="13">
        <f>IF(SalesData[[#This Row],[Revenue]]=0,0,SalesData[[#This Row],[Profit]]/SalesData[[#This Row],[Revenue]])</f>
        <v>0.69299999999999995</v>
      </c>
      <c r="R122" t="s">
        <v>1136</v>
      </c>
      <c r="S122" t="s">
        <v>1335</v>
      </c>
      <c r="T122" t="str">
        <f>PROPER(SalesData[[#This Row],[Customer Name]])</f>
        <v>Logan Smith</v>
      </c>
      <c r="U122" t="s">
        <v>1414</v>
      </c>
      <c r="V122" t="s">
        <v>1424</v>
      </c>
    </row>
    <row r="123" spans="1:22" x14ac:dyDescent="0.25">
      <c r="A123" t="s">
        <v>1549</v>
      </c>
      <c r="B123" s="5">
        <v>45329</v>
      </c>
      <c r="C123" s="2" t="str">
        <f>TEXT(SalesData[[#This Row],[Order Date]],"mmm")</f>
        <v>Feb</v>
      </c>
      <c r="D123" s="7">
        <f>MONTH(SalesData[[#This Row],[Order Date]])</f>
        <v>2</v>
      </c>
      <c r="E123" s="7">
        <f>YEAR(SalesData[[#This Row],[Order Date]])</f>
        <v>2024</v>
      </c>
      <c r="F123" t="s">
        <v>440</v>
      </c>
      <c r="G123" t="str">
        <f>PROPER(SalesData[[#This Row],[Product Name]])</f>
        <v>Compostable Plant Pots</v>
      </c>
      <c r="H123" t="s">
        <v>1011</v>
      </c>
      <c r="I123" t="str">
        <f>UPPER(SalesData[[#This Row],[Product Category]])</f>
        <v>GARDENING</v>
      </c>
      <c r="J123">
        <v>10</v>
      </c>
      <c r="K123">
        <v>12</v>
      </c>
      <c r="L123" s="15">
        <f>IF(SalesData[[#This Row],[Unit Price]]="",
    AVERAGEIFS(SalesData[Unit Price],
               SalesData[Product Name],SalesData[[#This Row],[Product Name]]),
    SalesData[[#This Row],[Unit Price]])</f>
        <v>12</v>
      </c>
      <c r="M123" s="15">
        <v>3.91</v>
      </c>
      <c r="N123" s="15">
        <f>SalesData[[#This Row],[Quantity Sold]] * SalesData[[#This Row],[Cleaned Unit Price]]</f>
        <v>120</v>
      </c>
      <c r="O123" s="15">
        <f>SalesData[[#This Row],[Quantity Sold]] * SalesData[[#This Row],[Unit Cost]]</f>
        <v>39.1</v>
      </c>
      <c r="P123" s="15">
        <f>SalesData[[#This Row],[Revenue]] - SalesData[[#This Row],[Cost]]</f>
        <v>80.900000000000006</v>
      </c>
      <c r="Q123" s="13">
        <f>IF(SalesData[[#This Row],[Revenue]]=0,0,SalesData[[#This Row],[Profit]]/SalesData[[#This Row],[Revenue]])</f>
        <v>0.67416666666666669</v>
      </c>
      <c r="R123" t="s">
        <v>1138</v>
      </c>
      <c r="S123" t="s">
        <v>1337</v>
      </c>
      <c r="T123" t="str">
        <f>PROPER(SalesData[[#This Row],[Customer Name]])</f>
        <v>Noah Williams</v>
      </c>
      <c r="U123" t="s">
        <v>1416</v>
      </c>
      <c r="V123" t="s">
        <v>1421</v>
      </c>
    </row>
    <row r="124" spans="1:22" x14ac:dyDescent="0.25">
      <c r="A124" t="s">
        <v>1550</v>
      </c>
      <c r="B124" s="5">
        <v>45329</v>
      </c>
      <c r="C124" s="2" t="str">
        <f>TEXT(SalesData[[#This Row],[Order Date]],"mmm")</f>
        <v>Feb</v>
      </c>
      <c r="D124" s="7">
        <f>MONTH(SalesData[[#This Row],[Order Date]])</f>
        <v>2</v>
      </c>
      <c r="E124" s="7">
        <f>YEAR(SalesData[[#This Row],[Order Date]])</f>
        <v>2024</v>
      </c>
      <c r="F124" t="s">
        <v>942</v>
      </c>
      <c r="G124" t="str">
        <f>PROPER(SalesData[[#This Row],[Product Name]])</f>
        <v>Solar Led Lantern</v>
      </c>
      <c r="H124" t="s">
        <v>1012</v>
      </c>
      <c r="I124" t="str">
        <f>UPPER(SalesData[[#This Row],[Product Category]])</f>
        <v>LIGHTING</v>
      </c>
      <c r="J124">
        <v>6</v>
      </c>
      <c r="K124">
        <v>40</v>
      </c>
      <c r="L124" s="15">
        <f>IF(SalesData[[#This Row],[Unit Price]]="",
    AVERAGEIFS(SalesData[Unit Price],
               SalesData[Product Name],SalesData[[#This Row],[Product Name]]),
    SalesData[[#This Row],[Unit Price]])</f>
        <v>40</v>
      </c>
      <c r="M124" s="15">
        <v>15</v>
      </c>
      <c r="N124" s="15">
        <f>SalesData[[#This Row],[Quantity Sold]] * SalesData[[#This Row],[Cleaned Unit Price]]</f>
        <v>240</v>
      </c>
      <c r="O124" s="15">
        <f>SalesData[[#This Row],[Quantity Sold]] * SalesData[[#This Row],[Unit Cost]]</f>
        <v>90</v>
      </c>
      <c r="P124" s="15">
        <f>SalesData[[#This Row],[Revenue]] - SalesData[[#This Row],[Cost]]</f>
        <v>150</v>
      </c>
      <c r="Q124" s="13">
        <f>IF(SalesData[[#This Row],[Revenue]]=0,0,SalesData[[#This Row],[Profit]]/SalesData[[#This Row],[Revenue]])</f>
        <v>0.625</v>
      </c>
      <c r="R124" t="s">
        <v>1078</v>
      </c>
      <c r="S124" t="s">
        <v>1277</v>
      </c>
      <c r="T124" t="str">
        <f>PROPER(SalesData[[#This Row],[Customer Name]])</f>
        <v>Elijah Martinez</v>
      </c>
      <c r="U124" t="s">
        <v>1414</v>
      </c>
      <c r="V124" t="s">
        <v>1420</v>
      </c>
    </row>
    <row r="125" spans="1:22" x14ac:dyDescent="0.25">
      <c r="A125" t="s">
        <v>1551</v>
      </c>
      <c r="B125" s="5">
        <v>45330</v>
      </c>
      <c r="C125" s="2" t="str">
        <f>TEXT(SalesData[[#This Row],[Order Date]],"mmm")</f>
        <v>Feb</v>
      </c>
      <c r="D125" s="7">
        <f>MONTH(SalesData[[#This Row],[Order Date]])</f>
        <v>2</v>
      </c>
      <c r="E125" s="7">
        <f>YEAR(SalesData[[#This Row],[Order Date]])</f>
        <v>2024</v>
      </c>
      <c r="F125" t="s">
        <v>445</v>
      </c>
      <c r="G125" t="str">
        <f>PROPER(SalesData[[#This Row],[Product Name]])</f>
        <v>Reusable Bamboo Utensil Set</v>
      </c>
      <c r="H125" t="s">
        <v>1014</v>
      </c>
      <c r="I125" t="str">
        <f>UPPER(SalesData[[#This Row],[Product Category]])</f>
        <v>KITCHENWARE</v>
      </c>
      <c r="J125">
        <v>7</v>
      </c>
      <c r="K125">
        <v>15</v>
      </c>
      <c r="L125" s="15">
        <f>IF(SalesData[[#This Row],[Unit Price]]="",
    AVERAGEIFS(SalesData[Unit Price],
               SalesData[Product Name],SalesData[[#This Row],[Product Name]]),
    SalesData[[#This Row],[Unit Price]])</f>
        <v>15</v>
      </c>
      <c r="M125" s="15">
        <v>5.54</v>
      </c>
      <c r="N125" s="15">
        <f>SalesData[[#This Row],[Quantity Sold]] * SalesData[[#This Row],[Cleaned Unit Price]]</f>
        <v>105</v>
      </c>
      <c r="O125" s="15">
        <f>SalesData[[#This Row],[Quantity Sold]] * SalesData[[#This Row],[Unit Cost]]</f>
        <v>38.78</v>
      </c>
      <c r="P125" s="15">
        <f>SalesData[[#This Row],[Revenue]] - SalesData[[#This Row],[Cost]]</f>
        <v>66.22</v>
      </c>
      <c r="Q125" s="13">
        <f>IF(SalesData[[#This Row],[Revenue]]=0,0,SalesData[[#This Row],[Profit]]/SalesData[[#This Row],[Revenue]])</f>
        <v>0.63066666666666671</v>
      </c>
      <c r="R125" t="s">
        <v>1193</v>
      </c>
      <c r="S125" t="s">
        <v>1392</v>
      </c>
      <c r="T125" t="str">
        <f>PROPER(SalesData[[#This Row],[Customer Name]])</f>
        <v>Harper Davis</v>
      </c>
      <c r="U125" t="s">
        <v>1416</v>
      </c>
      <c r="V125" t="s">
        <v>1422</v>
      </c>
    </row>
    <row r="126" spans="1:22" x14ac:dyDescent="0.25">
      <c r="A126" t="s">
        <v>1552</v>
      </c>
      <c r="B126" s="5">
        <v>45330</v>
      </c>
      <c r="C126" s="2" t="str">
        <f>TEXT(SalesData[[#This Row],[Order Date]],"mmm")</f>
        <v>Feb</v>
      </c>
      <c r="D126" s="7">
        <f>MONTH(SalesData[[#This Row],[Order Date]])</f>
        <v>2</v>
      </c>
      <c r="E126" s="7">
        <f>YEAR(SalesData[[#This Row],[Order Date]])</f>
        <v>2024</v>
      </c>
      <c r="F126" t="s">
        <v>618</v>
      </c>
      <c r="G126" t="str">
        <f>PROPER(SalesData[[#This Row],[Product Name]])</f>
        <v>Reusable Bamboo Utensil Set</v>
      </c>
      <c r="H126" t="s">
        <v>1014</v>
      </c>
      <c r="I126" t="str">
        <f>UPPER(SalesData[[#This Row],[Product Category]])</f>
        <v>KITCHENWARE</v>
      </c>
      <c r="J126">
        <v>7</v>
      </c>
      <c r="K126">
        <v>15</v>
      </c>
      <c r="L126" s="15">
        <f>IF(SalesData[[#This Row],[Unit Price]]="",
    AVERAGEIFS(SalesData[Unit Price],
               SalesData[Product Name],SalesData[[#This Row],[Product Name]]),
    SalesData[[#This Row],[Unit Price]])</f>
        <v>15</v>
      </c>
      <c r="M126" s="15">
        <v>3.16</v>
      </c>
      <c r="N126" s="15">
        <f>SalesData[[#This Row],[Quantity Sold]] * SalesData[[#This Row],[Cleaned Unit Price]]</f>
        <v>105</v>
      </c>
      <c r="O126" s="15">
        <f>SalesData[[#This Row],[Quantity Sold]] * SalesData[[#This Row],[Unit Cost]]</f>
        <v>22.12</v>
      </c>
      <c r="P126" s="15">
        <f>SalesData[[#This Row],[Revenue]] - SalesData[[#This Row],[Cost]]</f>
        <v>82.88</v>
      </c>
      <c r="Q126" s="13">
        <f>IF(SalesData[[#This Row],[Revenue]]=0,0,SalesData[[#This Row],[Profit]]/SalesData[[#This Row],[Revenue]])</f>
        <v>0.78933333333333333</v>
      </c>
      <c r="R126" t="s">
        <v>1113</v>
      </c>
      <c r="S126" t="s">
        <v>1312</v>
      </c>
      <c r="T126" t="str">
        <f>PROPER(SalesData[[#This Row],[Customer Name]])</f>
        <v>Elijah Williams</v>
      </c>
      <c r="U126" t="s">
        <v>1414</v>
      </c>
      <c r="V126" t="s">
        <v>1422</v>
      </c>
    </row>
    <row r="127" spans="1:22" x14ac:dyDescent="0.25">
      <c r="A127" t="s">
        <v>1553</v>
      </c>
      <c r="B127" s="5">
        <v>45330</v>
      </c>
      <c r="C127" s="2" t="str">
        <f>TEXT(SalesData[[#This Row],[Order Date]],"mmm")</f>
        <v>Feb</v>
      </c>
      <c r="D127" s="7">
        <f>MONTH(SalesData[[#This Row],[Order Date]])</f>
        <v>2</v>
      </c>
      <c r="E127" s="7">
        <f>YEAR(SalesData[[#This Row],[Order Date]])</f>
        <v>2024</v>
      </c>
      <c r="F127" t="s">
        <v>687</v>
      </c>
      <c r="G127" t="str">
        <f>PROPER(SalesData[[#This Row],[Product Name]])</f>
        <v>Reusable Bamboo Utensil Set</v>
      </c>
      <c r="H127" t="s">
        <v>1014</v>
      </c>
      <c r="I127" t="str">
        <f>UPPER(SalesData[[#This Row],[Product Category]])</f>
        <v>KITCHENWARE</v>
      </c>
      <c r="J127">
        <v>5</v>
      </c>
      <c r="K127">
        <v>15</v>
      </c>
      <c r="L127" s="15">
        <f>IF(SalesData[[#This Row],[Unit Price]]="",
    AVERAGEIFS(SalesData[Unit Price],
               SalesData[Product Name],SalesData[[#This Row],[Product Name]]),
    SalesData[[#This Row],[Unit Price]])</f>
        <v>15</v>
      </c>
      <c r="M127" s="15">
        <v>4.28</v>
      </c>
      <c r="N127" s="15">
        <f>SalesData[[#This Row],[Quantity Sold]] * SalesData[[#This Row],[Cleaned Unit Price]]</f>
        <v>75</v>
      </c>
      <c r="O127" s="15">
        <f>SalesData[[#This Row],[Quantity Sold]] * SalesData[[#This Row],[Unit Cost]]</f>
        <v>21.400000000000002</v>
      </c>
      <c r="P127" s="15">
        <f>SalesData[[#This Row],[Revenue]] - SalesData[[#This Row],[Cost]]</f>
        <v>53.599999999999994</v>
      </c>
      <c r="Q127" s="13">
        <f>IF(SalesData[[#This Row],[Revenue]]=0,0,SalesData[[#This Row],[Profit]]/SalesData[[#This Row],[Revenue]])</f>
        <v>0.71466666666666656</v>
      </c>
      <c r="R127" t="s">
        <v>1176</v>
      </c>
      <c r="S127" t="s">
        <v>1375</v>
      </c>
      <c r="T127" t="str">
        <f>PROPER(SalesData[[#This Row],[Customer Name]])</f>
        <v>Sophia Brown</v>
      </c>
      <c r="U127" t="s">
        <v>1416</v>
      </c>
      <c r="V127" t="s">
        <v>1420</v>
      </c>
    </row>
    <row r="128" spans="1:22" x14ac:dyDescent="0.25">
      <c r="A128" t="s">
        <v>1554</v>
      </c>
      <c r="B128" s="5">
        <v>45331</v>
      </c>
      <c r="C128" s="2" t="str">
        <f>TEXT(SalesData[[#This Row],[Order Date]],"mmm")</f>
        <v>Feb</v>
      </c>
      <c r="D128" s="7">
        <f>MONTH(SalesData[[#This Row],[Order Date]])</f>
        <v>2</v>
      </c>
      <c r="E128" s="7">
        <f>YEAR(SalesData[[#This Row],[Order Date]])</f>
        <v>2024</v>
      </c>
      <c r="F128" t="s">
        <v>390</v>
      </c>
      <c r="G128" t="str">
        <f>PROPER(SalesData[[#This Row],[Product Name]])</f>
        <v>Compostable Plant Pots</v>
      </c>
      <c r="H128" t="s">
        <v>1011</v>
      </c>
      <c r="I128" t="str">
        <f>UPPER(SalesData[[#This Row],[Product Category]])</f>
        <v>GARDENING</v>
      </c>
      <c r="J128">
        <v>6</v>
      </c>
      <c r="K128">
        <v>12</v>
      </c>
      <c r="L128" s="15">
        <f>IF(SalesData[[#This Row],[Unit Price]]="",
    AVERAGEIFS(SalesData[Unit Price],
               SalesData[Product Name],SalesData[[#This Row],[Product Name]]),
    SalesData[[#This Row],[Unit Price]])</f>
        <v>12</v>
      </c>
      <c r="M128" s="15">
        <v>3.5</v>
      </c>
      <c r="N128" s="15">
        <f>SalesData[[#This Row],[Quantity Sold]] * SalesData[[#This Row],[Cleaned Unit Price]]</f>
        <v>72</v>
      </c>
      <c r="O128" s="15">
        <f>SalesData[[#This Row],[Quantity Sold]] * SalesData[[#This Row],[Unit Cost]]</f>
        <v>21</v>
      </c>
      <c r="P128" s="15">
        <f>SalesData[[#This Row],[Revenue]] - SalesData[[#This Row],[Cost]]</f>
        <v>51</v>
      </c>
      <c r="Q128" s="13">
        <f>IF(SalesData[[#This Row],[Revenue]]=0,0,SalesData[[#This Row],[Profit]]/SalesData[[#This Row],[Revenue]])</f>
        <v>0.70833333333333337</v>
      </c>
      <c r="R128" t="s">
        <v>1185</v>
      </c>
      <c r="S128" t="s">
        <v>1384</v>
      </c>
      <c r="T128" t="str">
        <f>PROPER(SalesData[[#This Row],[Customer Name]])</f>
        <v>Lucas Garcia</v>
      </c>
      <c r="U128" t="s">
        <v>1414</v>
      </c>
      <c r="V128" t="s">
        <v>1421</v>
      </c>
    </row>
    <row r="129" spans="1:22" x14ac:dyDescent="0.25">
      <c r="A129" t="s">
        <v>1555</v>
      </c>
      <c r="B129" s="5">
        <v>45332</v>
      </c>
      <c r="C129" s="2" t="str">
        <f>TEXT(SalesData[[#This Row],[Order Date]],"mmm")</f>
        <v>Feb</v>
      </c>
      <c r="D129" s="7">
        <f>MONTH(SalesData[[#This Row],[Order Date]])</f>
        <v>2</v>
      </c>
      <c r="E129" s="7">
        <f>YEAR(SalesData[[#This Row],[Order Date]])</f>
        <v>2024</v>
      </c>
      <c r="F129" t="s">
        <v>95</v>
      </c>
      <c r="G129" t="str">
        <f>PROPER(SalesData[[#This Row],[Product Name]])</f>
        <v>Compostable Plant Pots</v>
      </c>
      <c r="H129" t="s">
        <v>1011</v>
      </c>
      <c r="I129" t="str">
        <f>UPPER(SalesData[[#This Row],[Product Category]])</f>
        <v>GARDENING</v>
      </c>
      <c r="J129">
        <v>10</v>
      </c>
      <c r="K129">
        <v>12</v>
      </c>
      <c r="L129" s="15">
        <f>IF(SalesData[[#This Row],[Unit Price]]="",
    AVERAGEIFS(SalesData[Unit Price],
               SalesData[Product Name],SalesData[[#This Row],[Product Name]]),
    SalesData[[#This Row],[Unit Price]])</f>
        <v>12</v>
      </c>
      <c r="M129" s="15">
        <v>2.52</v>
      </c>
      <c r="N129" s="15">
        <f>SalesData[[#This Row],[Quantity Sold]] * SalesData[[#This Row],[Cleaned Unit Price]]</f>
        <v>120</v>
      </c>
      <c r="O129" s="15">
        <f>SalesData[[#This Row],[Quantity Sold]] * SalesData[[#This Row],[Unit Cost]]</f>
        <v>25.2</v>
      </c>
      <c r="P129" s="15">
        <f>SalesData[[#This Row],[Revenue]] - SalesData[[#This Row],[Cost]]</f>
        <v>94.8</v>
      </c>
      <c r="Q129" s="13">
        <f>IF(SalesData[[#This Row],[Revenue]]=0,0,SalesData[[#This Row],[Profit]]/SalesData[[#This Row],[Revenue]])</f>
        <v>0.78999999999999992</v>
      </c>
      <c r="R129" t="s">
        <v>1081</v>
      </c>
      <c r="S129" t="s">
        <v>1280</v>
      </c>
      <c r="T129" t="str">
        <f>PROPER(SalesData[[#This Row],[Customer Name]])</f>
        <v>James Brown</v>
      </c>
      <c r="U129" t="s">
        <v>1414</v>
      </c>
      <c r="V129" t="s">
        <v>1420</v>
      </c>
    </row>
    <row r="130" spans="1:22" x14ac:dyDescent="0.25">
      <c r="A130" t="s">
        <v>1556</v>
      </c>
      <c r="B130" s="5">
        <v>45334</v>
      </c>
      <c r="C130" s="2" t="str">
        <f>TEXT(SalesData[[#This Row],[Order Date]],"mmm")</f>
        <v>Feb</v>
      </c>
      <c r="D130" s="7">
        <f>MONTH(SalesData[[#This Row],[Order Date]])</f>
        <v>2</v>
      </c>
      <c r="E130" s="7">
        <f>YEAR(SalesData[[#This Row],[Order Date]])</f>
        <v>2024</v>
      </c>
      <c r="F130" t="s">
        <v>226</v>
      </c>
      <c r="G130" t="str">
        <f>PROPER(SalesData[[#This Row],[Product Name]])</f>
        <v>Eco Canvas Tote Bag</v>
      </c>
      <c r="H130" t="s">
        <v>1013</v>
      </c>
      <c r="I130" t="str">
        <f>UPPER(SalesData[[#This Row],[Product Category]])</f>
        <v>BAGS</v>
      </c>
      <c r="J130">
        <v>8</v>
      </c>
      <c r="K130">
        <v>25</v>
      </c>
      <c r="L130" s="15">
        <f>IF(SalesData[[#This Row],[Unit Price]]="",
    AVERAGEIFS(SalesData[Unit Price],
               SalesData[Product Name],SalesData[[#This Row],[Product Name]]),
    SalesData[[#This Row],[Unit Price]])</f>
        <v>25</v>
      </c>
      <c r="M130" s="15">
        <v>8.44</v>
      </c>
      <c r="N130" s="15">
        <f>SalesData[[#This Row],[Quantity Sold]] * SalesData[[#This Row],[Cleaned Unit Price]]</f>
        <v>200</v>
      </c>
      <c r="O130" s="15">
        <f>SalesData[[#This Row],[Quantity Sold]] * SalesData[[#This Row],[Unit Cost]]</f>
        <v>67.52</v>
      </c>
      <c r="P130" s="15">
        <f>SalesData[[#This Row],[Revenue]] - SalesData[[#This Row],[Cost]]</f>
        <v>132.48000000000002</v>
      </c>
      <c r="Q130" s="13">
        <f>IF(SalesData[[#This Row],[Revenue]]=0,0,SalesData[[#This Row],[Profit]]/SalesData[[#This Row],[Revenue]])</f>
        <v>0.6624000000000001</v>
      </c>
      <c r="R130" t="s">
        <v>1118</v>
      </c>
      <c r="S130" t="s">
        <v>1317</v>
      </c>
      <c r="T130" t="str">
        <f>PROPER(SalesData[[#This Row],[Customer Name]])</f>
        <v>James Brown</v>
      </c>
      <c r="U130" t="s">
        <v>1417</v>
      </c>
      <c r="V130" t="s">
        <v>1422</v>
      </c>
    </row>
    <row r="131" spans="1:22" x14ac:dyDescent="0.25">
      <c r="A131" t="s">
        <v>1557</v>
      </c>
      <c r="B131" s="5">
        <v>45335</v>
      </c>
      <c r="C131" s="2" t="str">
        <f>TEXT(SalesData[[#This Row],[Order Date]],"mmm")</f>
        <v>Feb</v>
      </c>
      <c r="D131" s="7">
        <f>MONTH(SalesData[[#This Row],[Order Date]])</f>
        <v>2</v>
      </c>
      <c r="E131" s="7">
        <f>YEAR(SalesData[[#This Row],[Order Date]])</f>
        <v>2024</v>
      </c>
      <c r="F131" t="s">
        <v>150</v>
      </c>
      <c r="G131" t="str">
        <f>PROPER(SalesData[[#This Row],[Product Name]])</f>
        <v>Biodegradable Cleaning Cloth</v>
      </c>
      <c r="H131" t="s">
        <v>1015</v>
      </c>
      <c r="I131" t="str">
        <f>UPPER(SalesData[[#This Row],[Product Category]])</f>
        <v>CLEANING</v>
      </c>
      <c r="J131">
        <v>9</v>
      </c>
      <c r="K131">
        <v>10</v>
      </c>
      <c r="L131" s="15">
        <f>IF(SalesData[[#This Row],[Unit Price]]="",
    AVERAGEIFS(SalesData[Unit Price],
               SalesData[Product Name],SalesData[[#This Row],[Product Name]]),
    SalesData[[#This Row],[Unit Price]])</f>
        <v>10</v>
      </c>
      <c r="M131" s="15">
        <v>3.45</v>
      </c>
      <c r="N131" s="15">
        <f>SalesData[[#This Row],[Quantity Sold]] * SalesData[[#This Row],[Cleaned Unit Price]]</f>
        <v>90</v>
      </c>
      <c r="O131" s="15">
        <f>SalesData[[#This Row],[Quantity Sold]] * SalesData[[#This Row],[Unit Cost]]</f>
        <v>31.05</v>
      </c>
      <c r="P131" s="15">
        <f>SalesData[[#This Row],[Revenue]] - SalesData[[#This Row],[Cost]]</f>
        <v>58.95</v>
      </c>
      <c r="Q131" s="13">
        <f>IF(SalesData[[#This Row],[Revenue]]=0,0,SalesData[[#This Row],[Profit]]/SalesData[[#This Row],[Revenue]])</f>
        <v>0.65500000000000003</v>
      </c>
      <c r="R131" t="s">
        <v>1121</v>
      </c>
      <c r="S131" t="s">
        <v>1320</v>
      </c>
      <c r="T131" t="str">
        <f>PROPER(SalesData[[#This Row],[Customer Name]])</f>
        <v>Mason Williams</v>
      </c>
      <c r="U131" t="s">
        <v>1414</v>
      </c>
      <c r="V131" t="s">
        <v>1418</v>
      </c>
    </row>
    <row r="132" spans="1:22" x14ac:dyDescent="0.25">
      <c r="A132" t="s">
        <v>1558</v>
      </c>
      <c r="B132" s="5">
        <v>45335</v>
      </c>
      <c r="C132" s="2" t="str">
        <f>TEXT(SalesData[[#This Row],[Order Date]],"mmm")</f>
        <v>Feb</v>
      </c>
      <c r="D132" s="7">
        <f>MONTH(SalesData[[#This Row],[Order Date]])</f>
        <v>2</v>
      </c>
      <c r="E132" s="7">
        <f>YEAR(SalesData[[#This Row],[Order Date]])</f>
        <v>2024</v>
      </c>
      <c r="F132" t="s">
        <v>197</v>
      </c>
      <c r="G132" t="str">
        <f>PROPER(SalesData[[#This Row],[Product Name]])</f>
        <v>Reusable Bamboo Utensil Set</v>
      </c>
      <c r="H132" t="s">
        <v>1014</v>
      </c>
      <c r="I132" t="str">
        <f>UPPER(SalesData[[#This Row],[Product Category]])</f>
        <v>KITCHENWARE</v>
      </c>
      <c r="J132">
        <v>3</v>
      </c>
      <c r="K132">
        <v>15</v>
      </c>
      <c r="L132" s="15">
        <f>IF(SalesData[[#This Row],[Unit Price]]="",
    AVERAGEIFS(SalesData[Unit Price],
               SalesData[Product Name],SalesData[[#This Row],[Product Name]]),
    SalesData[[#This Row],[Unit Price]])</f>
        <v>15</v>
      </c>
      <c r="M132" s="15">
        <v>4.2699999999999996</v>
      </c>
      <c r="N132" s="15">
        <f>SalesData[[#This Row],[Quantity Sold]] * SalesData[[#This Row],[Cleaned Unit Price]]</f>
        <v>45</v>
      </c>
      <c r="O132" s="15">
        <f>SalesData[[#This Row],[Quantity Sold]] * SalesData[[#This Row],[Unit Cost]]</f>
        <v>12.809999999999999</v>
      </c>
      <c r="P132" s="15">
        <f>SalesData[[#This Row],[Revenue]] - SalesData[[#This Row],[Cost]]</f>
        <v>32.19</v>
      </c>
      <c r="Q132" s="13">
        <f>IF(SalesData[[#This Row],[Revenue]]=0,0,SalesData[[#This Row],[Profit]]/SalesData[[#This Row],[Revenue]])</f>
        <v>0.71533333333333327</v>
      </c>
      <c r="R132" t="s">
        <v>1068</v>
      </c>
      <c r="S132" t="s">
        <v>1267</v>
      </c>
      <c r="T132" t="str">
        <f>PROPER(SalesData[[#This Row],[Customer Name]])</f>
        <v>Evelyn Martinez</v>
      </c>
      <c r="U132" t="s">
        <v>1416</v>
      </c>
      <c r="V132" t="s">
        <v>1422</v>
      </c>
    </row>
    <row r="133" spans="1:22" x14ac:dyDescent="0.25">
      <c r="A133" t="s">
        <v>1559</v>
      </c>
      <c r="B133" s="5">
        <v>45335</v>
      </c>
      <c r="C133" s="2" t="str">
        <f>TEXT(SalesData[[#This Row],[Order Date]],"mmm")</f>
        <v>Feb</v>
      </c>
      <c r="D133" s="7">
        <f>MONTH(SalesData[[#This Row],[Order Date]])</f>
        <v>2</v>
      </c>
      <c r="E133" s="7">
        <f>YEAR(SalesData[[#This Row],[Order Date]])</f>
        <v>2024</v>
      </c>
      <c r="F133" t="s">
        <v>857</v>
      </c>
      <c r="G133" t="str">
        <f>PROPER(SalesData[[#This Row],[Product Name]])</f>
        <v>Biodegradable Cleaning Cloth</v>
      </c>
      <c r="H133" t="s">
        <v>1015</v>
      </c>
      <c r="I133" t="str">
        <f>UPPER(SalesData[[#This Row],[Product Category]])</f>
        <v>CLEANING</v>
      </c>
      <c r="J133">
        <v>9</v>
      </c>
      <c r="K133">
        <v>10</v>
      </c>
      <c r="L133" s="15">
        <f>IF(SalesData[[#This Row],[Unit Price]]="",
    AVERAGEIFS(SalesData[Unit Price],
               SalesData[Product Name],SalesData[[#This Row],[Product Name]]),
    SalesData[[#This Row],[Unit Price]])</f>
        <v>10</v>
      </c>
      <c r="M133" s="15">
        <v>3.07</v>
      </c>
      <c r="N133" s="15">
        <f>SalesData[[#This Row],[Quantity Sold]] * SalesData[[#This Row],[Cleaned Unit Price]]</f>
        <v>90</v>
      </c>
      <c r="O133" s="15">
        <f>SalesData[[#This Row],[Quantity Sold]] * SalesData[[#This Row],[Unit Cost]]</f>
        <v>27.63</v>
      </c>
      <c r="P133" s="15">
        <f>SalesData[[#This Row],[Revenue]] - SalesData[[#This Row],[Cost]]</f>
        <v>62.370000000000005</v>
      </c>
      <c r="Q133" s="13">
        <f>IF(SalesData[[#This Row],[Revenue]]=0,0,SalesData[[#This Row],[Profit]]/SalesData[[#This Row],[Revenue]])</f>
        <v>0.69300000000000006</v>
      </c>
      <c r="R133" t="s">
        <v>1176</v>
      </c>
      <c r="S133" t="s">
        <v>1375</v>
      </c>
      <c r="T133" t="str">
        <f>PROPER(SalesData[[#This Row],[Customer Name]])</f>
        <v>Sophia Brown</v>
      </c>
      <c r="U133" t="s">
        <v>1416</v>
      </c>
      <c r="V133" t="s">
        <v>1421</v>
      </c>
    </row>
    <row r="134" spans="1:22" x14ac:dyDescent="0.25">
      <c r="A134" t="s">
        <v>1560</v>
      </c>
      <c r="B134" s="5">
        <v>45336</v>
      </c>
      <c r="C134" s="2" t="str">
        <f>TEXT(SalesData[[#This Row],[Order Date]],"mmm")</f>
        <v>Feb</v>
      </c>
      <c r="D134" s="7">
        <f>MONTH(SalesData[[#This Row],[Order Date]])</f>
        <v>2</v>
      </c>
      <c r="E134" s="7">
        <f>YEAR(SalesData[[#This Row],[Order Date]])</f>
        <v>2024</v>
      </c>
      <c r="F134" t="s">
        <v>20</v>
      </c>
      <c r="G134" t="str">
        <f>PROPER(SalesData[[#This Row],[Product Name]])</f>
        <v>Solar Led Lantern</v>
      </c>
      <c r="H134" t="s">
        <v>1012</v>
      </c>
      <c r="I134" t="str">
        <f>UPPER(SalesData[[#This Row],[Product Category]])</f>
        <v>LIGHTING</v>
      </c>
      <c r="J134">
        <v>7</v>
      </c>
      <c r="K134">
        <v>40</v>
      </c>
      <c r="L134" s="15">
        <f>IF(SalesData[[#This Row],[Unit Price]]="",
    AVERAGEIFS(SalesData[Unit Price],
               SalesData[Product Name],SalesData[[#This Row],[Product Name]]),
    SalesData[[#This Row],[Unit Price]])</f>
        <v>40</v>
      </c>
      <c r="M134" s="15">
        <v>12.58</v>
      </c>
      <c r="N134" s="15">
        <f>SalesData[[#This Row],[Quantity Sold]] * SalesData[[#This Row],[Cleaned Unit Price]]</f>
        <v>280</v>
      </c>
      <c r="O134" s="15">
        <f>SalesData[[#This Row],[Quantity Sold]] * SalesData[[#This Row],[Unit Cost]]</f>
        <v>88.06</v>
      </c>
      <c r="P134" s="15">
        <f>SalesData[[#This Row],[Revenue]] - SalesData[[#This Row],[Cost]]</f>
        <v>191.94</v>
      </c>
      <c r="Q134" s="13">
        <f>IF(SalesData[[#This Row],[Revenue]]=0,0,SalesData[[#This Row],[Profit]]/SalesData[[#This Row],[Revenue]])</f>
        <v>0.6855</v>
      </c>
      <c r="R134" t="s">
        <v>1025</v>
      </c>
      <c r="S134" t="s">
        <v>1224</v>
      </c>
      <c r="T134" t="str">
        <f>PROPER(SalesData[[#This Row],[Customer Name]])</f>
        <v>Aiden Davis</v>
      </c>
      <c r="U134" t="s">
        <v>1415</v>
      </c>
      <c r="V134" t="s">
        <v>1425</v>
      </c>
    </row>
    <row r="135" spans="1:22" x14ac:dyDescent="0.25">
      <c r="A135" t="s">
        <v>1561</v>
      </c>
      <c r="B135" s="5">
        <v>45336</v>
      </c>
      <c r="C135" s="2" t="str">
        <f>TEXT(SalesData[[#This Row],[Order Date]],"mmm")</f>
        <v>Feb</v>
      </c>
      <c r="D135" s="7">
        <f>MONTH(SalesData[[#This Row],[Order Date]])</f>
        <v>2</v>
      </c>
      <c r="E135" s="7">
        <f>YEAR(SalesData[[#This Row],[Order Date]])</f>
        <v>2024</v>
      </c>
      <c r="F135" t="s">
        <v>84</v>
      </c>
      <c r="G135" t="str">
        <f>PROPER(SalesData[[#This Row],[Product Name]])</f>
        <v>Solar Led Lantern</v>
      </c>
      <c r="H135" t="s">
        <v>1012</v>
      </c>
      <c r="I135" t="str">
        <f>UPPER(SalesData[[#This Row],[Product Category]])</f>
        <v>LIGHTING</v>
      </c>
      <c r="J135">
        <v>2</v>
      </c>
      <c r="K135">
        <v>40</v>
      </c>
      <c r="L135" s="15">
        <f>IF(SalesData[[#This Row],[Unit Price]]="",
    AVERAGEIFS(SalesData[Unit Price],
               SalesData[Product Name],SalesData[[#This Row],[Product Name]]),
    SalesData[[#This Row],[Unit Price]])</f>
        <v>40</v>
      </c>
      <c r="M135" s="15">
        <v>9.66</v>
      </c>
      <c r="N135" s="15">
        <f>SalesData[[#This Row],[Quantity Sold]] * SalesData[[#This Row],[Cleaned Unit Price]]</f>
        <v>80</v>
      </c>
      <c r="O135" s="15">
        <f>SalesData[[#This Row],[Quantity Sold]] * SalesData[[#This Row],[Unit Cost]]</f>
        <v>19.32</v>
      </c>
      <c r="P135" s="15">
        <f>SalesData[[#This Row],[Revenue]] - SalesData[[#This Row],[Cost]]</f>
        <v>60.68</v>
      </c>
      <c r="Q135" s="13">
        <f>IF(SalesData[[#This Row],[Revenue]]=0,0,SalesData[[#This Row],[Profit]]/SalesData[[#This Row],[Revenue]])</f>
        <v>0.75849999999999995</v>
      </c>
      <c r="R135" t="s">
        <v>1074</v>
      </c>
      <c r="S135" t="s">
        <v>1273</v>
      </c>
      <c r="T135" t="str">
        <f>PROPER(SalesData[[#This Row],[Customer Name]])</f>
        <v>Isabella Jones</v>
      </c>
      <c r="U135" t="s">
        <v>1417</v>
      </c>
      <c r="V135" t="s">
        <v>1422</v>
      </c>
    </row>
    <row r="136" spans="1:22" x14ac:dyDescent="0.25">
      <c r="A136" t="s">
        <v>1562</v>
      </c>
      <c r="B136" s="5">
        <v>45336</v>
      </c>
      <c r="C136" s="2" t="str">
        <f>TEXT(SalesData[[#This Row],[Order Date]],"mmm")</f>
        <v>Feb</v>
      </c>
      <c r="D136" s="7">
        <f>MONTH(SalesData[[#This Row],[Order Date]])</f>
        <v>2</v>
      </c>
      <c r="E136" s="7">
        <f>YEAR(SalesData[[#This Row],[Order Date]])</f>
        <v>2024</v>
      </c>
      <c r="F136" t="s">
        <v>880</v>
      </c>
      <c r="G136" t="str">
        <f>PROPER(SalesData[[#This Row],[Product Name]])</f>
        <v>Eco Canvas Tote Bag</v>
      </c>
      <c r="H136" t="s">
        <v>1013</v>
      </c>
      <c r="I136" t="str">
        <f>UPPER(SalesData[[#This Row],[Product Category]])</f>
        <v>BAGS</v>
      </c>
      <c r="J136">
        <v>2</v>
      </c>
      <c r="K136">
        <v>25</v>
      </c>
      <c r="L136" s="15">
        <f>IF(SalesData[[#This Row],[Unit Price]]="",
    AVERAGEIFS(SalesData[Unit Price],
               SalesData[Product Name],SalesData[[#This Row],[Product Name]]),
    SalesData[[#This Row],[Unit Price]])</f>
        <v>25</v>
      </c>
      <c r="M136" s="15">
        <v>9.7100000000000009</v>
      </c>
      <c r="N136" s="15">
        <f>SalesData[[#This Row],[Quantity Sold]] * SalesData[[#This Row],[Cleaned Unit Price]]</f>
        <v>50</v>
      </c>
      <c r="O136" s="15">
        <f>SalesData[[#This Row],[Quantity Sold]] * SalesData[[#This Row],[Unit Cost]]</f>
        <v>19.420000000000002</v>
      </c>
      <c r="P136" s="15">
        <f>SalesData[[#This Row],[Revenue]] - SalesData[[#This Row],[Cost]]</f>
        <v>30.58</v>
      </c>
      <c r="Q136" s="13">
        <f>IF(SalesData[[#This Row],[Revenue]]=0,0,SalesData[[#This Row],[Profit]]/SalesData[[#This Row],[Revenue]])</f>
        <v>0.61159999999999992</v>
      </c>
      <c r="R136" t="s">
        <v>1128</v>
      </c>
      <c r="S136" t="s">
        <v>1327</v>
      </c>
      <c r="T136" t="str">
        <f>PROPER(SalesData[[#This Row],[Customer Name]])</f>
        <v>Ethan Williams</v>
      </c>
      <c r="U136" t="s">
        <v>1414</v>
      </c>
      <c r="V136" t="s">
        <v>1422</v>
      </c>
    </row>
    <row r="137" spans="1:22" x14ac:dyDescent="0.25">
      <c r="A137" t="s">
        <v>1563</v>
      </c>
      <c r="B137" s="5">
        <v>45337</v>
      </c>
      <c r="C137" s="2" t="str">
        <f>TEXT(SalesData[[#This Row],[Order Date]],"mmm")</f>
        <v>Feb</v>
      </c>
      <c r="D137" s="7">
        <f>MONTH(SalesData[[#This Row],[Order Date]])</f>
        <v>2</v>
      </c>
      <c r="E137" s="7">
        <f>YEAR(SalesData[[#This Row],[Order Date]])</f>
        <v>2024</v>
      </c>
      <c r="F137" t="s">
        <v>508</v>
      </c>
      <c r="G137" t="str">
        <f>PROPER(SalesData[[#This Row],[Product Name]])</f>
        <v>Solar Led Lantern</v>
      </c>
      <c r="H137" t="s">
        <v>1012</v>
      </c>
      <c r="I137" t="str">
        <f>UPPER(SalesData[[#This Row],[Product Category]])</f>
        <v>LIGHTING</v>
      </c>
      <c r="J137">
        <v>10</v>
      </c>
      <c r="K137">
        <v>40</v>
      </c>
      <c r="L137" s="15">
        <f>IF(SalesData[[#This Row],[Unit Price]]="",
    AVERAGEIFS(SalesData[Unit Price],
               SalesData[Product Name],SalesData[[#This Row],[Product Name]]),
    SalesData[[#This Row],[Unit Price]])</f>
        <v>40</v>
      </c>
      <c r="M137" s="15">
        <v>14.95</v>
      </c>
      <c r="N137" s="15">
        <f>SalesData[[#This Row],[Quantity Sold]] * SalesData[[#This Row],[Cleaned Unit Price]]</f>
        <v>400</v>
      </c>
      <c r="O137" s="15">
        <f>SalesData[[#This Row],[Quantity Sold]] * SalesData[[#This Row],[Unit Cost]]</f>
        <v>149.5</v>
      </c>
      <c r="P137" s="15">
        <f>SalesData[[#This Row],[Revenue]] - SalesData[[#This Row],[Cost]]</f>
        <v>250.5</v>
      </c>
      <c r="Q137" s="13">
        <f>IF(SalesData[[#This Row],[Revenue]]=0,0,SalesData[[#This Row],[Profit]]/SalesData[[#This Row],[Revenue]])</f>
        <v>0.62624999999999997</v>
      </c>
      <c r="R137" t="s">
        <v>1122</v>
      </c>
      <c r="S137" t="s">
        <v>1321</v>
      </c>
      <c r="T137" t="str">
        <f>PROPER(SalesData[[#This Row],[Customer Name]])</f>
        <v>Harper Rodriguez</v>
      </c>
      <c r="U137" t="s">
        <v>1414</v>
      </c>
      <c r="V137" t="s">
        <v>1427</v>
      </c>
    </row>
    <row r="138" spans="1:22" x14ac:dyDescent="0.25">
      <c r="A138" t="s">
        <v>1564</v>
      </c>
      <c r="B138" s="5">
        <v>45337</v>
      </c>
      <c r="C138" s="2" t="str">
        <f>TEXT(SalesData[[#This Row],[Order Date]],"mmm")</f>
        <v>Feb</v>
      </c>
      <c r="D138" s="7">
        <f>MONTH(SalesData[[#This Row],[Order Date]])</f>
        <v>2</v>
      </c>
      <c r="E138" s="7">
        <f>YEAR(SalesData[[#This Row],[Order Date]])</f>
        <v>2024</v>
      </c>
      <c r="F138" t="s">
        <v>672</v>
      </c>
      <c r="G138" t="str">
        <f>PROPER(SalesData[[#This Row],[Product Name]])</f>
        <v>Compostable Plant Pots</v>
      </c>
      <c r="H138" t="s">
        <v>1011</v>
      </c>
      <c r="I138" t="str">
        <f>UPPER(SalesData[[#This Row],[Product Category]])</f>
        <v>GARDENING</v>
      </c>
      <c r="J138">
        <v>5</v>
      </c>
      <c r="K138">
        <v>12</v>
      </c>
      <c r="L138" s="15">
        <f>IF(SalesData[[#This Row],[Unit Price]]="",
    AVERAGEIFS(SalesData[Unit Price],
               SalesData[Product Name],SalesData[[#This Row],[Product Name]]),
    SalesData[[#This Row],[Unit Price]])</f>
        <v>12</v>
      </c>
      <c r="M138" s="15">
        <v>3.63</v>
      </c>
      <c r="N138" s="15">
        <f>SalesData[[#This Row],[Quantity Sold]] * SalesData[[#This Row],[Cleaned Unit Price]]</f>
        <v>60</v>
      </c>
      <c r="O138" s="15">
        <f>SalesData[[#This Row],[Quantity Sold]] * SalesData[[#This Row],[Unit Cost]]</f>
        <v>18.149999999999999</v>
      </c>
      <c r="P138" s="15">
        <f>SalesData[[#This Row],[Revenue]] - SalesData[[#This Row],[Cost]]</f>
        <v>41.85</v>
      </c>
      <c r="Q138" s="13">
        <f>IF(SalesData[[#This Row],[Revenue]]=0,0,SalesData[[#This Row],[Profit]]/SalesData[[#This Row],[Revenue]])</f>
        <v>0.69750000000000001</v>
      </c>
      <c r="R138" t="s">
        <v>1113</v>
      </c>
      <c r="S138" t="s">
        <v>1312</v>
      </c>
      <c r="T138" t="str">
        <f>PROPER(SalesData[[#This Row],[Customer Name]])</f>
        <v>Elijah Williams</v>
      </c>
      <c r="U138" t="s">
        <v>1414</v>
      </c>
      <c r="V138" t="s">
        <v>1420</v>
      </c>
    </row>
    <row r="139" spans="1:22" x14ac:dyDescent="0.25">
      <c r="A139" t="s">
        <v>1565</v>
      </c>
      <c r="B139" s="5">
        <v>45337</v>
      </c>
      <c r="C139" s="2" t="str">
        <f>TEXT(SalesData[[#This Row],[Order Date]],"mmm")</f>
        <v>Feb</v>
      </c>
      <c r="D139" s="7">
        <f>MONTH(SalesData[[#This Row],[Order Date]])</f>
        <v>2</v>
      </c>
      <c r="E139" s="7">
        <f>YEAR(SalesData[[#This Row],[Order Date]])</f>
        <v>2024</v>
      </c>
      <c r="F139" t="s">
        <v>784</v>
      </c>
      <c r="G139" t="str">
        <f>PROPER(SalesData[[#This Row],[Product Name]])</f>
        <v>Eco Canvas Tote Bag</v>
      </c>
      <c r="H139" t="s">
        <v>1013</v>
      </c>
      <c r="I139" t="str">
        <f>UPPER(SalesData[[#This Row],[Product Category]])</f>
        <v>BAGS</v>
      </c>
      <c r="J139">
        <v>2</v>
      </c>
      <c r="K139">
        <v>25</v>
      </c>
      <c r="L139" s="15">
        <f>IF(SalesData[[#This Row],[Unit Price]]="",
    AVERAGEIFS(SalesData[Unit Price],
               SalesData[Product Name],SalesData[[#This Row],[Product Name]]),
    SalesData[[#This Row],[Unit Price]])</f>
        <v>25</v>
      </c>
      <c r="M139" s="15">
        <v>8.08</v>
      </c>
      <c r="N139" s="15">
        <f>SalesData[[#This Row],[Quantity Sold]] * SalesData[[#This Row],[Cleaned Unit Price]]</f>
        <v>50</v>
      </c>
      <c r="O139" s="15">
        <f>SalesData[[#This Row],[Quantity Sold]] * SalesData[[#This Row],[Unit Cost]]</f>
        <v>16.16</v>
      </c>
      <c r="P139" s="15">
        <f>SalesData[[#This Row],[Revenue]] - SalesData[[#This Row],[Cost]]</f>
        <v>33.840000000000003</v>
      </c>
      <c r="Q139" s="13">
        <f>IF(SalesData[[#This Row],[Revenue]]=0,0,SalesData[[#This Row],[Profit]]/SalesData[[#This Row],[Revenue]])</f>
        <v>0.67680000000000007</v>
      </c>
      <c r="R139" t="s">
        <v>1121</v>
      </c>
      <c r="S139" t="s">
        <v>1320</v>
      </c>
      <c r="T139" t="str">
        <f>PROPER(SalesData[[#This Row],[Customer Name]])</f>
        <v>Mason Williams</v>
      </c>
      <c r="U139" t="s">
        <v>1414</v>
      </c>
      <c r="V139" t="s">
        <v>1420</v>
      </c>
    </row>
    <row r="140" spans="1:22" x14ac:dyDescent="0.25">
      <c r="A140" t="s">
        <v>1566</v>
      </c>
      <c r="B140" s="5">
        <v>45337</v>
      </c>
      <c r="C140" s="2" t="str">
        <f>TEXT(SalesData[[#This Row],[Order Date]],"mmm")</f>
        <v>Feb</v>
      </c>
      <c r="D140" s="7">
        <f>MONTH(SalesData[[#This Row],[Order Date]])</f>
        <v>2</v>
      </c>
      <c r="E140" s="7">
        <f>YEAR(SalesData[[#This Row],[Order Date]])</f>
        <v>2024</v>
      </c>
      <c r="F140" t="s">
        <v>823</v>
      </c>
      <c r="G140" t="str">
        <f>PROPER(SalesData[[#This Row],[Product Name]])</f>
        <v>Biodegradable Cleaning Cloth</v>
      </c>
      <c r="H140" t="s">
        <v>1015</v>
      </c>
      <c r="I140" t="str">
        <f>UPPER(SalesData[[#This Row],[Product Category]])</f>
        <v>CLEANING</v>
      </c>
      <c r="J140">
        <v>9</v>
      </c>
      <c r="K140">
        <v>10</v>
      </c>
      <c r="L140" s="15">
        <f>IF(SalesData[[#This Row],[Unit Price]]="",
    AVERAGEIFS(SalesData[Unit Price],
               SalesData[Product Name],SalesData[[#This Row],[Product Name]]),
    SalesData[[#This Row],[Unit Price]])</f>
        <v>10</v>
      </c>
      <c r="M140" s="15">
        <v>3.45</v>
      </c>
      <c r="N140" s="15">
        <f>SalesData[[#This Row],[Quantity Sold]] * SalesData[[#This Row],[Cleaned Unit Price]]</f>
        <v>90</v>
      </c>
      <c r="O140" s="15">
        <f>SalesData[[#This Row],[Quantity Sold]] * SalesData[[#This Row],[Unit Cost]]</f>
        <v>31.05</v>
      </c>
      <c r="P140" s="15">
        <f>SalesData[[#This Row],[Revenue]] - SalesData[[#This Row],[Cost]]</f>
        <v>58.95</v>
      </c>
      <c r="Q140" s="13">
        <f>IF(SalesData[[#This Row],[Revenue]]=0,0,SalesData[[#This Row],[Profit]]/SalesData[[#This Row],[Revenue]])</f>
        <v>0.65500000000000003</v>
      </c>
      <c r="R140" t="s">
        <v>1119</v>
      </c>
      <c r="S140" t="s">
        <v>1318</v>
      </c>
      <c r="T140" t="str">
        <f>PROPER(SalesData[[#This Row],[Customer Name]])</f>
        <v>Aiden Williams</v>
      </c>
      <c r="U140" t="s">
        <v>1416</v>
      </c>
      <c r="V140" t="s">
        <v>1419</v>
      </c>
    </row>
    <row r="141" spans="1:22" x14ac:dyDescent="0.25">
      <c r="A141" t="s">
        <v>1567</v>
      </c>
      <c r="B141" s="5">
        <v>45337</v>
      </c>
      <c r="C141" s="2" t="str">
        <f>TEXT(SalesData[[#This Row],[Order Date]],"mmm")</f>
        <v>Feb</v>
      </c>
      <c r="D141" s="7">
        <f>MONTH(SalesData[[#This Row],[Order Date]])</f>
        <v>2</v>
      </c>
      <c r="E141" s="7">
        <f>YEAR(SalesData[[#This Row],[Order Date]])</f>
        <v>2024</v>
      </c>
      <c r="F141" t="s">
        <v>913</v>
      </c>
      <c r="G141" t="str">
        <f>PROPER(SalesData[[#This Row],[Product Name]])</f>
        <v>Compostable Plant Pots</v>
      </c>
      <c r="H141" t="s">
        <v>1011</v>
      </c>
      <c r="I141" t="str">
        <f>UPPER(SalesData[[#This Row],[Product Category]])</f>
        <v>GARDENING</v>
      </c>
      <c r="J141">
        <v>5</v>
      </c>
      <c r="K141">
        <v>12</v>
      </c>
      <c r="L141" s="15">
        <f>IF(SalesData[[#This Row],[Unit Price]]="",
    AVERAGEIFS(SalesData[Unit Price],
               SalesData[Product Name],SalesData[[#This Row],[Product Name]]),
    SalesData[[#This Row],[Unit Price]])</f>
        <v>12</v>
      </c>
      <c r="M141" s="15">
        <v>4.0199999999999996</v>
      </c>
      <c r="N141" s="15">
        <f>SalesData[[#This Row],[Quantity Sold]] * SalesData[[#This Row],[Cleaned Unit Price]]</f>
        <v>60</v>
      </c>
      <c r="O141" s="15">
        <f>SalesData[[#This Row],[Quantity Sold]] * SalesData[[#This Row],[Unit Cost]]</f>
        <v>20.099999999999998</v>
      </c>
      <c r="P141" s="15">
        <f>SalesData[[#This Row],[Revenue]] - SalesData[[#This Row],[Cost]]</f>
        <v>39.900000000000006</v>
      </c>
      <c r="Q141" s="13">
        <f>IF(SalesData[[#This Row],[Revenue]]=0,0,SalesData[[#This Row],[Profit]]/SalesData[[#This Row],[Revenue]])</f>
        <v>0.66500000000000015</v>
      </c>
      <c r="R141" t="s">
        <v>1043</v>
      </c>
      <c r="S141" t="s">
        <v>1242</v>
      </c>
      <c r="T141" t="str">
        <f>PROPER(SalesData[[#This Row],[Customer Name]])</f>
        <v>Ethan Miller</v>
      </c>
      <c r="U141" t="s">
        <v>1414</v>
      </c>
      <c r="V141" t="s">
        <v>1425</v>
      </c>
    </row>
    <row r="142" spans="1:22" x14ac:dyDescent="0.25">
      <c r="A142" t="s">
        <v>1568</v>
      </c>
      <c r="B142" s="5">
        <v>45338</v>
      </c>
      <c r="C142" s="2" t="str">
        <f>TEXT(SalesData[[#This Row],[Order Date]],"mmm")</f>
        <v>Feb</v>
      </c>
      <c r="D142" s="7">
        <f>MONTH(SalesData[[#This Row],[Order Date]])</f>
        <v>2</v>
      </c>
      <c r="E142" s="7">
        <f>YEAR(SalesData[[#This Row],[Order Date]])</f>
        <v>2024</v>
      </c>
      <c r="F142" t="s">
        <v>52</v>
      </c>
      <c r="G142" t="str">
        <f>PROPER(SalesData[[#This Row],[Product Name]])</f>
        <v>Eco Canvas Tote Bag</v>
      </c>
      <c r="H142" t="s">
        <v>1013</v>
      </c>
      <c r="I142" t="str">
        <f>UPPER(SalesData[[#This Row],[Product Category]])</f>
        <v>BAGS</v>
      </c>
      <c r="J142">
        <v>4</v>
      </c>
      <c r="L142" s="15">
        <f>IF(SalesData[[#This Row],[Unit Price]]="",
    AVERAGEIFS(SalesData[Unit Price],
               SalesData[Product Name],SalesData[[#This Row],[Product Name]]),
    SalesData[[#This Row],[Unit Price]])</f>
        <v>25</v>
      </c>
      <c r="M142" s="15">
        <v>8</v>
      </c>
      <c r="N142" s="15">
        <f>SalesData[[#This Row],[Quantity Sold]] * SalesData[[#This Row],[Cleaned Unit Price]]</f>
        <v>100</v>
      </c>
      <c r="O142" s="15">
        <f>SalesData[[#This Row],[Quantity Sold]] * SalesData[[#This Row],[Unit Cost]]</f>
        <v>32</v>
      </c>
      <c r="P142" s="15">
        <f>SalesData[[#This Row],[Revenue]] - SalesData[[#This Row],[Cost]]</f>
        <v>68</v>
      </c>
      <c r="Q142" s="13">
        <f>IF(SalesData[[#This Row],[Revenue]]=0,0,SalesData[[#This Row],[Profit]]/SalesData[[#This Row],[Revenue]])</f>
        <v>0.68</v>
      </c>
      <c r="R142" t="s">
        <v>1051</v>
      </c>
      <c r="S142" t="s">
        <v>1250</v>
      </c>
      <c r="T142" t="str">
        <f>PROPER(SalesData[[#This Row],[Customer Name]])</f>
        <v>Harper Jones</v>
      </c>
      <c r="U142" t="s">
        <v>1414</v>
      </c>
      <c r="V142" t="s">
        <v>1420</v>
      </c>
    </row>
    <row r="143" spans="1:22" x14ac:dyDescent="0.25">
      <c r="A143" t="s">
        <v>1569</v>
      </c>
      <c r="B143" s="5">
        <v>45338</v>
      </c>
      <c r="C143" s="2" t="str">
        <f>TEXT(SalesData[[#This Row],[Order Date]],"mmm")</f>
        <v>Feb</v>
      </c>
      <c r="D143" s="7">
        <f>MONTH(SalesData[[#This Row],[Order Date]])</f>
        <v>2</v>
      </c>
      <c r="E143" s="7">
        <f>YEAR(SalesData[[#This Row],[Order Date]])</f>
        <v>2024</v>
      </c>
      <c r="F143" t="s">
        <v>583</v>
      </c>
      <c r="G143" t="str">
        <f>PROPER(SalesData[[#This Row],[Product Name]])</f>
        <v>Reusable Bamboo Utensil Set</v>
      </c>
      <c r="H143" t="s">
        <v>1014</v>
      </c>
      <c r="I143" t="str">
        <f>UPPER(SalesData[[#This Row],[Product Category]])</f>
        <v>KITCHENWARE</v>
      </c>
      <c r="J143">
        <v>1</v>
      </c>
      <c r="K143">
        <v>15</v>
      </c>
      <c r="L143" s="15">
        <f>IF(SalesData[[#This Row],[Unit Price]]="",
    AVERAGEIFS(SalesData[Unit Price],
               SalesData[Product Name],SalesData[[#This Row],[Product Name]]),
    SalesData[[#This Row],[Unit Price]])</f>
        <v>15</v>
      </c>
      <c r="M143" s="15">
        <v>5.45</v>
      </c>
      <c r="N143" s="15">
        <f>SalesData[[#This Row],[Quantity Sold]] * SalesData[[#This Row],[Cleaned Unit Price]]</f>
        <v>15</v>
      </c>
      <c r="O143" s="15">
        <f>SalesData[[#This Row],[Quantity Sold]] * SalesData[[#This Row],[Unit Cost]]</f>
        <v>5.45</v>
      </c>
      <c r="P143" s="15">
        <f>SalesData[[#This Row],[Revenue]] - SalesData[[#This Row],[Cost]]</f>
        <v>9.5500000000000007</v>
      </c>
      <c r="Q143" s="13">
        <f>IF(SalesData[[#This Row],[Revenue]]=0,0,SalesData[[#This Row],[Profit]]/SalesData[[#This Row],[Revenue]])</f>
        <v>0.63666666666666671</v>
      </c>
      <c r="R143" t="s">
        <v>1177</v>
      </c>
      <c r="S143" t="s">
        <v>1376</v>
      </c>
      <c r="T143" t="str">
        <f>PROPER(SalesData[[#This Row],[Customer Name]])</f>
        <v>Emma Smith</v>
      </c>
      <c r="U143" t="s">
        <v>1414</v>
      </c>
      <c r="V143" t="s">
        <v>1419</v>
      </c>
    </row>
    <row r="144" spans="1:22" x14ac:dyDescent="0.25">
      <c r="A144" t="s">
        <v>1570</v>
      </c>
      <c r="B144" s="5">
        <v>45338</v>
      </c>
      <c r="C144" s="2" t="str">
        <f>TEXT(SalesData[[#This Row],[Order Date]],"mmm")</f>
        <v>Feb</v>
      </c>
      <c r="D144" s="7">
        <f>MONTH(SalesData[[#This Row],[Order Date]])</f>
        <v>2</v>
      </c>
      <c r="E144" s="7">
        <f>YEAR(SalesData[[#This Row],[Order Date]])</f>
        <v>2024</v>
      </c>
      <c r="F144" t="s">
        <v>695</v>
      </c>
      <c r="G144" t="str">
        <f>PROPER(SalesData[[#This Row],[Product Name]])</f>
        <v>Reusable Bamboo Utensil Set</v>
      </c>
      <c r="H144" t="s">
        <v>1014</v>
      </c>
      <c r="I144" t="str">
        <f>UPPER(SalesData[[#This Row],[Product Category]])</f>
        <v>KITCHENWARE</v>
      </c>
      <c r="J144">
        <v>1</v>
      </c>
      <c r="K144">
        <v>15</v>
      </c>
      <c r="L144" s="15">
        <f>IF(SalesData[[#This Row],[Unit Price]]="",
    AVERAGEIFS(SalesData[Unit Price],
               SalesData[Product Name],SalesData[[#This Row],[Product Name]]),
    SalesData[[#This Row],[Unit Price]])</f>
        <v>15</v>
      </c>
      <c r="M144" s="15">
        <v>3.59</v>
      </c>
      <c r="N144" s="15">
        <f>SalesData[[#This Row],[Quantity Sold]] * SalesData[[#This Row],[Cleaned Unit Price]]</f>
        <v>15</v>
      </c>
      <c r="O144" s="15">
        <f>SalesData[[#This Row],[Quantity Sold]] * SalesData[[#This Row],[Unit Cost]]</f>
        <v>3.59</v>
      </c>
      <c r="P144" s="15">
        <f>SalesData[[#This Row],[Revenue]] - SalesData[[#This Row],[Cost]]</f>
        <v>11.41</v>
      </c>
      <c r="Q144" s="13">
        <f>IF(SalesData[[#This Row],[Revenue]]=0,0,SalesData[[#This Row],[Profit]]/SalesData[[#This Row],[Revenue]])</f>
        <v>0.76066666666666671</v>
      </c>
      <c r="R144" t="s">
        <v>1152</v>
      </c>
      <c r="S144" t="s">
        <v>1351</v>
      </c>
      <c r="T144" t="str">
        <f>PROPER(SalesData[[#This Row],[Customer Name]])</f>
        <v>Amelia Johnson</v>
      </c>
      <c r="U144" t="s">
        <v>1415</v>
      </c>
      <c r="V144" t="s">
        <v>1426</v>
      </c>
    </row>
    <row r="145" spans="1:22" x14ac:dyDescent="0.25">
      <c r="A145" t="s">
        <v>1571</v>
      </c>
      <c r="B145" s="5">
        <v>45339</v>
      </c>
      <c r="C145" s="2" t="str">
        <f>TEXT(SalesData[[#This Row],[Order Date]],"mmm")</f>
        <v>Feb</v>
      </c>
      <c r="D145" s="7">
        <f>MONTH(SalesData[[#This Row],[Order Date]])</f>
        <v>2</v>
      </c>
      <c r="E145" s="7">
        <f>YEAR(SalesData[[#This Row],[Order Date]])</f>
        <v>2024</v>
      </c>
      <c r="F145" t="s">
        <v>507</v>
      </c>
      <c r="G145" t="str">
        <f>PROPER(SalesData[[#This Row],[Product Name]])</f>
        <v>Solar Led Lantern</v>
      </c>
      <c r="H145" t="s">
        <v>1012</v>
      </c>
      <c r="I145" t="str">
        <f>UPPER(SalesData[[#This Row],[Product Category]])</f>
        <v>LIGHTING</v>
      </c>
      <c r="J145">
        <v>3</v>
      </c>
      <c r="K145">
        <v>40</v>
      </c>
      <c r="L145" s="15">
        <f>IF(SalesData[[#This Row],[Unit Price]]="",
    AVERAGEIFS(SalesData[Unit Price],
               SalesData[Product Name],SalesData[[#This Row],[Product Name]]),
    SalesData[[#This Row],[Unit Price]])</f>
        <v>40</v>
      </c>
      <c r="M145" s="15">
        <v>13.47</v>
      </c>
      <c r="N145" s="15">
        <f>SalesData[[#This Row],[Quantity Sold]] * SalesData[[#This Row],[Cleaned Unit Price]]</f>
        <v>120</v>
      </c>
      <c r="O145" s="15">
        <f>SalesData[[#This Row],[Quantity Sold]] * SalesData[[#This Row],[Unit Cost]]</f>
        <v>40.410000000000004</v>
      </c>
      <c r="P145" s="15">
        <f>SalesData[[#This Row],[Revenue]] - SalesData[[#This Row],[Cost]]</f>
        <v>79.59</v>
      </c>
      <c r="Q145" s="13">
        <f>IF(SalesData[[#This Row],[Revenue]]=0,0,SalesData[[#This Row],[Profit]]/SalesData[[#This Row],[Revenue]])</f>
        <v>0.66325000000000001</v>
      </c>
      <c r="R145" t="s">
        <v>1170</v>
      </c>
      <c r="S145" t="s">
        <v>1369</v>
      </c>
      <c r="T145" t="str">
        <f>PROPER(SalesData[[#This Row],[Customer Name]])</f>
        <v>Aiden Brown</v>
      </c>
      <c r="U145" t="s">
        <v>1416</v>
      </c>
      <c r="V145" t="s">
        <v>1420</v>
      </c>
    </row>
    <row r="146" spans="1:22" x14ac:dyDescent="0.25">
      <c r="A146" t="s">
        <v>1572</v>
      </c>
      <c r="B146" s="5">
        <v>45339</v>
      </c>
      <c r="C146" s="2" t="str">
        <f>TEXT(SalesData[[#This Row],[Order Date]],"mmm")</f>
        <v>Feb</v>
      </c>
      <c r="D146" s="7">
        <f>MONTH(SalesData[[#This Row],[Order Date]])</f>
        <v>2</v>
      </c>
      <c r="E146" s="7">
        <f>YEAR(SalesData[[#This Row],[Order Date]])</f>
        <v>2024</v>
      </c>
      <c r="F146" t="s">
        <v>516</v>
      </c>
      <c r="G146" t="str">
        <f>PROPER(SalesData[[#This Row],[Product Name]])</f>
        <v>Compostable Plant Pots</v>
      </c>
      <c r="H146" t="s">
        <v>1011</v>
      </c>
      <c r="I146" t="str">
        <f>UPPER(SalesData[[#This Row],[Product Category]])</f>
        <v>GARDENING</v>
      </c>
      <c r="J146">
        <v>8</v>
      </c>
      <c r="K146">
        <v>12</v>
      </c>
      <c r="L146" s="15">
        <f>IF(SalesData[[#This Row],[Unit Price]]="",
    AVERAGEIFS(SalesData[Unit Price],
               SalesData[Product Name],SalesData[[#This Row],[Product Name]]),
    SalesData[[#This Row],[Unit Price]])</f>
        <v>12</v>
      </c>
      <c r="M146" s="15">
        <v>2.72</v>
      </c>
      <c r="N146" s="15">
        <f>SalesData[[#This Row],[Quantity Sold]] * SalesData[[#This Row],[Cleaned Unit Price]]</f>
        <v>96</v>
      </c>
      <c r="O146" s="15">
        <f>SalesData[[#This Row],[Quantity Sold]] * SalesData[[#This Row],[Unit Cost]]</f>
        <v>21.76</v>
      </c>
      <c r="P146" s="15">
        <f>SalesData[[#This Row],[Revenue]] - SalesData[[#This Row],[Cost]]</f>
        <v>74.239999999999995</v>
      </c>
      <c r="Q146" s="13">
        <f>IF(SalesData[[#This Row],[Revenue]]=0,0,SalesData[[#This Row],[Profit]]/SalesData[[#This Row],[Revenue]])</f>
        <v>0.77333333333333332</v>
      </c>
      <c r="R146" t="s">
        <v>1124</v>
      </c>
      <c r="S146" t="s">
        <v>1323</v>
      </c>
      <c r="T146" t="str">
        <f>PROPER(SalesData[[#This Row],[Customer Name]])</f>
        <v>Emma Davis</v>
      </c>
      <c r="U146" t="s">
        <v>1414</v>
      </c>
      <c r="V146" t="s">
        <v>1421</v>
      </c>
    </row>
    <row r="147" spans="1:22" x14ac:dyDescent="0.25">
      <c r="A147" t="s">
        <v>1573</v>
      </c>
      <c r="B147" s="5">
        <v>45339</v>
      </c>
      <c r="C147" s="2" t="str">
        <f>TEXT(SalesData[[#This Row],[Order Date]],"mmm")</f>
        <v>Feb</v>
      </c>
      <c r="D147" s="7">
        <f>MONTH(SalesData[[#This Row],[Order Date]])</f>
        <v>2</v>
      </c>
      <c r="E147" s="7">
        <f>YEAR(SalesData[[#This Row],[Order Date]])</f>
        <v>2024</v>
      </c>
      <c r="F147" t="s">
        <v>577</v>
      </c>
      <c r="G147" t="str">
        <f>PROPER(SalesData[[#This Row],[Product Name]])</f>
        <v>Reusable Bamboo Utensil Set</v>
      </c>
      <c r="H147" t="s">
        <v>1014</v>
      </c>
      <c r="I147" t="str">
        <f>UPPER(SalesData[[#This Row],[Product Category]])</f>
        <v>KITCHENWARE</v>
      </c>
      <c r="J147">
        <v>1</v>
      </c>
      <c r="K147">
        <v>15</v>
      </c>
      <c r="L147" s="15">
        <f>IF(SalesData[[#This Row],[Unit Price]]="",
    AVERAGEIFS(SalesData[Unit Price],
               SalesData[Product Name],SalesData[[#This Row],[Product Name]]),
    SalesData[[#This Row],[Unit Price]])</f>
        <v>15</v>
      </c>
      <c r="M147" s="15">
        <v>3.43</v>
      </c>
      <c r="N147" s="15">
        <f>SalesData[[#This Row],[Quantity Sold]] * SalesData[[#This Row],[Cleaned Unit Price]]</f>
        <v>15</v>
      </c>
      <c r="O147" s="15">
        <f>SalesData[[#This Row],[Quantity Sold]] * SalesData[[#This Row],[Unit Cost]]</f>
        <v>3.43</v>
      </c>
      <c r="P147" s="15">
        <f>SalesData[[#This Row],[Revenue]] - SalesData[[#This Row],[Cost]]</f>
        <v>11.57</v>
      </c>
      <c r="Q147" s="13">
        <f>IF(SalesData[[#This Row],[Revenue]]=0,0,SalesData[[#This Row],[Profit]]/SalesData[[#This Row],[Revenue]])</f>
        <v>0.77133333333333332</v>
      </c>
      <c r="R147" t="s">
        <v>1036</v>
      </c>
      <c r="S147" t="s">
        <v>1235</v>
      </c>
      <c r="T147" t="str">
        <f>PROPER(SalesData[[#This Row],[Customer Name]])</f>
        <v>Amelia Johnson</v>
      </c>
      <c r="U147" t="s">
        <v>1414</v>
      </c>
      <c r="V147" t="s">
        <v>1425</v>
      </c>
    </row>
    <row r="148" spans="1:22" x14ac:dyDescent="0.25">
      <c r="A148" t="s">
        <v>1574</v>
      </c>
      <c r="B148" s="5">
        <v>45340</v>
      </c>
      <c r="C148" s="2" t="str">
        <f>TEXT(SalesData[[#This Row],[Order Date]],"mmm")</f>
        <v>Feb</v>
      </c>
      <c r="D148" s="7">
        <f>MONTH(SalesData[[#This Row],[Order Date]])</f>
        <v>2</v>
      </c>
      <c r="E148" s="7">
        <f>YEAR(SalesData[[#This Row],[Order Date]])</f>
        <v>2024</v>
      </c>
      <c r="F148" t="s">
        <v>614</v>
      </c>
      <c r="G148" t="str">
        <f>PROPER(SalesData[[#This Row],[Product Name]])</f>
        <v>Biodegradable Cleaning Cloth</v>
      </c>
      <c r="H148" t="s">
        <v>1015</v>
      </c>
      <c r="I148" t="str">
        <f>UPPER(SalesData[[#This Row],[Product Category]])</f>
        <v>CLEANING</v>
      </c>
      <c r="J148">
        <v>1</v>
      </c>
      <c r="K148">
        <v>10</v>
      </c>
      <c r="L148" s="15">
        <f>IF(SalesData[[#This Row],[Unit Price]]="",
    AVERAGEIFS(SalesData[Unit Price],
               SalesData[Product Name],SalesData[[#This Row],[Product Name]]),
    SalesData[[#This Row],[Unit Price]])</f>
        <v>10</v>
      </c>
      <c r="M148" s="15">
        <v>3.27</v>
      </c>
      <c r="N148" s="15">
        <f>SalesData[[#This Row],[Quantity Sold]] * SalesData[[#This Row],[Cleaned Unit Price]]</f>
        <v>10</v>
      </c>
      <c r="O148" s="15">
        <f>SalesData[[#This Row],[Quantity Sold]] * SalesData[[#This Row],[Unit Cost]]</f>
        <v>3.27</v>
      </c>
      <c r="P148" s="15">
        <f>SalesData[[#This Row],[Revenue]] - SalesData[[#This Row],[Cost]]</f>
        <v>6.73</v>
      </c>
      <c r="Q148" s="13">
        <f>IF(SalesData[[#This Row],[Revenue]]=0,0,SalesData[[#This Row],[Profit]]/SalesData[[#This Row],[Revenue]])</f>
        <v>0.67300000000000004</v>
      </c>
      <c r="R148" t="s">
        <v>1171</v>
      </c>
      <c r="S148" t="s">
        <v>1370</v>
      </c>
      <c r="T148" t="str">
        <f>PROPER(SalesData[[#This Row],[Customer Name]])</f>
        <v>Ava Rodriguez</v>
      </c>
      <c r="U148" t="s">
        <v>1416</v>
      </c>
      <c r="V148" t="s">
        <v>1419</v>
      </c>
    </row>
    <row r="149" spans="1:22" x14ac:dyDescent="0.25">
      <c r="A149" t="s">
        <v>1575</v>
      </c>
      <c r="B149" s="5">
        <v>45340</v>
      </c>
      <c r="C149" s="2" t="str">
        <f>TEXT(SalesData[[#This Row],[Order Date]],"mmm")</f>
        <v>Feb</v>
      </c>
      <c r="D149" s="7">
        <f>MONTH(SalesData[[#This Row],[Order Date]])</f>
        <v>2</v>
      </c>
      <c r="E149" s="7">
        <f>YEAR(SalesData[[#This Row],[Order Date]])</f>
        <v>2024</v>
      </c>
      <c r="F149" t="s">
        <v>703</v>
      </c>
      <c r="G149" t="str">
        <f>PROPER(SalesData[[#This Row],[Product Name]])</f>
        <v>Biodegradable Cleaning Cloth</v>
      </c>
      <c r="H149" t="s">
        <v>1015</v>
      </c>
      <c r="I149" t="str">
        <f>UPPER(SalesData[[#This Row],[Product Category]])</f>
        <v>CLEANING</v>
      </c>
      <c r="J149">
        <v>6</v>
      </c>
      <c r="K149">
        <v>10</v>
      </c>
      <c r="L149" s="15">
        <f>IF(SalesData[[#This Row],[Unit Price]]="",
    AVERAGEIFS(SalesData[Unit Price],
               SalesData[Product Name],SalesData[[#This Row],[Product Name]]),
    SalesData[[#This Row],[Unit Price]])</f>
        <v>10</v>
      </c>
      <c r="M149" s="15">
        <v>3.92</v>
      </c>
      <c r="N149" s="15">
        <f>SalesData[[#This Row],[Quantity Sold]] * SalesData[[#This Row],[Cleaned Unit Price]]</f>
        <v>60</v>
      </c>
      <c r="O149" s="15">
        <f>SalesData[[#This Row],[Quantity Sold]] * SalesData[[#This Row],[Unit Cost]]</f>
        <v>23.52</v>
      </c>
      <c r="P149" s="15">
        <f>SalesData[[#This Row],[Revenue]] - SalesData[[#This Row],[Cost]]</f>
        <v>36.480000000000004</v>
      </c>
      <c r="Q149" s="13">
        <f>IF(SalesData[[#This Row],[Revenue]]=0,0,SalesData[[#This Row],[Profit]]/SalesData[[#This Row],[Revenue]])</f>
        <v>0.6080000000000001</v>
      </c>
      <c r="R149" t="s">
        <v>1098</v>
      </c>
      <c r="S149" t="s">
        <v>1297</v>
      </c>
      <c r="T149" t="str">
        <f>PROPER(SalesData[[#This Row],[Customer Name]])</f>
        <v>Noah Martinez</v>
      </c>
      <c r="U149" t="s">
        <v>1414</v>
      </c>
      <c r="V149" t="s">
        <v>1420</v>
      </c>
    </row>
    <row r="150" spans="1:22" x14ac:dyDescent="0.25">
      <c r="A150" t="s">
        <v>1576</v>
      </c>
      <c r="B150" s="5">
        <v>45340</v>
      </c>
      <c r="C150" s="2" t="str">
        <f>TEXT(SalesData[[#This Row],[Order Date]],"mmm")</f>
        <v>Feb</v>
      </c>
      <c r="D150" s="7">
        <f>MONTH(SalesData[[#This Row],[Order Date]])</f>
        <v>2</v>
      </c>
      <c r="E150" s="7">
        <f>YEAR(SalesData[[#This Row],[Order Date]])</f>
        <v>2024</v>
      </c>
      <c r="F150" t="s">
        <v>809</v>
      </c>
      <c r="G150" t="str">
        <f>PROPER(SalesData[[#This Row],[Product Name]])</f>
        <v>Solar Led Lantern</v>
      </c>
      <c r="H150" t="s">
        <v>1012</v>
      </c>
      <c r="I150" t="str">
        <f>UPPER(SalesData[[#This Row],[Product Category]])</f>
        <v>LIGHTING</v>
      </c>
      <c r="J150">
        <v>10</v>
      </c>
      <c r="K150">
        <v>40</v>
      </c>
      <c r="L150" s="15">
        <f>IF(SalesData[[#This Row],[Unit Price]]="",
    AVERAGEIFS(SalesData[Unit Price],
               SalesData[Product Name],SalesData[[#This Row],[Product Name]]),
    SalesData[[#This Row],[Unit Price]])</f>
        <v>40</v>
      </c>
      <c r="M150" s="15">
        <v>10.39</v>
      </c>
      <c r="N150" s="15">
        <f>SalesData[[#This Row],[Quantity Sold]] * SalesData[[#This Row],[Cleaned Unit Price]]</f>
        <v>400</v>
      </c>
      <c r="O150" s="15">
        <f>SalesData[[#This Row],[Quantity Sold]] * SalesData[[#This Row],[Unit Cost]]</f>
        <v>103.9</v>
      </c>
      <c r="P150" s="15">
        <f>SalesData[[#This Row],[Revenue]] - SalesData[[#This Row],[Cost]]</f>
        <v>296.10000000000002</v>
      </c>
      <c r="Q150" s="13">
        <f>IF(SalesData[[#This Row],[Revenue]]=0,0,SalesData[[#This Row],[Profit]]/SalesData[[#This Row],[Revenue]])</f>
        <v>0.74025000000000007</v>
      </c>
      <c r="R150" t="s">
        <v>1177</v>
      </c>
      <c r="S150" t="s">
        <v>1376</v>
      </c>
      <c r="T150" t="str">
        <f>PROPER(SalesData[[#This Row],[Customer Name]])</f>
        <v>Emma Smith</v>
      </c>
      <c r="U150" t="s">
        <v>1414</v>
      </c>
      <c r="V150" t="s">
        <v>1422</v>
      </c>
    </row>
    <row r="151" spans="1:22" x14ac:dyDescent="0.25">
      <c r="A151" t="s">
        <v>1577</v>
      </c>
      <c r="B151" s="5">
        <v>45341</v>
      </c>
      <c r="C151" s="2" t="str">
        <f>TEXT(SalesData[[#This Row],[Order Date]],"mmm")</f>
        <v>Feb</v>
      </c>
      <c r="D151" s="7">
        <f>MONTH(SalesData[[#This Row],[Order Date]])</f>
        <v>2</v>
      </c>
      <c r="E151" s="7">
        <f>YEAR(SalesData[[#This Row],[Order Date]])</f>
        <v>2024</v>
      </c>
      <c r="F151" t="s">
        <v>933</v>
      </c>
      <c r="G151" t="str">
        <f>PROPER(SalesData[[#This Row],[Product Name]])</f>
        <v>Compostable Plant Pots</v>
      </c>
      <c r="H151" t="s">
        <v>1011</v>
      </c>
      <c r="I151" t="str">
        <f>UPPER(SalesData[[#This Row],[Product Category]])</f>
        <v>GARDENING</v>
      </c>
      <c r="J151">
        <v>1</v>
      </c>
      <c r="K151">
        <v>12</v>
      </c>
      <c r="L151" s="15">
        <f>IF(SalesData[[#This Row],[Unit Price]]="",
    AVERAGEIFS(SalesData[Unit Price],
               SalesData[Product Name],SalesData[[#This Row],[Product Name]]),
    SalesData[[#This Row],[Unit Price]])</f>
        <v>12</v>
      </c>
      <c r="M151" s="15">
        <v>3.88</v>
      </c>
      <c r="N151" s="15">
        <f>SalesData[[#This Row],[Quantity Sold]] * SalesData[[#This Row],[Cleaned Unit Price]]</f>
        <v>12</v>
      </c>
      <c r="O151" s="15">
        <f>SalesData[[#This Row],[Quantity Sold]] * SalesData[[#This Row],[Unit Cost]]</f>
        <v>3.88</v>
      </c>
      <c r="P151" s="15">
        <f>SalesData[[#This Row],[Revenue]] - SalesData[[#This Row],[Cost]]</f>
        <v>8.120000000000001</v>
      </c>
      <c r="Q151" s="13">
        <f>IF(SalesData[[#This Row],[Revenue]]=0,0,SalesData[[#This Row],[Profit]]/SalesData[[#This Row],[Revenue]])</f>
        <v>0.67666666666666675</v>
      </c>
      <c r="R151" t="s">
        <v>1140</v>
      </c>
      <c r="S151" t="s">
        <v>1339</v>
      </c>
      <c r="T151" t="str">
        <f>PROPER(SalesData[[#This Row],[Customer Name]])</f>
        <v>Oliver Smith</v>
      </c>
      <c r="U151" t="s">
        <v>1414</v>
      </c>
      <c r="V151" t="s">
        <v>1426</v>
      </c>
    </row>
    <row r="152" spans="1:22" x14ac:dyDescent="0.25">
      <c r="A152" t="s">
        <v>1578</v>
      </c>
      <c r="B152" s="5">
        <v>45341</v>
      </c>
      <c r="C152" s="2" t="str">
        <f>TEXT(SalesData[[#This Row],[Order Date]],"mmm")</f>
        <v>Feb</v>
      </c>
      <c r="D152" s="7">
        <f>MONTH(SalesData[[#This Row],[Order Date]])</f>
        <v>2</v>
      </c>
      <c r="E152" s="7">
        <f>YEAR(SalesData[[#This Row],[Order Date]])</f>
        <v>2024</v>
      </c>
      <c r="F152" t="s">
        <v>934</v>
      </c>
      <c r="G152" t="str">
        <f>PROPER(SalesData[[#This Row],[Product Name]])</f>
        <v>Solar Led Lantern</v>
      </c>
      <c r="H152" t="s">
        <v>1012</v>
      </c>
      <c r="I152" t="str">
        <f>UPPER(SalesData[[#This Row],[Product Category]])</f>
        <v>LIGHTING</v>
      </c>
      <c r="J152">
        <v>9</v>
      </c>
      <c r="K152">
        <v>40</v>
      </c>
      <c r="L152" s="15">
        <f>IF(SalesData[[#This Row],[Unit Price]]="",
    AVERAGEIFS(SalesData[Unit Price],
               SalesData[Product Name],SalesData[[#This Row],[Product Name]]),
    SalesData[[#This Row],[Unit Price]])</f>
        <v>40</v>
      </c>
      <c r="M152" s="15">
        <v>13.95</v>
      </c>
      <c r="N152" s="15">
        <f>SalesData[[#This Row],[Quantity Sold]] * SalesData[[#This Row],[Cleaned Unit Price]]</f>
        <v>360</v>
      </c>
      <c r="O152" s="15">
        <f>SalesData[[#This Row],[Quantity Sold]] * SalesData[[#This Row],[Unit Cost]]</f>
        <v>125.55</v>
      </c>
      <c r="P152" s="15">
        <f>SalesData[[#This Row],[Revenue]] - SalesData[[#This Row],[Cost]]</f>
        <v>234.45</v>
      </c>
      <c r="Q152" s="13">
        <f>IF(SalesData[[#This Row],[Revenue]]=0,0,SalesData[[#This Row],[Profit]]/SalesData[[#This Row],[Revenue]])</f>
        <v>0.65125</v>
      </c>
      <c r="R152" t="s">
        <v>1069</v>
      </c>
      <c r="S152" t="s">
        <v>1268</v>
      </c>
      <c r="T152" t="str">
        <f>PROPER(SalesData[[#This Row],[Customer Name]])</f>
        <v>Aiden Davis</v>
      </c>
      <c r="U152" t="s">
        <v>1414</v>
      </c>
      <c r="V152" t="s">
        <v>1418</v>
      </c>
    </row>
    <row r="153" spans="1:22" x14ac:dyDescent="0.25">
      <c r="A153" t="s">
        <v>1579</v>
      </c>
      <c r="B153" s="5">
        <v>45342</v>
      </c>
      <c r="C153" s="2" t="str">
        <f>TEXT(SalesData[[#This Row],[Order Date]],"mmm")</f>
        <v>Feb</v>
      </c>
      <c r="D153" s="7">
        <f>MONTH(SalesData[[#This Row],[Order Date]])</f>
        <v>2</v>
      </c>
      <c r="E153" s="7">
        <f>YEAR(SalesData[[#This Row],[Order Date]])</f>
        <v>2024</v>
      </c>
      <c r="F153" t="s">
        <v>50</v>
      </c>
      <c r="G153" t="str">
        <f>PROPER(SalesData[[#This Row],[Product Name]])</f>
        <v>Solar Led Lantern</v>
      </c>
      <c r="H153" t="s">
        <v>1012</v>
      </c>
      <c r="I153" t="str">
        <f>UPPER(SalesData[[#This Row],[Product Category]])</f>
        <v>LIGHTING</v>
      </c>
      <c r="J153">
        <v>6</v>
      </c>
      <c r="K153">
        <v>40</v>
      </c>
      <c r="L153" s="15">
        <f>IF(SalesData[[#This Row],[Unit Price]]="",
    AVERAGEIFS(SalesData[Unit Price],
               SalesData[Product Name],SalesData[[#This Row],[Product Name]]),
    SalesData[[#This Row],[Unit Price]])</f>
        <v>40</v>
      </c>
      <c r="M153" s="15">
        <v>11.41</v>
      </c>
      <c r="N153" s="15">
        <f>SalesData[[#This Row],[Quantity Sold]] * SalesData[[#This Row],[Cleaned Unit Price]]</f>
        <v>240</v>
      </c>
      <c r="O153" s="15">
        <f>SalesData[[#This Row],[Quantity Sold]] * SalesData[[#This Row],[Unit Cost]]</f>
        <v>68.460000000000008</v>
      </c>
      <c r="P153" s="15">
        <f>SalesData[[#This Row],[Revenue]] - SalesData[[#This Row],[Cost]]</f>
        <v>171.54</v>
      </c>
      <c r="Q153" s="13">
        <f>IF(SalesData[[#This Row],[Revenue]]=0,0,SalesData[[#This Row],[Profit]]/SalesData[[#This Row],[Revenue]])</f>
        <v>0.71475</v>
      </c>
      <c r="R153" t="s">
        <v>1049</v>
      </c>
      <c r="S153" t="s">
        <v>1248</v>
      </c>
      <c r="T153" t="str">
        <f>PROPER(SalesData[[#This Row],[Customer Name]])</f>
        <v>Noah Rodriguez</v>
      </c>
      <c r="U153" t="s">
        <v>1416</v>
      </c>
      <c r="V153" t="s">
        <v>1418</v>
      </c>
    </row>
    <row r="154" spans="1:22" x14ac:dyDescent="0.25">
      <c r="A154" t="s">
        <v>1580</v>
      </c>
      <c r="B154" s="5">
        <v>45343</v>
      </c>
      <c r="C154" s="2" t="str">
        <f>TEXT(SalesData[[#This Row],[Order Date]],"mmm")</f>
        <v>Feb</v>
      </c>
      <c r="D154" s="7">
        <f>MONTH(SalesData[[#This Row],[Order Date]])</f>
        <v>2</v>
      </c>
      <c r="E154" s="7">
        <f>YEAR(SalesData[[#This Row],[Order Date]])</f>
        <v>2024</v>
      </c>
      <c r="F154" t="s">
        <v>207</v>
      </c>
      <c r="G154" t="str">
        <f>PROPER(SalesData[[#This Row],[Product Name]])</f>
        <v>Solar Led Lantern</v>
      </c>
      <c r="H154" t="s">
        <v>1012</v>
      </c>
      <c r="I154" t="str">
        <f>UPPER(SalesData[[#This Row],[Product Category]])</f>
        <v>LIGHTING</v>
      </c>
      <c r="J154">
        <v>10</v>
      </c>
      <c r="K154">
        <v>40</v>
      </c>
      <c r="L154" s="15">
        <f>IF(SalesData[[#This Row],[Unit Price]]="",
    AVERAGEIFS(SalesData[Unit Price],
               SalesData[Product Name],SalesData[[#This Row],[Product Name]]),
    SalesData[[#This Row],[Unit Price]])</f>
        <v>40</v>
      </c>
      <c r="M154" s="15">
        <v>15.1</v>
      </c>
      <c r="N154" s="15">
        <f>SalesData[[#This Row],[Quantity Sold]] * SalesData[[#This Row],[Cleaned Unit Price]]</f>
        <v>400</v>
      </c>
      <c r="O154" s="15">
        <f>SalesData[[#This Row],[Quantity Sold]] * SalesData[[#This Row],[Unit Cost]]</f>
        <v>151</v>
      </c>
      <c r="P154" s="15">
        <f>SalesData[[#This Row],[Revenue]] - SalesData[[#This Row],[Cost]]</f>
        <v>249</v>
      </c>
      <c r="Q154" s="13">
        <f>IF(SalesData[[#This Row],[Revenue]]=0,0,SalesData[[#This Row],[Profit]]/SalesData[[#This Row],[Revenue]])</f>
        <v>0.62250000000000005</v>
      </c>
      <c r="R154" t="s">
        <v>1040</v>
      </c>
      <c r="S154" t="s">
        <v>1239</v>
      </c>
      <c r="T154" t="str">
        <f>PROPER(SalesData[[#This Row],[Customer Name]])</f>
        <v>Ethan Rodriguez</v>
      </c>
      <c r="U154" t="s">
        <v>1414</v>
      </c>
      <c r="V154" t="s">
        <v>1420</v>
      </c>
    </row>
    <row r="155" spans="1:22" x14ac:dyDescent="0.25">
      <c r="A155" t="s">
        <v>1581</v>
      </c>
      <c r="B155" s="5">
        <v>45343</v>
      </c>
      <c r="C155" s="2" t="str">
        <f>TEXT(SalesData[[#This Row],[Order Date]],"mmm")</f>
        <v>Feb</v>
      </c>
      <c r="D155" s="7">
        <f>MONTH(SalesData[[#This Row],[Order Date]])</f>
        <v>2</v>
      </c>
      <c r="E155" s="7">
        <f>YEAR(SalesData[[#This Row],[Order Date]])</f>
        <v>2024</v>
      </c>
      <c r="F155" t="s">
        <v>574</v>
      </c>
      <c r="G155" t="str">
        <f>PROPER(SalesData[[#This Row],[Product Name]])</f>
        <v>Compostable Plant Pots</v>
      </c>
      <c r="H155" t="s">
        <v>1011</v>
      </c>
      <c r="I155" t="str">
        <f>UPPER(SalesData[[#This Row],[Product Category]])</f>
        <v>GARDENING</v>
      </c>
      <c r="J155">
        <v>3</v>
      </c>
      <c r="K155">
        <v>12</v>
      </c>
      <c r="L155" s="15">
        <f>IF(SalesData[[#This Row],[Unit Price]]="",
    AVERAGEIFS(SalesData[Unit Price],
               SalesData[Product Name],SalesData[[#This Row],[Product Name]]),
    SalesData[[#This Row],[Unit Price]])</f>
        <v>12</v>
      </c>
      <c r="M155" s="15">
        <v>4.78</v>
      </c>
      <c r="N155" s="15">
        <f>SalesData[[#This Row],[Quantity Sold]] * SalesData[[#This Row],[Cleaned Unit Price]]</f>
        <v>36</v>
      </c>
      <c r="O155" s="15">
        <f>SalesData[[#This Row],[Quantity Sold]] * SalesData[[#This Row],[Unit Cost]]</f>
        <v>14.34</v>
      </c>
      <c r="P155" s="15">
        <f>SalesData[[#This Row],[Revenue]] - SalesData[[#This Row],[Cost]]</f>
        <v>21.66</v>
      </c>
      <c r="Q155" s="13">
        <f>IF(SalesData[[#This Row],[Revenue]]=0,0,SalesData[[#This Row],[Profit]]/SalesData[[#This Row],[Revenue]])</f>
        <v>0.60166666666666668</v>
      </c>
      <c r="R155" t="s">
        <v>1127</v>
      </c>
      <c r="S155" t="s">
        <v>1326</v>
      </c>
      <c r="T155" t="str">
        <f>PROPER(SalesData[[#This Row],[Customer Name]])</f>
        <v>Mason Williams</v>
      </c>
      <c r="U155" t="s">
        <v>1414</v>
      </c>
      <c r="V155" t="s">
        <v>1424</v>
      </c>
    </row>
    <row r="156" spans="1:22" x14ac:dyDescent="0.25">
      <c r="A156" t="s">
        <v>1582</v>
      </c>
      <c r="B156" s="5">
        <v>45343</v>
      </c>
      <c r="C156" s="2" t="str">
        <f>TEXT(SalesData[[#This Row],[Order Date]],"mmm")</f>
        <v>Feb</v>
      </c>
      <c r="D156" s="7">
        <f>MONTH(SalesData[[#This Row],[Order Date]])</f>
        <v>2</v>
      </c>
      <c r="E156" s="7">
        <f>YEAR(SalesData[[#This Row],[Order Date]])</f>
        <v>2024</v>
      </c>
      <c r="F156" t="s">
        <v>645</v>
      </c>
      <c r="G156" t="str">
        <f>PROPER(SalesData[[#This Row],[Product Name]])</f>
        <v>Reusable Bamboo Utensil Set</v>
      </c>
      <c r="H156" t="s">
        <v>1014</v>
      </c>
      <c r="I156" t="str">
        <f>UPPER(SalesData[[#This Row],[Product Category]])</f>
        <v>KITCHENWARE</v>
      </c>
      <c r="J156">
        <v>5</v>
      </c>
      <c r="K156">
        <v>15</v>
      </c>
      <c r="L156" s="15">
        <f>IF(SalesData[[#This Row],[Unit Price]]="",
    AVERAGEIFS(SalesData[Unit Price],
               SalesData[Product Name],SalesData[[#This Row],[Product Name]]),
    SalesData[[#This Row],[Unit Price]])</f>
        <v>15</v>
      </c>
      <c r="M156" s="15">
        <v>5.09</v>
      </c>
      <c r="N156" s="15">
        <f>SalesData[[#This Row],[Quantity Sold]] * SalesData[[#This Row],[Cleaned Unit Price]]</f>
        <v>75</v>
      </c>
      <c r="O156" s="15">
        <f>SalesData[[#This Row],[Quantity Sold]] * SalesData[[#This Row],[Unit Cost]]</f>
        <v>25.45</v>
      </c>
      <c r="P156" s="15">
        <f>SalesData[[#This Row],[Revenue]] - SalesData[[#This Row],[Cost]]</f>
        <v>49.55</v>
      </c>
      <c r="Q156" s="13">
        <f>IF(SalesData[[#This Row],[Revenue]]=0,0,SalesData[[#This Row],[Profit]]/SalesData[[#This Row],[Revenue]])</f>
        <v>0.66066666666666662</v>
      </c>
      <c r="R156" t="s">
        <v>1092</v>
      </c>
      <c r="S156" t="s">
        <v>1291</v>
      </c>
      <c r="T156" t="str">
        <f>PROPER(SalesData[[#This Row],[Customer Name]])</f>
        <v>Emma Brown</v>
      </c>
      <c r="U156" t="s">
        <v>1414</v>
      </c>
      <c r="V156" t="s">
        <v>1424</v>
      </c>
    </row>
    <row r="157" spans="1:22" x14ac:dyDescent="0.25">
      <c r="A157" t="s">
        <v>1583</v>
      </c>
      <c r="B157" s="5">
        <v>45344</v>
      </c>
      <c r="C157" s="2" t="str">
        <f>TEXT(SalesData[[#This Row],[Order Date]],"mmm")</f>
        <v>Feb</v>
      </c>
      <c r="D157" s="7">
        <f>MONTH(SalesData[[#This Row],[Order Date]])</f>
        <v>2</v>
      </c>
      <c r="E157" s="7">
        <f>YEAR(SalesData[[#This Row],[Order Date]])</f>
        <v>2024</v>
      </c>
      <c r="F157" t="s">
        <v>233</v>
      </c>
      <c r="G157" t="str">
        <f>PROPER(SalesData[[#This Row],[Product Name]])</f>
        <v>Reusable Bamboo Utensil Set</v>
      </c>
      <c r="H157" t="s">
        <v>1014</v>
      </c>
      <c r="I157" t="str">
        <f>UPPER(SalesData[[#This Row],[Product Category]])</f>
        <v>KITCHENWARE</v>
      </c>
      <c r="J157">
        <v>5</v>
      </c>
      <c r="L157" s="15">
        <f>IF(SalesData[[#This Row],[Unit Price]]="",
    AVERAGEIFS(SalesData[Unit Price],
               SalesData[Product Name],SalesData[[#This Row],[Product Name]]),
    SalesData[[#This Row],[Unit Price]])</f>
        <v>15</v>
      </c>
      <c r="M157" s="15">
        <v>3.54</v>
      </c>
      <c r="N157" s="15">
        <f>SalesData[[#This Row],[Quantity Sold]] * SalesData[[#This Row],[Cleaned Unit Price]]</f>
        <v>75</v>
      </c>
      <c r="O157" s="15">
        <f>SalesData[[#This Row],[Quantity Sold]] * SalesData[[#This Row],[Unit Cost]]</f>
        <v>17.7</v>
      </c>
      <c r="P157" s="15">
        <f>SalesData[[#This Row],[Revenue]] - SalesData[[#This Row],[Cost]]</f>
        <v>57.3</v>
      </c>
      <c r="Q157" s="13">
        <f>IF(SalesData[[#This Row],[Revenue]]=0,0,SalesData[[#This Row],[Profit]]/SalesData[[#This Row],[Revenue]])</f>
        <v>0.76400000000000001</v>
      </c>
      <c r="R157" t="s">
        <v>1089</v>
      </c>
      <c r="S157" t="s">
        <v>1288</v>
      </c>
      <c r="T157" t="str">
        <f>PROPER(SalesData[[#This Row],[Customer Name]])</f>
        <v>Isabella Garcia</v>
      </c>
      <c r="U157" t="s">
        <v>1414</v>
      </c>
      <c r="V157" t="s">
        <v>1427</v>
      </c>
    </row>
    <row r="158" spans="1:22" x14ac:dyDescent="0.25">
      <c r="A158" t="s">
        <v>1584</v>
      </c>
      <c r="B158" s="5">
        <v>45345</v>
      </c>
      <c r="C158" s="2" t="str">
        <f>TEXT(SalesData[[#This Row],[Order Date]],"mmm")</f>
        <v>Feb</v>
      </c>
      <c r="D158" s="7">
        <f>MONTH(SalesData[[#This Row],[Order Date]])</f>
        <v>2</v>
      </c>
      <c r="E158" s="7">
        <f>YEAR(SalesData[[#This Row],[Order Date]])</f>
        <v>2024</v>
      </c>
      <c r="F158" t="s">
        <v>251</v>
      </c>
      <c r="G158" t="str">
        <f>PROPER(SalesData[[#This Row],[Product Name]])</f>
        <v>Solar Led Lantern</v>
      </c>
      <c r="H158" t="s">
        <v>1012</v>
      </c>
      <c r="I158" t="str">
        <f>UPPER(SalesData[[#This Row],[Product Category]])</f>
        <v>LIGHTING</v>
      </c>
      <c r="J158">
        <v>3</v>
      </c>
      <c r="K158">
        <v>40</v>
      </c>
      <c r="L158" s="15">
        <f>IF(SalesData[[#This Row],[Unit Price]]="",
    AVERAGEIFS(SalesData[Unit Price],
               SalesData[Product Name],SalesData[[#This Row],[Product Name]]),
    SalesData[[#This Row],[Unit Price]])</f>
        <v>40</v>
      </c>
      <c r="M158" s="15">
        <v>13.26</v>
      </c>
      <c r="N158" s="15">
        <f>SalesData[[#This Row],[Quantity Sold]] * SalesData[[#This Row],[Cleaned Unit Price]]</f>
        <v>120</v>
      </c>
      <c r="O158" s="15">
        <f>SalesData[[#This Row],[Quantity Sold]] * SalesData[[#This Row],[Unit Cost]]</f>
        <v>39.78</v>
      </c>
      <c r="P158" s="15">
        <f>SalesData[[#This Row],[Revenue]] - SalesData[[#This Row],[Cost]]</f>
        <v>80.22</v>
      </c>
      <c r="Q158" s="13">
        <f>IF(SalesData[[#This Row],[Revenue]]=0,0,SalesData[[#This Row],[Profit]]/SalesData[[#This Row],[Revenue]])</f>
        <v>0.66849999999999998</v>
      </c>
      <c r="R158" t="s">
        <v>1094</v>
      </c>
      <c r="S158" t="s">
        <v>1293</v>
      </c>
      <c r="T158" t="str">
        <f>PROPER(SalesData[[#This Row],[Customer Name]])</f>
        <v>Sophia Davis</v>
      </c>
      <c r="U158" t="s">
        <v>1414</v>
      </c>
      <c r="V158" t="s">
        <v>1418</v>
      </c>
    </row>
    <row r="159" spans="1:22" x14ac:dyDescent="0.25">
      <c r="A159" t="s">
        <v>1585</v>
      </c>
      <c r="B159" s="5">
        <v>45345</v>
      </c>
      <c r="C159" s="2" t="str">
        <f>TEXT(SalesData[[#This Row],[Order Date]],"mmm")</f>
        <v>Feb</v>
      </c>
      <c r="D159" s="7">
        <f>MONTH(SalesData[[#This Row],[Order Date]])</f>
        <v>2</v>
      </c>
      <c r="E159" s="7">
        <f>YEAR(SalesData[[#This Row],[Order Date]])</f>
        <v>2024</v>
      </c>
      <c r="F159" t="s">
        <v>280</v>
      </c>
      <c r="G159" t="str">
        <f>PROPER(SalesData[[#This Row],[Product Name]])</f>
        <v>Solar Led Lantern</v>
      </c>
      <c r="H159" t="s">
        <v>1012</v>
      </c>
      <c r="I159" t="str">
        <f>UPPER(SalesData[[#This Row],[Product Category]])</f>
        <v>LIGHTING</v>
      </c>
      <c r="J159">
        <v>7</v>
      </c>
      <c r="L159" s="15">
        <f>IF(SalesData[[#This Row],[Unit Price]]="",
    AVERAGEIFS(SalesData[Unit Price],
               SalesData[Product Name],SalesData[[#This Row],[Product Name]]),
    SalesData[[#This Row],[Unit Price]])</f>
        <v>40</v>
      </c>
      <c r="M159" s="15">
        <v>8.94</v>
      </c>
      <c r="N159" s="15">
        <f>SalesData[[#This Row],[Quantity Sold]] * SalesData[[#This Row],[Cleaned Unit Price]]</f>
        <v>280</v>
      </c>
      <c r="O159" s="15">
        <f>SalesData[[#This Row],[Quantity Sold]] * SalesData[[#This Row],[Unit Cost]]</f>
        <v>62.58</v>
      </c>
      <c r="P159" s="15">
        <f>SalesData[[#This Row],[Revenue]] - SalesData[[#This Row],[Cost]]</f>
        <v>217.42000000000002</v>
      </c>
      <c r="Q159" s="13">
        <f>IF(SalesData[[#This Row],[Revenue]]=0,0,SalesData[[#This Row],[Profit]]/SalesData[[#This Row],[Revenue]])</f>
        <v>0.77650000000000008</v>
      </c>
      <c r="R159" t="s">
        <v>1039</v>
      </c>
      <c r="S159" t="s">
        <v>1238</v>
      </c>
      <c r="T159" t="str">
        <f>PROPER(SalesData[[#This Row],[Customer Name]])</f>
        <v>Mia Jones</v>
      </c>
      <c r="U159" t="s">
        <v>1414</v>
      </c>
      <c r="V159" t="s">
        <v>1425</v>
      </c>
    </row>
    <row r="160" spans="1:22" x14ac:dyDescent="0.25">
      <c r="A160" t="s">
        <v>1586</v>
      </c>
      <c r="B160" s="5">
        <v>45345</v>
      </c>
      <c r="C160" s="2" t="str">
        <f>TEXT(SalesData[[#This Row],[Order Date]],"mmm")</f>
        <v>Feb</v>
      </c>
      <c r="D160" s="7">
        <f>MONTH(SalesData[[#This Row],[Order Date]])</f>
        <v>2</v>
      </c>
      <c r="E160" s="7">
        <f>YEAR(SalesData[[#This Row],[Order Date]])</f>
        <v>2024</v>
      </c>
      <c r="F160" t="s">
        <v>659</v>
      </c>
      <c r="G160" t="str">
        <f>PROPER(SalesData[[#This Row],[Product Name]])</f>
        <v>Compostable Plant Pots</v>
      </c>
      <c r="H160" t="s">
        <v>1011</v>
      </c>
      <c r="I160" t="str">
        <f>UPPER(SalesData[[#This Row],[Product Category]])</f>
        <v>GARDENING</v>
      </c>
      <c r="J160">
        <v>2</v>
      </c>
      <c r="K160">
        <v>12</v>
      </c>
      <c r="L160" s="15">
        <f>IF(SalesData[[#This Row],[Unit Price]]="",
    AVERAGEIFS(SalesData[Unit Price],
               SalesData[Product Name],SalesData[[#This Row],[Product Name]]),
    SalesData[[#This Row],[Unit Price]])</f>
        <v>12</v>
      </c>
      <c r="M160" s="15">
        <v>2.78</v>
      </c>
      <c r="N160" s="15">
        <f>SalesData[[#This Row],[Quantity Sold]] * SalesData[[#This Row],[Cleaned Unit Price]]</f>
        <v>24</v>
      </c>
      <c r="O160" s="15">
        <f>SalesData[[#This Row],[Quantity Sold]] * SalesData[[#This Row],[Unit Cost]]</f>
        <v>5.56</v>
      </c>
      <c r="P160" s="15">
        <f>SalesData[[#This Row],[Revenue]] - SalesData[[#This Row],[Cost]]</f>
        <v>18.440000000000001</v>
      </c>
      <c r="Q160" s="13">
        <f>IF(SalesData[[#This Row],[Revenue]]=0,0,SalesData[[#This Row],[Profit]]/SalesData[[#This Row],[Revenue]])</f>
        <v>0.76833333333333342</v>
      </c>
      <c r="R160" t="s">
        <v>1068</v>
      </c>
      <c r="S160" t="s">
        <v>1267</v>
      </c>
      <c r="T160" t="str">
        <f>PROPER(SalesData[[#This Row],[Customer Name]])</f>
        <v>Evelyn Martinez</v>
      </c>
      <c r="U160" t="s">
        <v>1414</v>
      </c>
      <c r="V160" t="s">
        <v>1418</v>
      </c>
    </row>
    <row r="161" spans="1:22" x14ac:dyDescent="0.25">
      <c r="A161" t="s">
        <v>1587</v>
      </c>
      <c r="B161" s="5">
        <v>45345</v>
      </c>
      <c r="C161" s="2" t="str">
        <f>TEXT(SalesData[[#This Row],[Order Date]],"mmm")</f>
        <v>Feb</v>
      </c>
      <c r="D161" s="7">
        <f>MONTH(SalesData[[#This Row],[Order Date]])</f>
        <v>2</v>
      </c>
      <c r="E161" s="7">
        <f>YEAR(SalesData[[#This Row],[Order Date]])</f>
        <v>2024</v>
      </c>
      <c r="F161" t="s">
        <v>876</v>
      </c>
      <c r="G161" t="str">
        <f>PROPER(SalesData[[#This Row],[Product Name]])</f>
        <v>Solar Led Lantern</v>
      </c>
      <c r="H161" t="s">
        <v>1012</v>
      </c>
      <c r="I161" t="str">
        <f>UPPER(SalesData[[#This Row],[Product Category]])</f>
        <v>LIGHTING</v>
      </c>
      <c r="J161">
        <v>10</v>
      </c>
      <c r="K161">
        <v>40</v>
      </c>
      <c r="L161" s="15">
        <f>IF(SalesData[[#This Row],[Unit Price]]="",
    AVERAGEIFS(SalesData[Unit Price],
               SalesData[Product Name],SalesData[[#This Row],[Product Name]]),
    SalesData[[#This Row],[Unit Price]])</f>
        <v>40</v>
      </c>
      <c r="M161" s="15">
        <v>9.31</v>
      </c>
      <c r="N161" s="15">
        <f>SalesData[[#This Row],[Quantity Sold]] * SalesData[[#This Row],[Cleaned Unit Price]]</f>
        <v>400</v>
      </c>
      <c r="O161" s="15">
        <f>SalesData[[#This Row],[Quantity Sold]] * SalesData[[#This Row],[Unit Cost]]</f>
        <v>93.100000000000009</v>
      </c>
      <c r="P161" s="15">
        <f>SalesData[[#This Row],[Revenue]] - SalesData[[#This Row],[Cost]]</f>
        <v>306.89999999999998</v>
      </c>
      <c r="Q161" s="13">
        <f>IF(SalesData[[#This Row],[Revenue]]=0,0,SalesData[[#This Row],[Profit]]/SalesData[[#This Row],[Revenue]])</f>
        <v>0.76724999999999999</v>
      </c>
      <c r="R161" t="s">
        <v>1052</v>
      </c>
      <c r="S161" t="s">
        <v>1251</v>
      </c>
      <c r="T161" t="str">
        <f>PROPER(SalesData[[#This Row],[Customer Name]])</f>
        <v>Charlotte Davis</v>
      </c>
      <c r="U161" t="s">
        <v>1414</v>
      </c>
      <c r="V161" t="s">
        <v>1423</v>
      </c>
    </row>
    <row r="162" spans="1:22" x14ac:dyDescent="0.25">
      <c r="A162" t="s">
        <v>1588</v>
      </c>
      <c r="B162" s="5">
        <v>45346</v>
      </c>
      <c r="C162" s="2" t="str">
        <f>TEXT(SalesData[[#This Row],[Order Date]],"mmm")</f>
        <v>Feb</v>
      </c>
      <c r="D162" s="7">
        <f>MONTH(SalesData[[#This Row],[Order Date]])</f>
        <v>2</v>
      </c>
      <c r="E162" s="7">
        <f>YEAR(SalesData[[#This Row],[Order Date]])</f>
        <v>2024</v>
      </c>
      <c r="F162" t="s">
        <v>596</v>
      </c>
      <c r="G162" t="str">
        <f>PROPER(SalesData[[#This Row],[Product Name]])</f>
        <v>Reusable Bamboo Utensil Set</v>
      </c>
      <c r="H162" t="s">
        <v>1014</v>
      </c>
      <c r="I162" t="str">
        <f>UPPER(SalesData[[#This Row],[Product Category]])</f>
        <v>KITCHENWARE</v>
      </c>
      <c r="J162">
        <v>1</v>
      </c>
      <c r="K162">
        <v>15</v>
      </c>
      <c r="L162" s="15">
        <f>IF(SalesData[[#This Row],[Unit Price]]="",
    AVERAGEIFS(SalesData[Unit Price],
               SalesData[Product Name],SalesData[[#This Row],[Product Name]]),
    SalesData[[#This Row],[Unit Price]])</f>
        <v>15</v>
      </c>
      <c r="M162" s="15">
        <v>4.33</v>
      </c>
      <c r="N162" s="15">
        <f>SalesData[[#This Row],[Quantity Sold]] * SalesData[[#This Row],[Cleaned Unit Price]]</f>
        <v>15</v>
      </c>
      <c r="O162" s="15">
        <f>SalesData[[#This Row],[Quantity Sold]] * SalesData[[#This Row],[Unit Cost]]</f>
        <v>4.33</v>
      </c>
      <c r="P162" s="15">
        <f>SalesData[[#This Row],[Revenue]] - SalesData[[#This Row],[Cost]]</f>
        <v>10.67</v>
      </c>
      <c r="Q162" s="13">
        <f>IF(SalesData[[#This Row],[Revenue]]=0,0,SalesData[[#This Row],[Profit]]/SalesData[[#This Row],[Revenue]])</f>
        <v>0.71133333333333337</v>
      </c>
      <c r="R162" t="s">
        <v>1108</v>
      </c>
      <c r="S162" t="s">
        <v>1307</v>
      </c>
      <c r="T162" t="str">
        <f>PROPER(SalesData[[#This Row],[Customer Name]])</f>
        <v>Aiden Rodriguez</v>
      </c>
      <c r="U162" t="s">
        <v>1414</v>
      </c>
      <c r="V162" t="s">
        <v>1422</v>
      </c>
    </row>
    <row r="163" spans="1:22" x14ac:dyDescent="0.25">
      <c r="A163" t="s">
        <v>1589</v>
      </c>
      <c r="B163" s="5">
        <v>45346</v>
      </c>
      <c r="C163" s="2" t="str">
        <f>TEXT(SalesData[[#This Row],[Order Date]],"mmm")</f>
        <v>Feb</v>
      </c>
      <c r="D163" s="7">
        <f>MONTH(SalesData[[#This Row],[Order Date]])</f>
        <v>2</v>
      </c>
      <c r="E163" s="7">
        <f>YEAR(SalesData[[#This Row],[Order Date]])</f>
        <v>2024</v>
      </c>
      <c r="F163" t="s">
        <v>598</v>
      </c>
      <c r="G163" t="str">
        <f>PROPER(SalesData[[#This Row],[Product Name]])</f>
        <v>Solar Led Lantern</v>
      </c>
      <c r="H163" t="s">
        <v>1012</v>
      </c>
      <c r="I163" t="str">
        <f>UPPER(SalesData[[#This Row],[Product Category]])</f>
        <v>LIGHTING</v>
      </c>
      <c r="J163">
        <v>10</v>
      </c>
      <c r="K163">
        <v>40</v>
      </c>
      <c r="L163" s="15">
        <f>IF(SalesData[[#This Row],[Unit Price]]="",
    AVERAGEIFS(SalesData[Unit Price],
               SalesData[Product Name],SalesData[[#This Row],[Product Name]]),
    SalesData[[#This Row],[Unit Price]])</f>
        <v>40</v>
      </c>
      <c r="M163" s="15">
        <v>9.86</v>
      </c>
      <c r="N163" s="15">
        <f>SalesData[[#This Row],[Quantity Sold]] * SalesData[[#This Row],[Cleaned Unit Price]]</f>
        <v>400</v>
      </c>
      <c r="O163" s="15">
        <f>SalesData[[#This Row],[Quantity Sold]] * SalesData[[#This Row],[Unit Cost]]</f>
        <v>98.6</v>
      </c>
      <c r="P163" s="15">
        <f>SalesData[[#This Row],[Revenue]] - SalesData[[#This Row],[Cost]]</f>
        <v>301.39999999999998</v>
      </c>
      <c r="Q163" s="13">
        <f>IF(SalesData[[#This Row],[Revenue]]=0,0,SalesData[[#This Row],[Profit]]/SalesData[[#This Row],[Revenue]])</f>
        <v>0.75349999999999995</v>
      </c>
      <c r="R163" t="s">
        <v>1068</v>
      </c>
      <c r="S163" t="s">
        <v>1267</v>
      </c>
      <c r="T163" t="str">
        <f>PROPER(SalesData[[#This Row],[Customer Name]])</f>
        <v>Evelyn Martinez</v>
      </c>
      <c r="U163" t="s">
        <v>1416</v>
      </c>
      <c r="V163" t="s">
        <v>1427</v>
      </c>
    </row>
    <row r="164" spans="1:22" x14ac:dyDescent="0.25">
      <c r="A164" t="s">
        <v>1590</v>
      </c>
      <c r="B164" s="5">
        <v>45346</v>
      </c>
      <c r="C164" s="2" t="str">
        <f>TEXT(SalesData[[#This Row],[Order Date]],"mmm")</f>
        <v>Feb</v>
      </c>
      <c r="D164" s="7">
        <f>MONTH(SalesData[[#This Row],[Order Date]])</f>
        <v>2</v>
      </c>
      <c r="E164" s="7">
        <f>YEAR(SalesData[[#This Row],[Order Date]])</f>
        <v>2024</v>
      </c>
      <c r="F164" t="s">
        <v>709</v>
      </c>
      <c r="G164" t="str">
        <f>PROPER(SalesData[[#This Row],[Product Name]])</f>
        <v>Compostable Plant Pots</v>
      </c>
      <c r="H164" t="s">
        <v>1011</v>
      </c>
      <c r="I164" t="str">
        <f>UPPER(SalesData[[#This Row],[Product Category]])</f>
        <v>GARDENING</v>
      </c>
      <c r="J164">
        <v>8</v>
      </c>
      <c r="K164">
        <v>12</v>
      </c>
      <c r="L164" s="15">
        <f>IF(SalesData[[#This Row],[Unit Price]]="",
    AVERAGEIFS(SalesData[Unit Price],
               SalesData[Product Name],SalesData[[#This Row],[Product Name]]),
    SalesData[[#This Row],[Unit Price]])</f>
        <v>12</v>
      </c>
      <c r="M164" s="15">
        <v>4.18</v>
      </c>
      <c r="N164" s="15">
        <f>SalesData[[#This Row],[Quantity Sold]] * SalesData[[#This Row],[Cleaned Unit Price]]</f>
        <v>96</v>
      </c>
      <c r="O164" s="15">
        <f>SalesData[[#This Row],[Quantity Sold]] * SalesData[[#This Row],[Unit Cost]]</f>
        <v>33.44</v>
      </c>
      <c r="P164" s="15">
        <f>SalesData[[#This Row],[Revenue]] - SalesData[[#This Row],[Cost]]</f>
        <v>62.56</v>
      </c>
      <c r="Q164" s="13">
        <f>IF(SalesData[[#This Row],[Revenue]]=0,0,SalesData[[#This Row],[Profit]]/SalesData[[#This Row],[Revenue]])</f>
        <v>0.65166666666666673</v>
      </c>
      <c r="R164" t="s">
        <v>1119</v>
      </c>
      <c r="S164" t="s">
        <v>1318</v>
      </c>
      <c r="T164" t="str">
        <f>PROPER(SalesData[[#This Row],[Customer Name]])</f>
        <v>Aiden Williams</v>
      </c>
      <c r="U164" t="s">
        <v>1417</v>
      </c>
      <c r="V164" t="s">
        <v>1425</v>
      </c>
    </row>
    <row r="165" spans="1:22" x14ac:dyDescent="0.25">
      <c r="A165" t="s">
        <v>1591</v>
      </c>
      <c r="B165" s="5">
        <v>45347</v>
      </c>
      <c r="C165" s="2" t="str">
        <f>TEXT(SalesData[[#This Row],[Order Date]],"mmm")</f>
        <v>Feb</v>
      </c>
      <c r="D165" s="7">
        <f>MONTH(SalesData[[#This Row],[Order Date]])</f>
        <v>2</v>
      </c>
      <c r="E165" s="7">
        <f>YEAR(SalesData[[#This Row],[Order Date]])</f>
        <v>2024</v>
      </c>
      <c r="F165" t="s">
        <v>290</v>
      </c>
      <c r="G165" t="str">
        <f>PROPER(SalesData[[#This Row],[Product Name]])</f>
        <v>Solar Led Lantern</v>
      </c>
      <c r="H165" t="s">
        <v>1012</v>
      </c>
      <c r="I165" t="str">
        <f>UPPER(SalesData[[#This Row],[Product Category]])</f>
        <v>LIGHTING</v>
      </c>
      <c r="J165">
        <v>7</v>
      </c>
      <c r="K165">
        <v>40</v>
      </c>
      <c r="L165" s="15">
        <f>IF(SalesData[[#This Row],[Unit Price]]="",
    AVERAGEIFS(SalesData[Unit Price],
               SalesData[Product Name],SalesData[[#This Row],[Product Name]]),
    SalesData[[#This Row],[Unit Price]])</f>
        <v>40</v>
      </c>
      <c r="M165" s="15">
        <v>8.01</v>
      </c>
      <c r="N165" s="15">
        <f>SalesData[[#This Row],[Quantity Sold]] * SalesData[[#This Row],[Cleaned Unit Price]]</f>
        <v>280</v>
      </c>
      <c r="O165" s="15">
        <f>SalesData[[#This Row],[Quantity Sold]] * SalesData[[#This Row],[Unit Cost]]</f>
        <v>56.07</v>
      </c>
      <c r="P165" s="15">
        <f>SalesData[[#This Row],[Revenue]] - SalesData[[#This Row],[Cost]]</f>
        <v>223.93</v>
      </c>
      <c r="Q165" s="13">
        <f>IF(SalesData[[#This Row],[Revenue]]=0,0,SalesData[[#This Row],[Profit]]/SalesData[[#This Row],[Revenue]])</f>
        <v>0.79975000000000007</v>
      </c>
      <c r="R165" t="s">
        <v>1056</v>
      </c>
      <c r="S165" t="s">
        <v>1255</v>
      </c>
      <c r="T165" t="str">
        <f>PROPER(SalesData[[#This Row],[Customer Name]])</f>
        <v>Noah Martinez</v>
      </c>
      <c r="U165" t="s">
        <v>1416</v>
      </c>
      <c r="V165" t="s">
        <v>1424</v>
      </c>
    </row>
    <row r="166" spans="1:22" x14ac:dyDescent="0.25">
      <c r="A166" t="s">
        <v>1592</v>
      </c>
      <c r="B166" s="5">
        <v>45347</v>
      </c>
      <c r="C166" s="2" t="str">
        <f>TEXT(SalesData[[#This Row],[Order Date]],"mmm")</f>
        <v>Feb</v>
      </c>
      <c r="D166" s="7">
        <f>MONTH(SalesData[[#This Row],[Order Date]])</f>
        <v>2</v>
      </c>
      <c r="E166" s="7">
        <f>YEAR(SalesData[[#This Row],[Order Date]])</f>
        <v>2024</v>
      </c>
      <c r="F166" t="s">
        <v>396</v>
      </c>
      <c r="G166" t="str">
        <f>PROPER(SalesData[[#This Row],[Product Name]])</f>
        <v>Biodegradable Cleaning Cloth</v>
      </c>
      <c r="H166" t="s">
        <v>1015</v>
      </c>
      <c r="I166" t="str">
        <f>UPPER(SalesData[[#This Row],[Product Category]])</f>
        <v>CLEANING</v>
      </c>
      <c r="J166">
        <v>8</v>
      </c>
      <c r="K166">
        <v>10</v>
      </c>
      <c r="L166" s="15">
        <f>IF(SalesData[[#This Row],[Unit Price]]="",
    AVERAGEIFS(SalesData[Unit Price],
               SalesData[Product Name],SalesData[[#This Row],[Product Name]]),
    SalesData[[#This Row],[Unit Price]])</f>
        <v>10</v>
      </c>
      <c r="M166" s="15">
        <v>2.31</v>
      </c>
      <c r="N166" s="15">
        <f>SalesData[[#This Row],[Quantity Sold]] * SalesData[[#This Row],[Cleaned Unit Price]]</f>
        <v>80</v>
      </c>
      <c r="O166" s="15">
        <f>SalesData[[#This Row],[Quantity Sold]] * SalesData[[#This Row],[Unit Cost]]</f>
        <v>18.48</v>
      </c>
      <c r="P166" s="15">
        <f>SalesData[[#This Row],[Revenue]] - SalesData[[#This Row],[Cost]]</f>
        <v>61.519999999999996</v>
      </c>
      <c r="Q166" s="13">
        <f>IF(SalesData[[#This Row],[Revenue]]=0,0,SalesData[[#This Row],[Profit]]/SalesData[[#This Row],[Revenue]])</f>
        <v>0.76899999999999991</v>
      </c>
      <c r="R166" t="s">
        <v>1132</v>
      </c>
      <c r="S166" t="s">
        <v>1331</v>
      </c>
      <c r="T166" t="str">
        <f>PROPER(SalesData[[#This Row],[Customer Name]])</f>
        <v>Isabella Rodriguez</v>
      </c>
      <c r="U166" t="s">
        <v>1415</v>
      </c>
      <c r="V166" t="s">
        <v>1423</v>
      </c>
    </row>
    <row r="167" spans="1:22" x14ac:dyDescent="0.25">
      <c r="A167" t="s">
        <v>1593</v>
      </c>
      <c r="B167" s="5">
        <v>45347</v>
      </c>
      <c r="C167" s="2" t="str">
        <f>TEXT(SalesData[[#This Row],[Order Date]],"mmm")</f>
        <v>Feb</v>
      </c>
      <c r="D167" s="7">
        <f>MONTH(SalesData[[#This Row],[Order Date]])</f>
        <v>2</v>
      </c>
      <c r="E167" s="7">
        <f>YEAR(SalesData[[#This Row],[Order Date]])</f>
        <v>2024</v>
      </c>
      <c r="F167" t="s">
        <v>416</v>
      </c>
      <c r="G167" t="str">
        <f>PROPER(SalesData[[#This Row],[Product Name]])</f>
        <v>Reusable Bamboo Utensil Set</v>
      </c>
      <c r="H167" t="s">
        <v>1014</v>
      </c>
      <c r="I167" t="str">
        <f>UPPER(SalesData[[#This Row],[Product Category]])</f>
        <v>KITCHENWARE</v>
      </c>
      <c r="J167">
        <v>9</v>
      </c>
      <c r="K167">
        <v>15</v>
      </c>
      <c r="L167" s="15">
        <f>IF(SalesData[[#This Row],[Unit Price]]="",
    AVERAGEIFS(SalesData[Unit Price],
               SalesData[Product Name],SalesData[[#This Row],[Product Name]]),
    SalesData[[#This Row],[Unit Price]])</f>
        <v>15</v>
      </c>
      <c r="M167" s="15">
        <v>3.27</v>
      </c>
      <c r="N167" s="15">
        <f>SalesData[[#This Row],[Quantity Sold]] * SalesData[[#This Row],[Cleaned Unit Price]]</f>
        <v>135</v>
      </c>
      <c r="O167" s="15">
        <f>SalesData[[#This Row],[Quantity Sold]] * SalesData[[#This Row],[Unit Cost]]</f>
        <v>29.43</v>
      </c>
      <c r="P167" s="15">
        <f>SalesData[[#This Row],[Revenue]] - SalesData[[#This Row],[Cost]]</f>
        <v>105.57</v>
      </c>
      <c r="Q167" s="13">
        <f>IF(SalesData[[#This Row],[Revenue]]=0,0,SalesData[[#This Row],[Profit]]/SalesData[[#This Row],[Revenue]])</f>
        <v>0.78199999999999992</v>
      </c>
      <c r="R167" t="s">
        <v>1159</v>
      </c>
      <c r="S167" t="s">
        <v>1358</v>
      </c>
      <c r="T167" t="str">
        <f>PROPER(SalesData[[#This Row],[Customer Name]])</f>
        <v>Sophia Rodriguez</v>
      </c>
      <c r="U167" t="s">
        <v>1416</v>
      </c>
      <c r="V167" t="s">
        <v>1424</v>
      </c>
    </row>
    <row r="168" spans="1:22" x14ac:dyDescent="0.25">
      <c r="A168" t="s">
        <v>1594</v>
      </c>
      <c r="B168" s="5">
        <v>45347</v>
      </c>
      <c r="C168" s="2" t="str">
        <f>TEXT(SalesData[[#This Row],[Order Date]],"mmm")</f>
        <v>Feb</v>
      </c>
      <c r="D168" s="7">
        <f>MONTH(SalesData[[#This Row],[Order Date]])</f>
        <v>2</v>
      </c>
      <c r="E168" s="7">
        <f>YEAR(SalesData[[#This Row],[Order Date]])</f>
        <v>2024</v>
      </c>
      <c r="F168" t="s">
        <v>436</v>
      </c>
      <c r="G168" t="str">
        <f>PROPER(SalesData[[#This Row],[Product Name]])</f>
        <v>Solar Led Lantern</v>
      </c>
      <c r="H168" t="s">
        <v>1012</v>
      </c>
      <c r="I168" t="str">
        <f>UPPER(SalesData[[#This Row],[Product Category]])</f>
        <v>LIGHTING</v>
      </c>
      <c r="J168">
        <v>8</v>
      </c>
      <c r="K168">
        <v>40</v>
      </c>
      <c r="L168" s="15">
        <f>IF(SalesData[[#This Row],[Unit Price]]="",
    AVERAGEIFS(SalesData[Unit Price],
               SalesData[Product Name],SalesData[[#This Row],[Product Name]]),
    SalesData[[#This Row],[Unit Price]])</f>
        <v>40</v>
      </c>
      <c r="M168" s="15">
        <v>15.81</v>
      </c>
      <c r="N168" s="15">
        <f>SalesData[[#This Row],[Quantity Sold]] * SalesData[[#This Row],[Cleaned Unit Price]]</f>
        <v>320</v>
      </c>
      <c r="O168" s="15">
        <f>SalesData[[#This Row],[Quantity Sold]] * SalesData[[#This Row],[Unit Cost]]</f>
        <v>126.48</v>
      </c>
      <c r="P168" s="15">
        <f>SalesData[[#This Row],[Revenue]] - SalesData[[#This Row],[Cost]]</f>
        <v>193.51999999999998</v>
      </c>
      <c r="Q168" s="13">
        <f>IF(SalesData[[#This Row],[Revenue]]=0,0,SalesData[[#This Row],[Profit]]/SalesData[[#This Row],[Revenue]])</f>
        <v>0.6047499999999999</v>
      </c>
      <c r="R168" t="s">
        <v>1162</v>
      </c>
      <c r="S168" t="s">
        <v>1361</v>
      </c>
      <c r="T168" t="str">
        <f>PROPER(SalesData[[#This Row],[Customer Name]])</f>
        <v>Olivia Garcia</v>
      </c>
      <c r="U168" t="s">
        <v>1416</v>
      </c>
      <c r="V168" t="s">
        <v>1419</v>
      </c>
    </row>
    <row r="169" spans="1:22" x14ac:dyDescent="0.25">
      <c r="A169" t="s">
        <v>1595</v>
      </c>
      <c r="B169" s="5">
        <v>45348</v>
      </c>
      <c r="C169" s="2" t="str">
        <f>TEXT(SalesData[[#This Row],[Order Date]],"mmm")</f>
        <v>Feb</v>
      </c>
      <c r="D169" s="7">
        <f>MONTH(SalesData[[#This Row],[Order Date]])</f>
        <v>2</v>
      </c>
      <c r="E169" s="7">
        <f>YEAR(SalesData[[#This Row],[Order Date]])</f>
        <v>2024</v>
      </c>
      <c r="F169" t="s">
        <v>108</v>
      </c>
      <c r="G169" t="str">
        <f>PROPER(SalesData[[#This Row],[Product Name]])</f>
        <v>Solar Led Lantern</v>
      </c>
      <c r="H169" t="s">
        <v>1012</v>
      </c>
      <c r="I169" t="str">
        <f>UPPER(SalesData[[#This Row],[Product Category]])</f>
        <v>LIGHTING</v>
      </c>
      <c r="J169">
        <v>7</v>
      </c>
      <c r="K169">
        <v>40</v>
      </c>
      <c r="L169" s="15">
        <f>IF(SalesData[[#This Row],[Unit Price]]="",
    AVERAGEIFS(SalesData[Unit Price],
               SalesData[Product Name],SalesData[[#This Row],[Product Name]]),
    SalesData[[#This Row],[Unit Price]])</f>
        <v>40</v>
      </c>
      <c r="M169" s="15">
        <v>9.9700000000000006</v>
      </c>
      <c r="N169" s="15">
        <f>SalesData[[#This Row],[Quantity Sold]] * SalesData[[#This Row],[Cleaned Unit Price]]</f>
        <v>280</v>
      </c>
      <c r="O169" s="15">
        <f>SalesData[[#This Row],[Quantity Sold]] * SalesData[[#This Row],[Unit Cost]]</f>
        <v>69.790000000000006</v>
      </c>
      <c r="P169" s="15">
        <f>SalesData[[#This Row],[Revenue]] - SalesData[[#This Row],[Cost]]</f>
        <v>210.20999999999998</v>
      </c>
      <c r="Q169" s="13">
        <f>IF(SalesData[[#This Row],[Revenue]]=0,0,SalesData[[#This Row],[Profit]]/SalesData[[#This Row],[Revenue]])</f>
        <v>0.75074999999999992</v>
      </c>
      <c r="R169" t="s">
        <v>1090</v>
      </c>
      <c r="S169" t="s">
        <v>1289</v>
      </c>
      <c r="T169" t="str">
        <f>PROPER(SalesData[[#This Row],[Customer Name]])</f>
        <v>Ethan Jones</v>
      </c>
      <c r="U169" t="s">
        <v>1414</v>
      </c>
      <c r="V169" t="s">
        <v>1419</v>
      </c>
    </row>
    <row r="170" spans="1:22" x14ac:dyDescent="0.25">
      <c r="A170" t="s">
        <v>1596</v>
      </c>
      <c r="B170" s="5">
        <v>45348</v>
      </c>
      <c r="C170" s="2" t="str">
        <f>TEXT(SalesData[[#This Row],[Order Date]],"mmm")</f>
        <v>Feb</v>
      </c>
      <c r="D170" s="7">
        <f>MONTH(SalesData[[#This Row],[Order Date]])</f>
        <v>2</v>
      </c>
      <c r="E170" s="7">
        <f>YEAR(SalesData[[#This Row],[Order Date]])</f>
        <v>2024</v>
      </c>
      <c r="F170" t="s">
        <v>204</v>
      </c>
      <c r="G170" t="str">
        <f>PROPER(SalesData[[#This Row],[Product Name]])</f>
        <v>Eco Canvas Tote Bag</v>
      </c>
      <c r="H170" t="s">
        <v>1013</v>
      </c>
      <c r="I170" t="str">
        <f>UPPER(SalesData[[#This Row],[Product Category]])</f>
        <v>BAGS</v>
      </c>
      <c r="J170">
        <v>3</v>
      </c>
      <c r="K170">
        <v>25</v>
      </c>
      <c r="L170" s="15">
        <f>IF(SalesData[[#This Row],[Unit Price]]="",
    AVERAGEIFS(SalesData[Unit Price],
               SalesData[Product Name],SalesData[[#This Row],[Product Name]]),
    SalesData[[#This Row],[Unit Price]])</f>
        <v>25</v>
      </c>
      <c r="M170" s="15">
        <v>5.54</v>
      </c>
      <c r="N170" s="15">
        <f>SalesData[[#This Row],[Quantity Sold]] * SalesData[[#This Row],[Cleaned Unit Price]]</f>
        <v>75</v>
      </c>
      <c r="O170" s="15">
        <f>SalesData[[#This Row],[Quantity Sold]] * SalesData[[#This Row],[Unit Cost]]</f>
        <v>16.62</v>
      </c>
      <c r="P170" s="15">
        <f>SalesData[[#This Row],[Revenue]] - SalesData[[#This Row],[Cost]]</f>
        <v>58.379999999999995</v>
      </c>
      <c r="Q170" s="13">
        <f>IF(SalesData[[#This Row],[Revenue]]=0,0,SalesData[[#This Row],[Profit]]/SalesData[[#This Row],[Revenue]])</f>
        <v>0.77839999999999998</v>
      </c>
      <c r="R170" t="s">
        <v>1140</v>
      </c>
      <c r="S170" t="s">
        <v>1339</v>
      </c>
      <c r="T170" t="str">
        <f>PROPER(SalesData[[#This Row],[Customer Name]])</f>
        <v>Oliver Smith</v>
      </c>
      <c r="U170" t="s">
        <v>1416</v>
      </c>
      <c r="V170" t="s">
        <v>1421</v>
      </c>
    </row>
    <row r="171" spans="1:22" x14ac:dyDescent="0.25">
      <c r="A171" t="s">
        <v>1597</v>
      </c>
      <c r="B171" s="5">
        <v>45348</v>
      </c>
      <c r="C171" s="2" t="str">
        <f>TEXT(SalesData[[#This Row],[Order Date]],"mmm")</f>
        <v>Feb</v>
      </c>
      <c r="D171" s="7">
        <f>MONTH(SalesData[[#This Row],[Order Date]])</f>
        <v>2</v>
      </c>
      <c r="E171" s="7">
        <f>YEAR(SalesData[[#This Row],[Order Date]])</f>
        <v>2024</v>
      </c>
      <c r="F171" t="s">
        <v>701</v>
      </c>
      <c r="G171" t="str">
        <f>PROPER(SalesData[[#This Row],[Product Name]])</f>
        <v>Reusable Bamboo Utensil Set</v>
      </c>
      <c r="H171" t="s">
        <v>1014</v>
      </c>
      <c r="I171" t="str">
        <f>UPPER(SalesData[[#This Row],[Product Category]])</f>
        <v>KITCHENWARE</v>
      </c>
      <c r="J171">
        <v>6</v>
      </c>
      <c r="K171">
        <v>15</v>
      </c>
      <c r="L171" s="15">
        <f>IF(SalesData[[#This Row],[Unit Price]]="",
    AVERAGEIFS(SalesData[Unit Price],
               SalesData[Product Name],SalesData[[#This Row],[Product Name]]),
    SalesData[[#This Row],[Unit Price]])</f>
        <v>15</v>
      </c>
      <c r="M171" s="15">
        <v>3.31</v>
      </c>
      <c r="N171" s="15">
        <f>SalesData[[#This Row],[Quantity Sold]] * SalesData[[#This Row],[Cleaned Unit Price]]</f>
        <v>90</v>
      </c>
      <c r="O171" s="15">
        <f>SalesData[[#This Row],[Quantity Sold]] * SalesData[[#This Row],[Unit Cost]]</f>
        <v>19.86</v>
      </c>
      <c r="P171" s="15">
        <f>SalesData[[#This Row],[Revenue]] - SalesData[[#This Row],[Cost]]</f>
        <v>70.14</v>
      </c>
      <c r="Q171" s="13">
        <f>IF(SalesData[[#This Row],[Revenue]]=0,0,SalesData[[#This Row],[Profit]]/SalesData[[#This Row],[Revenue]])</f>
        <v>0.77933333333333332</v>
      </c>
      <c r="R171" t="s">
        <v>1052</v>
      </c>
      <c r="S171" t="s">
        <v>1251</v>
      </c>
      <c r="T171" t="str">
        <f>PROPER(SalesData[[#This Row],[Customer Name]])</f>
        <v>Charlotte Davis</v>
      </c>
      <c r="U171" t="s">
        <v>1417</v>
      </c>
      <c r="V171" t="s">
        <v>1421</v>
      </c>
    </row>
    <row r="172" spans="1:22" x14ac:dyDescent="0.25">
      <c r="A172" t="s">
        <v>1598</v>
      </c>
      <c r="B172" s="5">
        <v>45348</v>
      </c>
      <c r="C172" s="2" t="str">
        <f>TEXT(SalesData[[#This Row],[Order Date]],"mmm")</f>
        <v>Feb</v>
      </c>
      <c r="D172" s="7">
        <f>MONTH(SalesData[[#This Row],[Order Date]])</f>
        <v>2</v>
      </c>
      <c r="E172" s="7">
        <f>YEAR(SalesData[[#This Row],[Order Date]])</f>
        <v>2024</v>
      </c>
      <c r="F172" t="s">
        <v>759</v>
      </c>
      <c r="G172" t="str">
        <f>PROPER(SalesData[[#This Row],[Product Name]])</f>
        <v>Biodegradable Cleaning Cloth</v>
      </c>
      <c r="H172" t="s">
        <v>1015</v>
      </c>
      <c r="I172" t="str">
        <f>UPPER(SalesData[[#This Row],[Product Category]])</f>
        <v>CLEANING</v>
      </c>
      <c r="J172">
        <v>10</v>
      </c>
      <c r="K172">
        <v>10</v>
      </c>
      <c r="L172" s="15">
        <f>IF(SalesData[[#This Row],[Unit Price]]="",
    AVERAGEIFS(SalesData[Unit Price],
               SalesData[Product Name],SalesData[[#This Row],[Product Name]]),
    SalesData[[#This Row],[Unit Price]])</f>
        <v>10</v>
      </c>
      <c r="M172" s="15">
        <v>2.98</v>
      </c>
      <c r="N172" s="15">
        <f>SalesData[[#This Row],[Quantity Sold]] * SalesData[[#This Row],[Cleaned Unit Price]]</f>
        <v>100</v>
      </c>
      <c r="O172" s="15">
        <f>SalesData[[#This Row],[Quantity Sold]] * SalesData[[#This Row],[Unit Cost]]</f>
        <v>29.8</v>
      </c>
      <c r="P172" s="15">
        <f>SalesData[[#This Row],[Revenue]] - SalesData[[#This Row],[Cost]]</f>
        <v>70.2</v>
      </c>
      <c r="Q172" s="13">
        <f>IF(SalesData[[#This Row],[Revenue]]=0,0,SalesData[[#This Row],[Profit]]/SalesData[[#This Row],[Revenue]])</f>
        <v>0.70200000000000007</v>
      </c>
      <c r="R172" t="s">
        <v>1019</v>
      </c>
      <c r="S172" t="s">
        <v>1218</v>
      </c>
      <c r="T172" t="str">
        <f>PROPER(SalesData[[#This Row],[Customer Name]])</f>
        <v>Liam Jones</v>
      </c>
      <c r="U172" t="s">
        <v>1414</v>
      </c>
      <c r="V172" t="s">
        <v>1423</v>
      </c>
    </row>
    <row r="173" spans="1:22" x14ac:dyDescent="0.25">
      <c r="A173" t="s">
        <v>1599</v>
      </c>
      <c r="B173" s="5">
        <v>45349</v>
      </c>
      <c r="C173" s="2" t="str">
        <f>TEXT(SalesData[[#This Row],[Order Date]],"mmm")</f>
        <v>Feb</v>
      </c>
      <c r="D173" s="7">
        <f>MONTH(SalesData[[#This Row],[Order Date]])</f>
        <v>2</v>
      </c>
      <c r="E173" s="7">
        <f>YEAR(SalesData[[#This Row],[Order Date]])</f>
        <v>2024</v>
      </c>
      <c r="F173" t="s">
        <v>294</v>
      </c>
      <c r="G173" t="str">
        <f>PROPER(SalesData[[#This Row],[Product Name]])</f>
        <v>Eco Canvas Tote Bag</v>
      </c>
      <c r="H173" t="s">
        <v>1013</v>
      </c>
      <c r="I173" t="str">
        <f>UPPER(SalesData[[#This Row],[Product Category]])</f>
        <v>BAGS</v>
      </c>
      <c r="J173">
        <v>10</v>
      </c>
      <c r="K173">
        <v>25</v>
      </c>
      <c r="L173" s="15">
        <f>IF(SalesData[[#This Row],[Unit Price]]="",
    AVERAGEIFS(SalesData[Unit Price],
               SalesData[Product Name],SalesData[[#This Row],[Product Name]]),
    SalesData[[#This Row],[Unit Price]])</f>
        <v>25</v>
      </c>
      <c r="M173" s="15">
        <v>6.26</v>
      </c>
      <c r="N173" s="15">
        <f>SalesData[[#This Row],[Quantity Sold]] * SalesData[[#This Row],[Cleaned Unit Price]]</f>
        <v>250</v>
      </c>
      <c r="O173" s="15">
        <f>SalesData[[#This Row],[Quantity Sold]] * SalesData[[#This Row],[Unit Cost]]</f>
        <v>62.599999999999994</v>
      </c>
      <c r="P173" s="15">
        <f>SalesData[[#This Row],[Revenue]] - SalesData[[#This Row],[Cost]]</f>
        <v>187.4</v>
      </c>
      <c r="Q173" s="13">
        <f>IF(SalesData[[#This Row],[Revenue]]=0,0,SalesData[[#This Row],[Profit]]/SalesData[[#This Row],[Revenue]])</f>
        <v>0.74960000000000004</v>
      </c>
      <c r="R173" t="s">
        <v>1160</v>
      </c>
      <c r="S173" t="s">
        <v>1359</v>
      </c>
      <c r="T173" t="str">
        <f>PROPER(SalesData[[#This Row],[Customer Name]])</f>
        <v>Emma Davis</v>
      </c>
      <c r="U173" t="s">
        <v>1414</v>
      </c>
      <c r="V173" t="s">
        <v>1427</v>
      </c>
    </row>
    <row r="174" spans="1:22" x14ac:dyDescent="0.25">
      <c r="A174" t="s">
        <v>1600</v>
      </c>
      <c r="B174" s="5">
        <v>45349</v>
      </c>
      <c r="C174" s="2" t="str">
        <f>TEXT(SalesData[[#This Row],[Order Date]],"mmm")</f>
        <v>Feb</v>
      </c>
      <c r="D174" s="7">
        <f>MONTH(SalesData[[#This Row],[Order Date]])</f>
        <v>2</v>
      </c>
      <c r="E174" s="7">
        <f>YEAR(SalesData[[#This Row],[Order Date]])</f>
        <v>2024</v>
      </c>
      <c r="F174" t="s">
        <v>317</v>
      </c>
      <c r="G174" t="str">
        <f>PROPER(SalesData[[#This Row],[Product Name]])</f>
        <v>Solar Led Lantern</v>
      </c>
      <c r="H174" t="s">
        <v>1012</v>
      </c>
      <c r="I174" t="str">
        <f>UPPER(SalesData[[#This Row],[Product Category]])</f>
        <v>LIGHTING</v>
      </c>
      <c r="J174">
        <v>5</v>
      </c>
      <c r="K174">
        <v>40</v>
      </c>
      <c r="L174" s="15">
        <f>IF(SalesData[[#This Row],[Unit Price]]="",
    AVERAGEIFS(SalesData[Unit Price],
               SalesData[Product Name],SalesData[[#This Row],[Product Name]]),
    SalesData[[#This Row],[Unit Price]])</f>
        <v>40</v>
      </c>
      <c r="M174" s="15">
        <v>15.18</v>
      </c>
      <c r="N174" s="15">
        <f>SalesData[[#This Row],[Quantity Sold]] * SalesData[[#This Row],[Cleaned Unit Price]]</f>
        <v>200</v>
      </c>
      <c r="O174" s="15">
        <f>SalesData[[#This Row],[Quantity Sold]] * SalesData[[#This Row],[Unit Cost]]</f>
        <v>75.900000000000006</v>
      </c>
      <c r="P174" s="15">
        <f>SalesData[[#This Row],[Revenue]] - SalesData[[#This Row],[Cost]]</f>
        <v>124.1</v>
      </c>
      <c r="Q174" s="13">
        <f>IF(SalesData[[#This Row],[Revenue]]=0,0,SalesData[[#This Row],[Profit]]/SalesData[[#This Row],[Revenue]])</f>
        <v>0.62049999999999994</v>
      </c>
      <c r="R174" t="s">
        <v>1035</v>
      </c>
      <c r="S174" t="s">
        <v>1234</v>
      </c>
      <c r="T174" t="str">
        <f>PROPER(SalesData[[#This Row],[Customer Name]])</f>
        <v>Olivia Martinez</v>
      </c>
      <c r="U174" t="s">
        <v>1416</v>
      </c>
      <c r="V174" t="s">
        <v>1419</v>
      </c>
    </row>
    <row r="175" spans="1:22" x14ac:dyDescent="0.25">
      <c r="A175" t="s">
        <v>1601</v>
      </c>
      <c r="B175" s="5">
        <v>45349</v>
      </c>
      <c r="C175" s="2" t="str">
        <f>TEXT(SalesData[[#This Row],[Order Date]],"mmm")</f>
        <v>Feb</v>
      </c>
      <c r="D175" s="7">
        <f>MONTH(SalesData[[#This Row],[Order Date]])</f>
        <v>2</v>
      </c>
      <c r="E175" s="7">
        <f>YEAR(SalesData[[#This Row],[Order Date]])</f>
        <v>2024</v>
      </c>
      <c r="F175" t="s">
        <v>553</v>
      </c>
      <c r="G175" t="str">
        <f>PROPER(SalesData[[#This Row],[Product Name]])</f>
        <v>Solar Led Lantern</v>
      </c>
      <c r="H175" t="s">
        <v>1012</v>
      </c>
      <c r="I175" t="str">
        <f>UPPER(SalesData[[#This Row],[Product Category]])</f>
        <v>LIGHTING</v>
      </c>
      <c r="J175">
        <v>1</v>
      </c>
      <c r="K175">
        <v>40</v>
      </c>
      <c r="L175" s="15">
        <f>IF(SalesData[[#This Row],[Unit Price]]="",
    AVERAGEIFS(SalesData[Unit Price],
               SalesData[Product Name],SalesData[[#This Row],[Product Name]]),
    SalesData[[#This Row],[Unit Price]])</f>
        <v>40</v>
      </c>
      <c r="M175" s="15">
        <v>9.3699999999999992</v>
      </c>
      <c r="N175" s="15">
        <f>SalesData[[#This Row],[Quantity Sold]] * SalesData[[#This Row],[Cleaned Unit Price]]</f>
        <v>40</v>
      </c>
      <c r="O175" s="15">
        <f>SalesData[[#This Row],[Quantity Sold]] * SalesData[[#This Row],[Unit Cost]]</f>
        <v>9.3699999999999992</v>
      </c>
      <c r="P175" s="15">
        <f>SalesData[[#This Row],[Revenue]] - SalesData[[#This Row],[Cost]]</f>
        <v>30.630000000000003</v>
      </c>
      <c r="Q175" s="13">
        <f>IF(SalesData[[#This Row],[Revenue]]=0,0,SalesData[[#This Row],[Profit]]/SalesData[[#This Row],[Revenue]])</f>
        <v>0.76575000000000004</v>
      </c>
      <c r="R175" t="s">
        <v>1128</v>
      </c>
      <c r="S175" t="s">
        <v>1327</v>
      </c>
      <c r="T175" t="str">
        <f>PROPER(SalesData[[#This Row],[Customer Name]])</f>
        <v>Ethan Williams</v>
      </c>
      <c r="U175" t="s">
        <v>1416</v>
      </c>
      <c r="V175" t="s">
        <v>1424</v>
      </c>
    </row>
    <row r="176" spans="1:22" x14ac:dyDescent="0.25">
      <c r="A176" t="s">
        <v>1602</v>
      </c>
      <c r="B176" s="5">
        <v>45349</v>
      </c>
      <c r="C176" s="2" t="str">
        <f>TEXT(SalesData[[#This Row],[Order Date]],"mmm")</f>
        <v>Feb</v>
      </c>
      <c r="D176" s="7">
        <f>MONTH(SalesData[[#This Row],[Order Date]])</f>
        <v>2</v>
      </c>
      <c r="E176" s="7">
        <f>YEAR(SalesData[[#This Row],[Order Date]])</f>
        <v>2024</v>
      </c>
      <c r="F176" t="s">
        <v>556</v>
      </c>
      <c r="G176" t="str">
        <f>PROPER(SalesData[[#This Row],[Product Name]])</f>
        <v>Eco Canvas Tote Bag</v>
      </c>
      <c r="H176" t="s">
        <v>1013</v>
      </c>
      <c r="I176" t="str">
        <f>UPPER(SalesData[[#This Row],[Product Category]])</f>
        <v>BAGS</v>
      </c>
      <c r="J176">
        <v>5</v>
      </c>
      <c r="K176">
        <v>25</v>
      </c>
      <c r="L176" s="15">
        <f>IF(SalesData[[#This Row],[Unit Price]]="",
    AVERAGEIFS(SalesData[Unit Price],
               SalesData[Product Name],SalesData[[#This Row],[Product Name]]),
    SalesData[[#This Row],[Unit Price]])</f>
        <v>25</v>
      </c>
      <c r="M176" s="15">
        <v>6.89</v>
      </c>
      <c r="N176" s="15">
        <f>SalesData[[#This Row],[Quantity Sold]] * SalesData[[#This Row],[Cleaned Unit Price]]</f>
        <v>125</v>
      </c>
      <c r="O176" s="15">
        <f>SalesData[[#This Row],[Quantity Sold]] * SalesData[[#This Row],[Unit Cost]]</f>
        <v>34.449999999999996</v>
      </c>
      <c r="P176" s="15">
        <f>SalesData[[#This Row],[Revenue]] - SalesData[[#This Row],[Cost]]</f>
        <v>90.550000000000011</v>
      </c>
      <c r="Q176" s="13">
        <f>IF(SalesData[[#This Row],[Revenue]]=0,0,SalesData[[#This Row],[Profit]]/SalesData[[#This Row],[Revenue]])</f>
        <v>0.72440000000000004</v>
      </c>
      <c r="R176" t="s">
        <v>1080</v>
      </c>
      <c r="S176" t="s">
        <v>1279</v>
      </c>
      <c r="T176" t="str">
        <f>PROPER(SalesData[[#This Row],[Customer Name]])</f>
        <v>Mason Johnson</v>
      </c>
      <c r="U176" t="s">
        <v>1416</v>
      </c>
      <c r="V176" t="s">
        <v>1421</v>
      </c>
    </row>
    <row r="177" spans="1:22" x14ac:dyDescent="0.25">
      <c r="A177" t="s">
        <v>1603</v>
      </c>
      <c r="B177" s="5">
        <v>45349</v>
      </c>
      <c r="C177" s="2" t="str">
        <f>TEXT(SalesData[[#This Row],[Order Date]],"mmm")</f>
        <v>Feb</v>
      </c>
      <c r="D177" s="7">
        <f>MONTH(SalesData[[#This Row],[Order Date]])</f>
        <v>2</v>
      </c>
      <c r="E177" s="7">
        <f>YEAR(SalesData[[#This Row],[Order Date]])</f>
        <v>2024</v>
      </c>
      <c r="F177" t="s">
        <v>607</v>
      </c>
      <c r="G177" t="str">
        <f>PROPER(SalesData[[#This Row],[Product Name]])</f>
        <v>Solar Led Lantern</v>
      </c>
      <c r="H177" t="s">
        <v>1012</v>
      </c>
      <c r="I177" t="str">
        <f>UPPER(SalesData[[#This Row],[Product Category]])</f>
        <v>LIGHTING</v>
      </c>
      <c r="J177">
        <v>10</v>
      </c>
      <c r="K177">
        <v>40</v>
      </c>
      <c r="L177" s="15">
        <f>IF(SalesData[[#This Row],[Unit Price]]="",
    AVERAGEIFS(SalesData[Unit Price],
               SalesData[Product Name],SalesData[[#This Row],[Product Name]]),
    SalesData[[#This Row],[Unit Price]])</f>
        <v>40</v>
      </c>
      <c r="M177" s="15">
        <v>11.7</v>
      </c>
      <c r="N177" s="15">
        <f>SalesData[[#This Row],[Quantity Sold]] * SalesData[[#This Row],[Cleaned Unit Price]]</f>
        <v>400</v>
      </c>
      <c r="O177" s="15">
        <f>SalesData[[#This Row],[Quantity Sold]] * SalesData[[#This Row],[Unit Cost]]</f>
        <v>117</v>
      </c>
      <c r="P177" s="15">
        <f>SalesData[[#This Row],[Revenue]] - SalesData[[#This Row],[Cost]]</f>
        <v>283</v>
      </c>
      <c r="Q177" s="13">
        <f>IF(SalesData[[#This Row],[Revenue]]=0,0,SalesData[[#This Row],[Profit]]/SalesData[[#This Row],[Revenue]])</f>
        <v>0.70750000000000002</v>
      </c>
      <c r="R177" t="s">
        <v>1165</v>
      </c>
      <c r="S177" t="s">
        <v>1364</v>
      </c>
      <c r="T177" t="str">
        <f>PROPER(SalesData[[#This Row],[Customer Name]])</f>
        <v>Elijah Davis</v>
      </c>
      <c r="U177" t="s">
        <v>1417</v>
      </c>
      <c r="V177" t="s">
        <v>1426</v>
      </c>
    </row>
    <row r="178" spans="1:22" x14ac:dyDescent="0.25">
      <c r="A178" t="s">
        <v>1604</v>
      </c>
      <c r="B178" s="5">
        <v>45351</v>
      </c>
      <c r="C178" s="2" t="str">
        <f>TEXT(SalesData[[#This Row],[Order Date]],"mmm")</f>
        <v>Feb</v>
      </c>
      <c r="D178" s="7">
        <f>MONTH(SalesData[[#This Row],[Order Date]])</f>
        <v>2</v>
      </c>
      <c r="E178" s="7">
        <f>YEAR(SalesData[[#This Row],[Order Date]])</f>
        <v>2024</v>
      </c>
      <c r="F178" t="s">
        <v>594</v>
      </c>
      <c r="G178" t="str">
        <f>PROPER(SalesData[[#This Row],[Product Name]])</f>
        <v>Eco Canvas Tote Bag</v>
      </c>
      <c r="H178" t="s">
        <v>1013</v>
      </c>
      <c r="I178" t="str">
        <f>UPPER(SalesData[[#This Row],[Product Category]])</f>
        <v>BAGS</v>
      </c>
      <c r="J178">
        <v>2</v>
      </c>
      <c r="K178">
        <v>25</v>
      </c>
      <c r="L178" s="15">
        <f>IF(SalesData[[#This Row],[Unit Price]]="",
    AVERAGEIFS(SalesData[Unit Price],
               SalesData[Product Name],SalesData[[#This Row],[Product Name]]),
    SalesData[[#This Row],[Unit Price]])</f>
        <v>25</v>
      </c>
      <c r="M178" s="15">
        <v>7.19</v>
      </c>
      <c r="N178" s="15">
        <f>SalesData[[#This Row],[Quantity Sold]] * SalesData[[#This Row],[Cleaned Unit Price]]</f>
        <v>50</v>
      </c>
      <c r="O178" s="15">
        <f>SalesData[[#This Row],[Quantity Sold]] * SalesData[[#This Row],[Unit Cost]]</f>
        <v>14.38</v>
      </c>
      <c r="P178" s="15">
        <f>SalesData[[#This Row],[Revenue]] - SalesData[[#This Row],[Cost]]</f>
        <v>35.619999999999997</v>
      </c>
      <c r="Q178" s="13">
        <f>IF(SalesData[[#This Row],[Revenue]]=0,0,SalesData[[#This Row],[Profit]]/SalesData[[#This Row],[Revenue]])</f>
        <v>0.71239999999999992</v>
      </c>
      <c r="R178" t="s">
        <v>1036</v>
      </c>
      <c r="S178" t="s">
        <v>1235</v>
      </c>
      <c r="T178" t="str">
        <f>PROPER(SalesData[[#This Row],[Customer Name]])</f>
        <v>Amelia Johnson</v>
      </c>
      <c r="U178" t="s">
        <v>1414</v>
      </c>
      <c r="V178" t="s">
        <v>1424</v>
      </c>
    </row>
    <row r="179" spans="1:22" x14ac:dyDescent="0.25">
      <c r="A179" t="s">
        <v>1605</v>
      </c>
      <c r="B179" s="5">
        <v>45352</v>
      </c>
      <c r="C179" s="2" t="str">
        <f>TEXT(SalesData[[#This Row],[Order Date]],"mmm")</f>
        <v>Mar</v>
      </c>
      <c r="D179" s="7">
        <f>MONTH(SalesData[[#This Row],[Order Date]])</f>
        <v>3</v>
      </c>
      <c r="E179" s="7">
        <f>YEAR(SalesData[[#This Row],[Order Date]])</f>
        <v>2024</v>
      </c>
      <c r="F179" t="s">
        <v>234</v>
      </c>
      <c r="G179" t="str">
        <f>PROPER(SalesData[[#This Row],[Product Name]])</f>
        <v>Biodegradable Cleaning Cloth</v>
      </c>
      <c r="H179" t="s">
        <v>1015</v>
      </c>
      <c r="I179" t="str">
        <f>UPPER(SalesData[[#This Row],[Product Category]])</f>
        <v>CLEANING</v>
      </c>
      <c r="J179">
        <v>8</v>
      </c>
      <c r="K179">
        <v>10</v>
      </c>
      <c r="L179" s="15">
        <f>IF(SalesData[[#This Row],[Unit Price]]="",
    AVERAGEIFS(SalesData[Unit Price],
               SalesData[Product Name],SalesData[[#This Row],[Product Name]]),
    SalesData[[#This Row],[Unit Price]])</f>
        <v>10</v>
      </c>
      <c r="M179" s="15">
        <v>3.89</v>
      </c>
      <c r="N179" s="15">
        <f>SalesData[[#This Row],[Quantity Sold]] * SalesData[[#This Row],[Cleaned Unit Price]]</f>
        <v>80</v>
      </c>
      <c r="O179" s="15">
        <f>SalesData[[#This Row],[Quantity Sold]] * SalesData[[#This Row],[Unit Cost]]</f>
        <v>31.12</v>
      </c>
      <c r="P179" s="15">
        <f>SalesData[[#This Row],[Revenue]] - SalesData[[#This Row],[Cost]]</f>
        <v>48.879999999999995</v>
      </c>
      <c r="Q179" s="13">
        <f>IF(SalesData[[#This Row],[Revenue]]=0,0,SalesData[[#This Row],[Profit]]/SalesData[[#This Row],[Revenue]])</f>
        <v>0.61099999999999999</v>
      </c>
      <c r="R179" t="s">
        <v>1042</v>
      </c>
      <c r="S179" t="s">
        <v>1241</v>
      </c>
      <c r="T179" t="str">
        <f>PROPER(SalesData[[#This Row],[Customer Name]])</f>
        <v>Amelia Johnson</v>
      </c>
      <c r="U179" t="s">
        <v>1416</v>
      </c>
      <c r="V179" t="s">
        <v>1419</v>
      </c>
    </row>
    <row r="180" spans="1:22" x14ac:dyDescent="0.25">
      <c r="A180" t="s">
        <v>1606</v>
      </c>
      <c r="B180" s="5">
        <v>45352</v>
      </c>
      <c r="C180" s="2" t="str">
        <f>TEXT(SalesData[[#This Row],[Order Date]],"mmm")</f>
        <v>Mar</v>
      </c>
      <c r="D180" s="7">
        <f>MONTH(SalesData[[#This Row],[Order Date]])</f>
        <v>3</v>
      </c>
      <c r="E180" s="7">
        <f>YEAR(SalesData[[#This Row],[Order Date]])</f>
        <v>2024</v>
      </c>
      <c r="F180" t="s">
        <v>459</v>
      </c>
      <c r="G180" t="str">
        <f>PROPER(SalesData[[#This Row],[Product Name]])</f>
        <v>Eco Canvas Tote Bag</v>
      </c>
      <c r="H180" t="s">
        <v>1013</v>
      </c>
      <c r="I180" t="str">
        <f>UPPER(SalesData[[#This Row],[Product Category]])</f>
        <v>BAGS</v>
      </c>
      <c r="J180">
        <v>2</v>
      </c>
      <c r="K180">
        <v>25</v>
      </c>
      <c r="L180" s="15">
        <f>IF(SalesData[[#This Row],[Unit Price]]="",
    AVERAGEIFS(SalesData[Unit Price],
               SalesData[Product Name],SalesData[[#This Row],[Product Name]]),
    SalesData[[#This Row],[Unit Price]])</f>
        <v>25</v>
      </c>
      <c r="M180" s="15">
        <v>5.81</v>
      </c>
      <c r="N180" s="15">
        <f>SalesData[[#This Row],[Quantity Sold]] * SalesData[[#This Row],[Cleaned Unit Price]]</f>
        <v>50</v>
      </c>
      <c r="O180" s="15">
        <f>SalesData[[#This Row],[Quantity Sold]] * SalesData[[#This Row],[Unit Cost]]</f>
        <v>11.62</v>
      </c>
      <c r="P180" s="15">
        <f>SalesData[[#This Row],[Revenue]] - SalesData[[#This Row],[Cost]]</f>
        <v>38.380000000000003</v>
      </c>
      <c r="Q180" s="13">
        <f>IF(SalesData[[#This Row],[Revenue]]=0,0,SalesData[[#This Row],[Profit]]/SalesData[[#This Row],[Revenue]])</f>
        <v>0.76760000000000006</v>
      </c>
      <c r="R180" t="s">
        <v>1187</v>
      </c>
      <c r="S180" t="s">
        <v>1386</v>
      </c>
      <c r="T180" t="str">
        <f>PROPER(SalesData[[#This Row],[Customer Name]])</f>
        <v>Liam Jones</v>
      </c>
      <c r="U180" t="s">
        <v>1414</v>
      </c>
      <c r="V180" t="s">
        <v>1425</v>
      </c>
    </row>
    <row r="181" spans="1:22" x14ac:dyDescent="0.25">
      <c r="A181" t="s">
        <v>1607</v>
      </c>
      <c r="B181" s="5">
        <v>45353</v>
      </c>
      <c r="C181" s="2" t="str">
        <f>TEXT(SalesData[[#This Row],[Order Date]],"mmm")</f>
        <v>Mar</v>
      </c>
      <c r="D181" s="7">
        <f>MONTH(SalesData[[#This Row],[Order Date]])</f>
        <v>3</v>
      </c>
      <c r="E181" s="7">
        <f>YEAR(SalesData[[#This Row],[Order Date]])</f>
        <v>2024</v>
      </c>
      <c r="F181" t="s">
        <v>208</v>
      </c>
      <c r="G181" t="str">
        <f>PROPER(SalesData[[#This Row],[Product Name]])</f>
        <v>Reusable Bamboo Utensil Set</v>
      </c>
      <c r="H181" t="s">
        <v>1014</v>
      </c>
      <c r="I181" t="str">
        <f>UPPER(SalesData[[#This Row],[Product Category]])</f>
        <v>KITCHENWARE</v>
      </c>
      <c r="J181">
        <v>5</v>
      </c>
      <c r="L181" s="15">
        <f>IF(SalesData[[#This Row],[Unit Price]]="",
    AVERAGEIFS(SalesData[Unit Price],
               SalesData[Product Name],SalesData[[#This Row],[Product Name]]),
    SalesData[[#This Row],[Unit Price]])</f>
        <v>15</v>
      </c>
      <c r="M181" s="15">
        <v>4.7</v>
      </c>
      <c r="N181" s="15">
        <f>SalesData[[#This Row],[Quantity Sold]] * SalesData[[#This Row],[Cleaned Unit Price]]</f>
        <v>75</v>
      </c>
      <c r="O181" s="15">
        <f>SalesData[[#This Row],[Quantity Sold]] * SalesData[[#This Row],[Unit Cost]]</f>
        <v>23.5</v>
      </c>
      <c r="P181" s="15">
        <f>SalesData[[#This Row],[Revenue]] - SalesData[[#This Row],[Cost]]</f>
        <v>51.5</v>
      </c>
      <c r="Q181" s="13">
        <f>IF(SalesData[[#This Row],[Revenue]]=0,0,SalesData[[#This Row],[Profit]]/SalesData[[#This Row],[Revenue]])</f>
        <v>0.68666666666666665</v>
      </c>
      <c r="R181" t="s">
        <v>1142</v>
      </c>
      <c r="S181" t="s">
        <v>1341</v>
      </c>
      <c r="T181" t="str">
        <f>PROPER(SalesData[[#This Row],[Customer Name]])</f>
        <v>Lucas Garcia</v>
      </c>
      <c r="U181" t="s">
        <v>1416</v>
      </c>
      <c r="V181" t="s">
        <v>1422</v>
      </c>
    </row>
    <row r="182" spans="1:22" x14ac:dyDescent="0.25">
      <c r="A182" t="s">
        <v>1608</v>
      </c>
      <c r="B182" s="5">
        <v>45353</v>
      </c>
      <c r="C182" s="2" t="str">
        <f>TEXT(SalesData[[#This Row],[Order Date]],"mmm")</f>
        <v>Mar</v>
      </c>
      <c r="D182" s="7">
        <f>MONTH(SalesData[[#This Row],[Order Date]])</f>
        <v>3</v>
      </c>
      <c r="E182" s="7">
        <f>YEAR(SalesData[[#This Row],[Order Date]])</f>
        <v>2024</v>
      </c>
      <c r="F182" t="s">
        <v>518</v>
      </c>
      <c r="G182" t="str">
        <f>PROPER(SalesData[[#This Row],[Product Name]])</f>
        <v>Solar Led Lantern</v>
      </c>
      <c r="H182" t="s">
        <v>1012</v>
      </c>
      <c r="I182" t="str">
        <f>UPPER(SalesData[[#This Row],[Product Category]])</f>
        <v>LIGHTING</v>
      </c>
      <c r="J182">
        <v>9</v>
      </c>
      <c r="K182">
        <v>40</v>
      </c>
      <c r="L182" s="15">
        <f>IF(SalesData[[#This Row],[Unit Price]]="",
    AVERAGEIFS(SalesData[Unit Price],
               SalesData[Product Name],SalesData[[#This Row],[Product Name]]),
    SalesData[[#This Row],[Unit Price]])</f>
        <v>40</v>
      </c>
      <c r="M182" s="15">
        <v>9.41</v>
      </c>
      <c r="N182" s="15">
        <f>SalesData[[#This Row],[Quantity Sold]] * SalesData[[#This Row],[Cleaned Unit Price]]</f>
        <v>360</v>
      </c>
      <c r="O182" s="15">
        <f>SalesData[[#This Row],[Quantity Sold]] * SalesData[[#This Row],[Unit Cost]]</f>
        <v>84.69</v>
      </c>
      <c r="P182" s="15">
        <f>SalesData[[#This Row],[Revenue]] - SalesData[[#This Row],[Cost]]</f>
        <v>275.31</v>
      </c>
      <c r="Q182" s="13">
        <f>IF(SalesData[[#This Row],[Revenue]]=0,0,SalesData[[#This Row],[Profit]]/SalesData[[#This Row],[Revenue]])</f>
        <v>0.76475000000000004</v>
      </c>
      <c r="R182" t="s">
        <v>1079</v>
      </c>
      <c r="S182" t="s">
        <v>1278</v>
      </c>
      <c r="T182" t="str">
        <f>PROPER(SalesData[[#This Row],[Customer Name]])</f>
        <v>Harper Smith</v>
      </c>
      <c r="U182" t="s">
        <v>1415</v>
      </c>
      <c r="V182" t="s">
        <v>1424</v>
      </c>
    </row>
    <row r="183" spans="1:22" x14ac:dyDescent="0.25">
      <c r="A183" t="s">
        <v>1609</v>
      </c>
      <c r="B183" s="5">
        <v>45353</v>
      </c>
      <c r="C183" s="2" t="str">
        <f>TEXT(SalesData[[#This Row],[Order Date]],"mmm")</f>
        <v>Mar</v>
      </c>
      <c r="D183" s="7">
        <f>MONTH(SalesData[[#This Row],[Order Date]])</f>
        <v>3</v>
      </c>
      <c r="E183" s="7">
        <f>YEAR(SalesData[[#This Row],[Order Date]])</f>
        <v>2024</v>
      </c>
      <c r="F183" t="s">
        <v>572</v>
      </c>
      <c r="G183" t="str">
        <f>PROPER(SalesData[[#This Row],[Product Name]])</f>
        <v>Reusable Bamboo Utensil Set</v>
      </c>
      <c r="H183" t="s">
        <v>1014</v>
      </c>
      <c r="I183" t="str">
        <f>UPPER(SalesData[[#This Row],[Product Category]])</f>
        <v>KITCHENWARE</v>
      </c>
      <c r="J183">
        <v>4</v>
      </c>
      <c r="K183">
        <v>15</v>
      </c>
      <c r="L183" s="15">
        <f>IF(SalesData[[#This Row],[Unit Price]]="",
    AVERAGEIFS(SalesData[Unit Price],
               SalesData[Product Name],SalesData[[#This Row],[Product Name]]),
    SalesData[[#This Row],[Unit Price]])</f>
        <v>15</v>
      </c>
      <c r="M183" s="15">
        <v>4.91</v>
      </c>
      <c r="N183" s="15">
        <f>SalesData[[#This Row],[Quantity Sold]] * SalesData[[#This Row],[Cleaned Unit Price]]</f>
        <v>60</v>
      </c>
      <c r="O183" s="15">
        <f>SalesData[[#This Row],[Quantity Sold]] * SalesData[[#This Row],[Unit Cost]]</f>
        <v>19.64</v>
      </c>
      <c r="P183" s="15">
        <f>SalesData[[#This Row],[Revenue]] - SalesData[[#This Row],[Cost]]</f>
        <v>40.36</v>
      </c>
      <c r="Q183" s="13">
        <f>IF(SalesData[[#This Row],[Revenue]]=0,0,SalesData[[#This Row],[Profit]]/SalesData[[#This Row],[Revenue]])</f>
        <v>0.67266666666666663</v>
      </c>
      <c r="R183" t="s">
        <v>1168</v>
      </c>
      <c r="S183" t="s">
        <v>1367</v>
      </c>
      <c r="T183" t="str">
        <f>PROPER(SalesData[[#This Row],[Customer Name]])</f>
        <v>Harper Miller</v>
      </c>
      <c r="U183" t="s">
        <v>1417</v>
      </c>
      <c r="V183" t="s">
        <v>1424</v>
      </c>
    </row>
    <row r="184" spans="1:22" x14ac:dyDescent="0.25">
      <c r="A184" t="s">
        <v>1610</v>
      </c>
      <c r="B184" s="5">
        <v>45353</v>
      </c>
      <c r="C184" s="2" t="str">
        <f>TEXT(SalesData[[#This Row],[Order Date]],"mmm")</f>
        <v>Mar</v>
      </c>
      <c r="D184" s="7">
        <f>MONTH(SalesData[[#This Row],[Order Date]])</f>
        <v>3</v>
      </c>
      <c r="E184" s="7">
        <f>YEAR(SalesData[[#This Row],[Order Date]])</f>
        <v>2024</v>
      </c>
      <c r="F184" t="s">
        <v>662</v>
      </c>
      <c r="G184" t="str">
        <f>PROPER(SalesData[[#This Row],[Product Name]])</f>
        <v>Reusable Bamboo Utensil Set</v>
      </c>
      <c r="H184" t="s">
        <v>1014</v>
      </c>
      <c r="I184" t="str">
        <f>UPPER(SalesData[[#This Row],[Product Category]])</f>
        <v>KITCHENWARE</v>
      </c>
      <c r="J184">
        <v>8</v>
      </c>
      <c r="K184">
        <v>15</v>
      </c>
      <c r="L184" s="15">
        <f>IF(SalesData[[#This Row],[Unit Price]]="",
    AVERAGEIFS(SalesData[Unit Price],
               SalesData[Product Name],SalesData[[#This Row],[Product Name]]),
    SalesData[[#This Row],[Unit Price]])</f>
        <v>15</v>
      </c>
      <c r="M184" s="15">
        <v>3.02</v>
      </c>
      <c r="N184" s="15">
        <f>SalesData[[#This Row],[Quantity Sold]] * SalesData[[#This Row],[Cleaned Unit Price]]</f>
        <v>120</v>
      </c>
      <c r="O184" s="15">
        <f>SalesData[[#This Row],[Quantity Sold]] * SalesData[[#This Row],[Unit Cost]]</f>
        <v>24.16</v>
      </c>
      <c r="P184" s="15">
        <f>SalesData[[#This Row],[Revenue]] - SalesData[[#This Row],[Cost]]</f>
        <v>95.84</v>
      </c>
      <c r="Q184" s="13">
        <f>IF(SalesData[[#This Row],[Revenue]]=0,0,SalesData[[#This Row],[Profit]]/SalesData[[#This Row],[Revenue]])</f>
        <v>0.79866666666666675</v>
      </c>
      <c r="R184" t="s">
        <v>1050</v>
      </c>
      <c r="S184" t="s">
        <v>1249</v>
      </c>
      <c r="T184" t="str">
        <f>PROPER(SalesData[[#This Row],[Customer Name]])</f>
        <v>Charlotte Garcia</v>
      </c>
      <c r="U184" t="s">
        <v>1414</v>
      </c>
      <c r="V184" t="s">
        <v>1426</v>
      </c>
    </row>
    <row r="185" spans="1:22" x14ac:dyDescent="0.25">
      <c r="A185" t="s">
        <v>1611</v>
      </c>
      <c r="B185" s="5">
        <v>45353</v>
      </c>
      <c r="C185" s="2" t="str">
        <f>TEXT(SalesData[[#This Row],[Order Date]],"mmm")</f>
        <v>Mar</v>
      </c>
      <c r="D185" s="7">
        <f>MONTH(SalesData[[#This Row],[Order Date]])</f>
        <v>3</v>
      </c>
      <c r="E185" s="7">
        <f>YEAR(SalesData[[#This Row],[Order Date]])</f>
        <v>2024</v>
      </c>
      <c r="F185" t="s">
        <v>966</v>
      </c>
      <c r="G185" t="str">
        <f>PROPER(SalesData[[#This Row],[Product Name]])</f>
        <v>Eco Canvas Tote Bag</v>
      </c>
      <c r="H185" t="s">
        <v>1013</v>
      </c>
      <c r="I185" t="str">
        <f>UPPER(SalesData[[#This Row],[Product Category]])</f>
        <v>BAGS</v>
      </c>
      <c r="J185">
        <v>1</v>
      </c>
      <c r="K185">
        <v>25</v>
      </c>
      <c r="L185" s="15">
        <f>IF(SalesData[[#This Row],[Unit Price]]="",
    AVERAGEIFS(SalesData[Unit Price],
               SalesData[Product Name],SalesData[[#This Row],[Product Name]]),
    SalesData[[#This Row],[Unit Price]])</f>
        <v>25</v>
      </c>
      <c r="M185" s="15">
        <v>5.23</v>
      </c>
      <c r="N185" s="15">
        <f>SalesData[[#This Row],[Quantity Sold]] * SalesData[[#This Row],[Cleaned Unit Price]]</f>
        <v>25</v>
      </c>
      <c r="O185" s="15">
        <f>SalesData[[#This Row],[Quantity Sold]] * SalesData[[#This Row],[Unit Cost]]</f>
        <v>5.23</v>
      </c>
      <c r="P185" s="15">
        <f>SalesData[[#This Row],[Revenue]] - SalesData[[#This Row],[Cost]]</f>
        <v>19.77</v>
      </c>
      <c r="Q185" s="13">
        <f>IF(SalesData[[#This Row],[Revenue]]=0,0,SalesData[[#This Row],[Profit]]/SalesData[[#This Row],[Revenue]])</f>
        <v>0.79079999999999995</v>
      </c>
      <c r="R185" t="s">
        <v>1017</v>
      </c>
      <c r="S185" t="s">
        <v>1216</v>
      </c>
      <c r="T185" t="str">
        <f>PROPER(SalesData[[#This Row],[Customer Name]])</f>
        <v>Mia Miller</v>
      </c>
      <c r="U185" t="s">
        <v>1414</v>
      </c>
      <c r="V185" t="s">
        <v>1422</v>
      </c>
    </row>
    <row r="186" spans="1:22" x14ac:dyDescent="0.25">
      <c r="A186" t="s">
        <v>1612</v>
      </c>
      <c r="B186" s="5">
        <v>45354</v>
      </c>
      <c r="C186" s="2" t="str">
        <f>TEXT(SalesData[[#This Row],[Order Date]],"mmm")</f>
        <v>Mar</v>
      </c>
      <c r="D186" s="7">
        <f>MONTH(SalesData[[#This Row],[Order Date]])</f>
        <v>3</v>
      </c>
      <c r="E186" s="7">
        <f>YEAR(SalesData[[#This Row],[Order Date]])</f>
        <v>2024</v>
      </c>
      <c r="F186" t="s">
        <v>611</v>
      </c>
      <c r="G186" t="str">
        <f>PROPER(SalesData[[#This Row],[Product Name]])</f>
        <v>Eco Canvas Tote Bag</v>
      </c>
      <c r="H186" t="s">
        <v>1013</v>
      </c>
      <c r="I186" t="str">
        <f>UPPER(SalesData[[#This Row],[Product Category]])</f>
        <v>BAGS</v>
      </c>
      <c r="J186">
        <v>8</v>
      </c>
      <c r="K186">
        <v>25</v>
      </c>
      <c r="L186" s="15">
        <f>IF(SalesData[[#This Row],[Unit Price]]="",
    AVERAGEIFS(SalesData[Unit Price],
               SalesData[Product Name],SalesData[[#This Row],[Product Name]]),
    SalesData[[#This Row],[Unit Price]])</f>
        <v>25</v>
      </c>
      <c r="M186" s="15">
        <v>6.86</v>
      </c>
      <c r="N186" s="15">
        <f>SalesData[[#This Row],[Quantity Sold]] * SalesData[[#This Row],[Cleaned Unit Price]]</f>
        <v>200</v>
      </c>
      <c r="O186" s="15">
        <f>SalesData[[#This Row],[Quantity Sold]] * SalesData[[#This Row],[Unit Cost]]</f>
        <v>54.88</v>
      </c>
      <c r="P186" s="15">
        <f>SalesData[[#This Row],[Revenue]] - SalesData[[#This Row],[Cost]]</f>
        <v>145.12</v>
      </c>
      <c r="Q186" s="13">
        <f>IF(SalesData[[#This Row],[Revenue]]=0,0,SalesData[[#This Row],[Profit]]/SalesData[[#This Row],[Revenue]])</f>
        <v>0.72560000000000002</v>
      </c>
      <c r="R186" t="s">
        <v>1165</v>
      </c>
      <c r="S186" t="s">
        <v>1364</v>
      </c>
      <c r="T186" t="str">
        <f>PROPER(SalesData[[#This Row],[Customer Name]])</f>
        <v>Elijah Davis</v>
      </c>
      <c r="U186" t="s">
        <v>1415</v>
      </c>
      <c r="V186" t="s">
        <v>1427</v>
      </c>
    </row>
    <row r="187" spans="1:22" x14ac:dyDescent="0.25">
      <c r="A187" t="s">
        <v>1613</v>
      </c>
      <c r="B187" s="5">
        <v>45354</v>
      </c>
      <c r="C187" s="2" t="str">
        <f>TEXT(SalesData[[#This Row],[Order Date]],"mmm")</f>
        <v>Mar</v>
      </c>
      <c r="D187" s="7">
        <f>MONTH(SalesData[[#This Row],[Order Date]])</f>
        <v>3</v>
      </c>
      <c r="E187" s="7">
        <f>YEAR(SalesData[[#This Row],[Order Date]])</f>
        <v>2024</v>
      </c>
      <c r="F187" t="s">
        <v>812</v>
      </c>
      <c r="G187" t="str">
        <f>PROPER(SalesData[[#This Row],[Product Name]])</f>
        <v>Reusable Bamboo Utensil Set</v>
      </c>
      <c r="H187" t="s">
        <v>1014</v>
      </c>
      <c r="I187" t="str">
        <f>UPPER(SalesData[[#This Row],[Product Category]])</f>
        <v>KITCHENWARE</v>
      </c>
      <c r="J187">
        <v>1</v>
      </c>
      <c r="K187">
        <v>15</v>
      </c>
      <c r="L187" s="15">
        <f>IF(SalesData[[#This Row],[Unit Price]]="",
    AVERAGEIFS(SalesData[Unit Price],
               SalesData[Product Name],SalesData[[#This Row],[Product Name]]),
    SalesData[[#This Row],[Unit Price]])</f>
        <v>15</v>
      </c>
      <c r="M187" s="15">
        <v>3.91</v>
      </c>
      <c r="N187" s="15">
        <f>SalesData[[#This Row],[Quantity Sold]] * SalesData[[#This Row],[Cleaned Unit Price]]</f>
        <v>15</v>
      </c>
      <c r="O187" s="15">
        <f>SalesData[[#This Row],[Quantity Sold]] * SalesData[[#This Row],[Unit Cost]]</f>
        <v>3.91</v>
      </c>
      <c r="P187" s="15">
        <f>SalesData[[#This Row],[Revenue]] - SalesData[[#This Row],[Cost]]</f>
        <v>11.09</v>
      </c>
      <c r="Q187" s="13">
        <f>IF(SalesData[[#This Row],[Revenue]]=0,0,SalesData[[#This Row],[Profit]]/SalesData[[#This Row],[Revenue]])</f>
        <v>0.73933333333333329</v>
      </c>
      <c r="R187" t="s">
        <v>1040</v>
      </c>
      <c r="S187" t="s">
        <v>1239</v>
      </c>
      <c r="T187" t="str">
        <f>PROPER(SalesData[[#This Row],[Customer Name]])</f>
        <v>Ethan Rodriguez</v>
      </c>
      <c r="U187" t="s">
        <v>1416</v>
      </c>
      <c r="V187" t="s">
        <v>1422</v>
      </c>
    </row>
    <row r="188" spans="1:22" x14ac:dyDescent="0.25">
      <c r="A188" t="s">
        <v>1614</v>
      </c>
      <c r="B188" s="5">
        <v>45354</v>
      </c>
      <c r="C188" s="2" t="str">
        <f>TEXT(SalesData[[#This Row],[Order Date]],"mmm")</f>
        <v>Mar</v>
      </c>
      <c r="D188" s="7">
        <f>MONTH(SalesData[[#This Row],[Order Date]])</f>
        <v>3</v>
      </c>
      <c r="E188" s="7">
        <f>YEAR(SalesData[[#This Row],[Order Date]])</f>
        <v>2024</v>
      </c>
      <c r="F188" t="s">
        <v>851</v>
      </c>
      <c r="G188" t="str">
        <f>PROPER(SalesData[[#This Row],[Product Name]])</f>
        <v>Solar Led Lantern</v>
      </c>
      <c r="H188" t="s">
        <v>1012</v>
      </c>
      <c r="I188" t="str">
        <f>UPPER(SalesData[[#This Row],[Product Category]])</f>
        <v>LIGHTING</v>
      </c>
      <c r="J188">
        <v>8</v>
      </c>
      <c r="L188" s="15">
        <f>IF(SalesData[[#This Row],[Unit Price]]="",
    AVERAGEIFS(SalesData[Unit Price],
               SalesData[Product Name],SalesData[[#This Row],[Product Name]]),
    SalesData[[#This Row],[Unit Price]])</f>
        <v>40</v>
      </c>
      <c r="M188" s="15">
        <v>14.99</v>
      </c>
      <c r="N188" s="15">
        <f>SalesData[[#This Row],[Quantity Sold]] * SalesData[[#This Row],[Cleaned Unit Price]]</f>
        <v>320</v>
      </c>
      <c r="O188" s="15">
        <f>SalesData[[#This Row],[Quantity Sold]] * SalesData[[#This Row],[Unit Cost]]</f>
        <v>119.92</v>
      </c>
      <c r="P188" s="15">
        <f>SalesData[[#This Row],[Revenue]] - SalesData[[#This Row],[Cost]]</f>
        <v>200.07999999999998</v>
      </c>
      <c r="Q188" s="13">
        <f>IF(SalesData[[#This Row],[Revenue]]=0,0,SalesData[[#This Row],[Profit]]/SalesData[[#This Row],[Revenue]])</f>
        <v>0.62524999999999997</v>
      </c>
      <c r="R188" t="s">
        <v>1022</v>
      </c>
      <c r="S188" t="s">
        <v>1221</v>
      </c>
      <c r="T188" t="str">
        <f>PROPER(SalesData[[#This Row],[Customer Name]])</f>
        <v>Liam Johnson</v>
      </c>
      <c r="U188" t="s">
        <v>1414</v>
      </c>
      <c r="V188" t="s">
        <v>1425</v>
      </c>
    </row>
    <row r="189" spans="1:22" x14ac:dyDescent="0.25">
      <c r="A189" t="s">
        <v>1615</v>
      </c>
      <c r="B189" s="5">
        <v>45355</v>
      </c>
      <c r="C189" s="2" t="str">
        <f>TEXT(SalesData[[#This Row],[Order Date]],"mmm")</f>
        <v>Mar</v>
      </c>
      <c r="D189" s="7">
        <f>MONTH(SalesData[[#This Row],[Order Date]])</f>
        <v>3</v>
      </c>
      <c r="E189" s="7">
        <f>YEAR(SalesData[[#This Row],[Order Date]])</f>
        <v>2024</v>
      </c>
      <c r="F189" t="s">
        <v>303</v>
      </c>
      <c r="G189" t="str">
        <f>PROPER(SalesData[[#This Row],[Product Name]])</f>
        <v>Reusable Bamboo Utensil Set</v>
      </c>
      <c r="H189" t="s">
        <v>1014</v>
      </c>
      <c r="I189" t="str">
        <f>UPPER(SalesData[[#This Row],[Product Category]])</f>
        <v>KITCHENWARE</v>
      </c>
      <c r="J189">
        <v>3</v>
      </c>
      <c r="K189">
        <v>15</v>
      </c>
      <c r="L189" s="15">
        <f>IF(SalesData[[#This Row],[Unit Price]]="",
    AVERAGEIFS(SalesData[Unit Price],
               SalesData[Product Name],SalesData[[#This Row],[Product Name]]),
    SalesData[[#This Row],[Unit Price]])</f>
        <v>15</v>
      </c>
      <c r="M189" s="15">
        <v>3.87</v>
      </c>
      <c r="N189" s="15">
        <f>SalesData[[#This Row],[Quantity Sold]] * SalesData[[#This Row],[Cleaned Unit Price]]</f>
        <v>45</v>
      </c>
      <c r="O189" s="15">
        <f>SalesData[[#This Row],[Quantity Sold]] * SalesData[[#This Row],[Unit Cost]]</f>
        <v>11.61</v>
      </c>
      <c r="P189" s="15">
        <f>SalesData[[#This Row],[Revenue]] - SalesData[[#This Row],[Cost]]</f>
        <v>33.39</v>
      </c>
      <c r="Q189" s="13">
        <f>IF(SalesData[[#This Row],[Revenue]]=0,0,SalesData[[#This Row],[Profit]]/SalesData[[#This Row],[Revenue]])</f>
        <v>0.74199999999999999</v>
      </c>
      <c r="R189" t="s">
        <v>1095</v>
      </c>
      <c r="S189" t="s">
        <v>1294</v>
      </c>
      <c r="T189" t="str">
        <f>PROPER(SalesData[[#This Row],[Customer Name]])</f>
        <v>Evelyn Miller</v>
      </c>
      <c r="U189" t="s">
        <v>1414</v>
      </c>
      <c r="V189" t="s">
        <v>1420</v>
      </c>
    </row>
    <row r="190" spans="1:22" x14ac:dyDescent="0.25">
      <c r="A190" t="s">
        <v>1616</v>
      </c>
      <c r="B190" s="5">
        <v>45355</v>
      </c>
      <c r="C190" s="2" t="str">
        <f>TEXT(SalesData[[#This Row],[Order Date]],"mmm")</f>
        <v>Mar</v>
      </c>
      <c r="D190" s="7">
        <f>MONTH(SalesData[[#This Row],[Order Date]])</f>
        <v>3</v>
      </c>
      <c r="E190" s="7">
        <f>YEAR(SalesData[[#This Row],[Order Date]])</f>
        <v>2024</v>
      </c>
      <c r="F190" t="s">
        <v>421</v>
      </c>
      <c r="G190" t="str">
        <f>PROPER(SalesData[[#This Row],[Product Name]])</f>
        <v>Compostable Plant Pots</v>
      </c>
      <c r="H190" t="s">
        <v>1011</v>
      </c>
      <c r="I190" t="str">
        <f>UPPER(SalesData[[#This Row],[Product Category]])</f>
        <v>GARDENING</v>
      </c>
      <c r="J190">
        <v>5</v>
      </c>
      <c r="K190">
        <v>12</v>
      </c>
      <c r="L190" s="15">
        <f>IF(SalesData[[#This Row],[Unit Price]]="",
    AVERAGEIFS(SalesData[Unit Price],
               SalesData[Product Name],SalesData[[#This Row],[Product Name]]),
    SalesData[[#This Row],[Unit Price]])</f>
        <v>12</v>
      </c>
      <c r="M190" s="15">
        <v>2.98</v>
      </c>
      <c r="N190" s="15">
        <f>SalesData[[#This Row],[Quantity Sold]] * SalesData[[#This Row],[Cleaned Unit Price]]</f>
        <v>60</v>
      </c>
      <c r="O190" s="15">
        <f>SalesData[[#This Row],[Quantity Sold]] * SalesData[[#This Row],[Unit Cost]]</f>
        <v>14.9</v>
      </c>
      <c r="P190" s="15">
        <f>SalesData[[#This Row],[Revenue]] - SalesData[[#This Row],[Cost]]</f>
        <v>45.1</v>
      </c>
      <c r="Q190" s="13">
        <f>IF(SalesData[[#This Row],[Revenue]]=0,0,SalesData[[#This Row],[Profit]]/SalesData[[#This Row],[Revenue]])</f>
        <v>0.75166666666666671</v>
      </c>
      <c r="R190" t="s">
        <v>1168</v>
      </c>
      <c r="S190" t="s">
        <v>1367</v>
      </c>
      <c r="T190" t="str">
        <f>PROPER(SalesData[[#This Row],[Customer Name]])</f>
        <v>Harper Miller</v>
      </c>
      <c r="U190" t="s">
        <v>1414</v>
      </c>
      <c r="V190" t="s">
        <v>1424</v>
      </c>
    </row>
    <row r="191" spans="1:22" x14ac:dyDescent="0.25">
      <c r="A191" t="s">
        <v>1617</v>
      </c>
      <c r="B191" s="5">
        <v>45355</v>
      </c>
      <c r="C191" s="2" t="str">
        <f>TEXT(SalesData[[#This Row],[Order Date]],"mmm")</f>
        <v>Mar</v>
      </c>
      <c r="D191" s="7">
        <f>MONTH(SalesData[[#This Row],[Order Date]])</f>
        <v>3</v>
      </c>
      <c r="E191" s="7">
        <f>YEAR(SalesData[[#This Row],[Order Date]])</f>
        <v>2024</v>
      </c>
      <c r="F191" t="s">
        <v>653</v>
      </c>
      <c r="G191" t="str">
        <f>PROPER(SalesData[[#This Row],[Product Name]])</f>
        <v>Compostable Plant Pots</v>
      </c>
      <c r="H191" t="s">
        <v>1011</v>
      </c>
      <c r="I191" t="str">
        <f>UPPER(SalesData[[#This Row],[Product Category]])</f>
        <v>GARDENING</v>
      </c>
      <c r="J191">
        <v>1</v>
      </c>
      <c r="K191">
        <v>12</v>
      </c>
      <c r="L191" s="15">
        <f>IF(SalesData[[#This Row],[Unit Price]]="",
    AVERAGEIFS(SalesData[Unit Price],
               SalesData[Product Name],SalesData[[#This Row],[Product Name]]),
    SalesData[[#This Row],[Unit Price]])</f>
        <v>12</v>
      </c>
      <c r="M191" s="15">
        <v>3.44</v>
      </c>
      <c r="N191" s="15">
        <f>SalesData[[#This Row],[Quantity Sold]] * SalesData[[#This Row],[Cleaned Unit Price]]</f>
        <v>12</v>
      </c>
      <c r="O191" s="15">
        <f>SalesData[[#This Row],[Quantity Sold]] * SalesData[[#This Row],[Unit Cost]]</f>
        <v>3.44</v>
      </c>
      <c r="P191" s="15">
        <f>SalesData[[#This Row],[Revenue]] - SalesData[[#This Row],[Cost]]</f>
        <v>8.56</v>
      </c>
      <c r="Q191" s="13">
        <f>IF(SalesData[[#This Row],[Revenue]]=0,0,SalesData[[#This Row],[Profit]]/SalesData[[#This Row],[Revenue]])</f>
        <v>0.71333333333333337</v>
      </c>
      <c r="R191" t="s">
        <v>1211</v>
      </c>
      <c r="S191" t="s">
        <v>1410</v>
      </c>
      <c r="T191" t="str">
        <f>PROPER(SalesData[[#This Row],[Customer Name]])</f>
        <v>Emma Davis</v>
      </c>
      <c r="U191" t="s">
        <v>1416</v>
      </c>
      <c r="V191" t="s">
        <v>1424</v>
      </c>
    </row>
    <row r="192" spans="1:22" x14ac:dyDescent="0.25">
      <c r="A192" t="s">
        <v>1618</v>
      </c>
      <c r="B192" s="5">
        <v>45356</v>
      </c>
      <c r="C192" s="2" t="str">
        <f>TEXT(SalesData[[#This Row],[Order Date]],"mmm")</f>
        <v>Mar</v>
      </c>
      <c r="D192" s="7">
        <f>MONTH(SalesData[[#This Row],[Order Date]])</f>
        <v>3</v>
      </c>
      <c r="E192" s="7">
        <f>YEAR(SalesData[[#This Row],[Order Date]])</f>
        <v>2024</v>
      </c>
      <c r="F192" t="s">
        <v>489</v>
      </c>
      <c r="G192" t="str">
        <f>PROPER(SalesData[[#This Row],[Product Name]])</f>
        <v>Reusable Bamboo Utensil Set</v>
      </c>
      <c r="H192" t="s">
        <v>1014</v>
      </c>
      <c r="I192" t="str">
        <f>UPPER(SalesData[[#This Row],[Product Category]])</f>
        <v>KITCHENWARE</v>
      </c>
      <c r="J192">
        <v>7</v>
      </c>
      <c r="K192">
        <v>15</v>
      </c>
      <c r="L192" s="15">
        <f>IF(SalesData[[#This Row],[Unit Price]]="",
    AVERAGEIFS(SalesData[Unit Price],
               SalesData[Product Name],SalesData[[#This Row],[Product Name]]),
    SalesData[[#This Row],[Unit Price]])</f>
        <v>15</v>
      </c>
      <c r="M192" s="15">
        <v>5.35</v>
      </c>
      <c r="N192" s="15">
        <f>SalesData[[#This Row],[Quantity Sold]] * SalesData[[#This Row],[Cleaned Unit Price]]</f>
        <v>105</v>
      </c>
      <c r="O192" s="15">
        <f>SalesData[[#This Row],[Quantity Sold]] * SalesData[[#This Row],[Unit Cost]]</f>
        <v>37.449999999999996</v>
      </c>
      <c r="P192" s="15">
        <f>SalesData[[#This Row],[Revenue]] - SalesData[[#This Row],[Cost]]</f>
        <v>67.550000000000011</v>
      </c>
      <c r="Q192" s="13">
        <f>IF(SalesData[[#This Row],[Revenue]]=0,0,SalesData[[#This Row],[Profit]]/SalesData[[#This Row],[Revenue]])</f>
        <v>0.64333333333333342</v>
      </c>
      <c r="R192" t="s">
        <v>1057</v>
      </c>
      <c r="S192" t="s">
        <v>1256</v>
      </c>
      <c r="T192" t="str">
        <f>PROPER(SalesData[[#This Row],[Customer Name]])</f>
        <v>Isabella Garcia</v>
      </c>
      <c r="U192" t="s">
        <v>1414</v>
      </c>
      <c r="V192" t="s">
        <v>1418</v>
      </c>
    </row>
    <row r="193" spans="1:22" x14ac:dyDescent="0.25">
      <c r="A193" t="s">
        <v>1619</v>
      </c>
      <c r="B193" s="5">
        <v>45357</v>
      </c>
      <c r="C193" s="2" t="str">
        <f>TEXT(SalesData[[#This Row],[Order Date]],"mmm")</f>
        <v>Mar</v>
      </c>
      <c r="D193" s="7">
        <f>MONTH(SalesData[[#This Row],[Order Date]])</f>
        <v>3</v>
      </c>
      <c r="E193" s="7">
        <f>YEAR(SalesData[[#This Row],[Order Date]])</f>
        <v>2024</v>
      </c>
      <c r="F193" t="s">
        <v>56</v>
      </c>
      <c r="G193" t="str">
        <f>PROPER(SalesData[[#This Row],[Product Name]])</f>
        <v>Reusable Bamboo Utensil Set</v>
      </c>
      <c r="H193" t="s">
        <v>1014</v>
      </c>
      <c r="I193" t="str">
        <f>UPPER(SalesData[[#This Row],[Product Category]])</f>
        <v>KITCHENWARE</v>
      </c>
      <c r="J193">
        <v>7</v>
      </c>
      <c r="K193">
        <v>15</v>
      </c>
      <c r="L193" s="15">
        <f>IF(SalesData[[#This Row],[Unit Price]]="",
    AVERAGEIFS(SalesData[Unit Price],
               SalesData[Product Name],SalesData[[#This Row],[Product Name]]),
    SalesData[[#This Row],[Unit Price]])</f>
        <v>15</v>
      </c>
      <c r="M193" s="15">
        <v>5.0999999999999996</v>
      </c>
      <c r="N193" s="15">
        <f>SalesData[[#This Row],[Quantity Sold]] * SalesData[[#This Row],[Cleaned Unit Price]]</f>
        <v>105</v>
      </c>
      <c r="O193" s="15">
        <f>SalesData[[#This Row],[Quantity Sold]] * SalesData[[#This Row],[Unit Cost]]</f>
        <v>35.699999999999996</v>
      </c>
      <c r="P193" s="15">
        <f>SalesData[[#This Row],[Revenue]] - SalesData[[#This Row],[Cost]]</f>
        <v>69.300000000000011</v>
      </c>
      <c r="Q193" s="13">
        <f>IF(SalesData[[#This Row],[Revenue]]=0,0,SalesData[[#This Row],[Profit]]/SalesData[[#This Row],[Revenue]])</f>
        <v>0.66000000000000014</v>
      </c>
      <c r="R193" t="s">
        <v>1054</v>
      </c>
      <c r="S193" t="s">
        <v>1253</v>
      </c>
      <c r="T193" t="str">
        <f>PROPER(SalesData[[#This Row],[Customer Name]])</f>
        <v>Ethan Johnson</v>
      </c>
      <c r="U193" t="s">
        <v>1414</v>
      </c>
      <c r="V193" t="s">
        <v>1422</v>
      </c>
    </row>
    <row r="194" spans="1:22" x14ac:dyDescent="0.25">
      <c r="A194" t="s">
        <v>1620</v>
      </c>
      <c r="B194" s="5">
        <v>45357</v>
      </c>
      <c r="C194" s="2" t="str">
        <f>TEXT(SalesData[[#This Row],[Order Date]],"mmm")</f>
        <v>Mar</v>
      </c>
      <c r="D194" s="7">
        <f>MONTH(SalesData[[#This Row],[Order Date]])</f>
        <v>3</v>
      </c>
      <c r="E194" s="7">
        <f>YEAR(SalesData[[#This Row],[Order Date]])</f>
        <v>2024</v>
      </c>
      <c r="F194" t="s">
        <v>91</v>
      </c>
      <c r="G194" t="str">
        <f>PROPER(SalesData[[#This Row],[Product Name]])</f>
        <v>Compostable Plant Pots</v>
      </c>
      <c r="H194" t="s">
        <v>1011</v>
      </c>
      <c r="I194" t="str">
        <f>UPPER(SalesData[[#This Row],[Product Category]])</f>
        <v>GARDENING</v>
      </c>
      <c r="J194">
        <v>2</v>
      </c>
      <c r="K194">
        <v>12</v>
      </c>
      <c r="L194" s="15">
        <f>IF(SalesData[[#This Row],[Unit Price]]="",
    AVERAGEIFS(SalesData[Unit Price],
               SalesData[Product Name],SalesData[[#This Row],[Product Name]]),
    SalesData[[#This Row],[Unit Price]])</f>
        <v>12</v>
      </c>
      <c r="M194" s="15">
        <v>4.1100000000000003</v>
      </c>
      <c r="N194" s="15">
        <f>SalesData[[#This Row],[Quantity Sold]] * SalesData[[#This Row],[Cleaned Unit Price]]</f>
        <v>24</v>
      </c>
      <c r="O194" s="15">
        <f>SalesData[[#This Row],[Quantity Sold]] * SalesData[[#This Row],[Unit Cost]]</f>
        <v>8.2200000000000006</v>
      </c>
      <c r="P194" s="15">
        <f>SalesData[[#This Row],[Revenue]] - SalesData[[#This Row],[Cost]]</f>
        <v>15.78</v>
      </c>
      <c r="Q194" s="13">
        <f>IF(SalesData[[#This Row],[Revenue]]=0,0,SalesData[[#This Row],[Profit]]/SalesData[[#This Row],[Revenue]])</f>
        <v>0.65749999999999997</v>
      </c>
      <c r="R194" t="s">
        <v>1055</v>
      </c>
      <c r="S194" t="s">
        <v>1254</v>
      </c>
      <c r="T194" t="str">
        <f>PROPER(SalesData[[#This Row],[Customer Name]])</f>
        <v>Lucas Brown</v>
      </c>
      <c r="U194" t="s">
        <v>1416</v>
      </c>
      <c r="V194" t="s">
        <v>1420</v>
      </c>
    </row>
    <row r="195" spans="1:22" x14ac:dyDescent="0.25">
      <c r="A195" t="s">
        <v>1621</v>
      </c>
      <c r="B195" s="5">
        <v>45357</v>
      </c>
      <c r="C195" s="2" t="str">
        <f>TEXT(SalesData[[#This Row],[Order Date]],"mmm")</f>
        <v>Mar</v>
      </c>
      <c r="D195" s="7">
        <f>MONTH(SalesData[[#This Row],[Order Date]])</f>
        <v>3</v>
      </c>
      <c r="E195" s="7">
        <f>YEAR(SalesData[[#This Row],[Order Date]])</f>
        <v>2024</v>
      </c>
      <c r="F195" t="s">
        <v>173</v>
      </c>
      <c r="G195" t="str">
        <f>PROPER(SalesData[[#This Row],[Product Name]])</f>
        <v>Biodegradable Cleaning Cloth</v>
      </c>
      <c r="H195" t="s">
        <v>1015</v>
      </c>
      <c r="I195" t="str">
        <f>UPPER(SalesData[[#This Row],[Product Category]])</f>
        <v>CLEANING</v>
      </c>
      <c r="J195">
        <v>3</v>
      </c>
      <c r="K195">
        <v>10</v>
      </c>
      <c r="L195" s="15">
        <f>IF(SalesData[[#This Row],[Unit Price]]="",
    AVERAGEIFS(SalesData[Unit Price],
               SalesData[Product Name],SalesData[[#This Row],[Product Name]]),
    SalesData[[#This Row],[Unit Price]])</f>
        <v>10</v>
      </c>
      <c r="M195" s="15">
        <v>3.11</v>
      </c>
      <c r="N195" s="15">
        <f>SalesData[[#This Row],[Quantity Sold]] * SalesData[[#This Row],[Cleaned Unit Price]]</f>
        <v>30</v>
      </c>
      <c r="O195" s="15">
        <f>SalesData[[#This Row],[Quantity Sold]] * SalesData[[#This Row],[Unit Cost]]</f>
        <v>9.33</v>
      </c>
      <c r="P195" s="15">
        <f>SalesData[[#This Row],[Revenue]] - SalesData[[#This Row],[Cost]]</f>
        <v>20.67</v>
      </c>
      <c r="Q195" s="13">
        <f>IF(SalesData[[#This Row],[Revenue]]=0,0,SalesData[[#This Row],[Profit]]/SalesData[[#This Row],[Revenue]])</f>
        <v>0.68900000000000006</v>
      </c>
      <c r="R195" t="s">
        <v>1128</v>
      </c>
      <c r="S195" t="s">
        <v>1327</v>
      </c>
      <c r="T195" t="str">
        <f>PROPER(SalesData[[#This Row],[Customer Name]])</f>
        <v>Ethan Williams</v>
      </c>
      <c r="U195" t="s">
        <v>1414</v>
      </c>
      <c r="V195" t="s">
        <v>1420</v>
      </c>
    </row>
    <row r="196" spans="1:22" x14ac:dyDescent="0.25">
      <c r="A196" t="s">
        <v>1622</v>
      </c>
      <c r="B196" s="5">
        <v>45357</v>
      </c>
      <c r="C196" s="2" t="str">
        <f>TEXT(SalesData[[#This Row],[Order Date]],"mmm")</f>
        <v>Mar</v>
      </c>
      <c r="D196" s="7">
        <f>MONTH(SalesData[[#This Row],[Order Date]])</f>
        <v>3</v>
      </c>
      <c r="E196" s="7">
        <f>YEAR(SalesData[[#This Row],[Order Date]])</f>
        <v>2024</v>
      </c>
      <c r="F196" t="s">
        <v>685</v>
      </c>
      <c r="G196" t="str">
        <f>PROPER(SalesData[[#This Row],[Product Name]])</f>
        <v>Biodegradable Cleaning Cloth</v>
      </c>
      <c r="H196" t="s">
        <v>1015</v>
      </c>
      <c r="I196" t="str">
        <f>UPPER(SalesData[[#This Row],[Product Category]])</f>
        <v>CLEANING</v>
      </c>
      <c r="J196">
        <v>5</v>
      </c>
      <c r="K196">
        <v>10</v>
      </c>
      <c r="L196" s="15">
        <f>IF(SalesData[[#This Row],[Unit Price]]="",
    AVERAGEIFS(SalesData[Unit Price],
               SalesData[Product Name],SalesData[[#This Row],[Product Name]]),
    SalesData[[#This Row],[Unit Price]])</f>
        <v>10</v>
      </c>
      <c r="M196" s="15">
        <v>2.19</v>
      </c>
      <c r="N196" s="15">
        <f>SalesData[[#This Row],[Quantity Sold]] * SalesData[[#This Row],[Cleaned Unit Price]]</f>
        <v>50</v>
      </c>
      <c r="O196" s="15">
        <f>SalesData[[#This Row],[Quantity Sold]] * SalesData[[#This Row],[Unit Cost]]</f>
        <v>10.95</v>
      </c>
      <c r="P196" s="15">
        <f>SalesData[[#This Row],[Revenue]] - SalesData[[#This Row],[Cost]]</f>
        <v>39.049999999999997</v>
      </c>
      <c r="Q196" s="13">
        <f>IF(SalesData[[#This Row],[Revenue]]=0,0,SalesData[[#This Row],[Profit]]/SalesData[[#This Row],[Revenue]])</f>
        <v>0.78099999999999992</v>
      </c>
      <c r="R196" t="s">
        <v>1180</v>
      </c>
      <c r="S196" t="s">
        <v>1379</v>
      </c>
      <c r="T196" t="str">
        <f>PROPER(SalesData[[#This Row],[Customer Name]])</f>
        <v>Amelia Miller</v>
      </c>
      <c r="U196" t="s">
        <v>1415</v>
      </c>
      <c r="V196" t="s">
        <v>1422</v>
      </c>
    </row>
    <row r="197" spans="1:22" x14ac:dyDescent="0.25">
      <c r="A197" t="s">
        <v>1623</v>
      </c>
      <c r="B197" s="5">
        <v>45357</v>
      </c>
      <c r="C197" s="2" t="str">
        <f>TEXT(SalesData[[#This Row],[Order Date]],"mmm")</f>
        <v>Mar</v>
      </c>
      <c r="D197" s="7">
        <f>MONTH(SalesData[[#This Row],[Order Date]])</f>
        <v>3</v>
      </c>
      <c r="E197" s="7">
        <f>YEAR(SalesData[[#This Row],[Order Date]])</f>
        <v>2024</v>
      </c>
      <c r="F197" t="s">
        <v>690</v>
      </c>
      <c r="G197" t="str">
        <f>PROPER(SalesData[[#This Row],[Product Name]])</f>
        <v>Compostable Plant Pots</v>
      </c>
      <c r="H197" t="s">
        <v>1011</v>
      </c>
      <c r="I197" t="str">
        <f>UPPER(SalesData[[#This Row],[Product Category]])</f>
        <v>GARDENING</v>
      </c>
      <c r="J197">
        <v>7</v>
      </c>
      <c r="K197">
        <v>12</v>
      </c>
      <c r="L197" s="15">
        <f>IF(SalesData[[#This Row],[Unit Price]]="",
    AVERAGEIFS(SalesData[Unit Price],
               SalesData[Product Name],SalesData[[#This Row],[Product Name]]),
    SalesData[[#This Row],[Unit Price]])</f>
        <v>12</v>
      </c>
      <c r="M197" s="15">
        <v>3.6</v>
      </c>
      <c r="N197" s="15">
        <f>SalesData[[#This Row],[Quantity Sold]] * SalesData[[#This Row],[Cleaned Unit Price]]</f>
        <v>84</v>
      </c>
      <c r="O197" s="15">
        <f>SalesData[[#This Row],[Quantity Sold]] * SalesData[[#This Row],[Unit Cost]]</f>
        <v>25.2</v>
      </c>
      <c r="P197" s="15">
        <f>SalesData[[#This Row],[Revenue]] - SalesData[[#This Row],[Cost]]</f>
        <v>58.8</v>
      </c>
      <c r="Q197" s="13">
        <f>IF(SalesData[[#This Row],[Revenue]]=0,0,SalesData[[#This Row],[Profit]]/SalesData[[#This Row],[Revenue]])</f>
        <v>0.7</v>
      </c>
      <c r="R197" t="s">
        <v>1030</v>
      </c>
      <c r="S197" t="s">
        <v>1229</v>
      </c>
      <c r="T197" t="str">
        <f>PROPER(SalesData[[#This Row],[Customer Name]])</f>
        <v>Olivia Garcia</v>
      </c>
      <c r="U197" t="s">
        <v>1416</v>
      </c>
      <c r="V197" t="s">
        <v>1420</v>
      </c>
    </row>
    <row r="198" spans="1:22" x14ac:dyDescent="0.25">
      <c r="A198" t="s">
        <v>1624</v>
      </c>
      <c r="B198" s="5">
        <v>45357</v>
      </c>
      <c r="C198" s="2" t="str">
        <f>TEXT(SalesData[[#This Row],[Order Date]],"mmm")</f>
        <v>Mar</v>
      </c>
      <c r="D198" s="7">
        <f>MONTH(SalesData[[#This Row],[Order Date]])</f>
        <v>3</v>
      </c>
      <c r="E198" s="7">
        <f>YEAR(SalesData[[#This Row],[Order Date]])</f>
        <v>2024</v>
      </c>
      <c r="F198" t="s">
        <v>827</v>
      </c>
      <c r="G198" t="str">
        <f>PROPER(SalesData[[#This Row],[Product Name]])</f>
        <v>Biodegradable Cleaning Cloth</v>
      </c>
      <c r="H198" t="s">
        <v>1015</v>
      </c>
      <c r="I198" t="str">
        <f>UPPER(SalesData[[#This Row],[Product Category]])</f>
        <v>CLEANING</v>
      </c>
      <c r="J198">
        <v>2</v>
      </c>
      <c r="K198">
        <v>10</v>
      </c>
      <c r="L198" s="15">
        <f>IF(SalesData[[#This Row],[Unit Price]]="",
    AVERAGEIFS(SalesData[Unit Price],
               SalesData[Product Name],SalesData[[#This Row],[Product Name]]),
    SalesData[[#This Row],[Unit Price]])</f>
        <v>10</v>
      </c>
      <c r="M198" s="15">
        <v>3.92</v>
      </c>
      <c r="N198" s="15">
        <f>SalesData[[#This Row],[Quantity Sold]] * SalesData[[#This Row],[Cleaned Unit Price]]</f>
        <v>20</v>
      </c>
      <c r="O198" s="15">
        <f>SalesData[[#This Row],[Quantity Sold]] * SalesData[[#This Row],[Unit Cost]]</f>
        <v>7.84</v>
      </c>
      <c r="P198" s="15">
        <f>SalesData[[#This Row],[Revenue]] - SalesData[[#This Row],[Cost]]</f>
        <v>12.16</v>
      </c>
      <c r="Q198" s="13">
        <f>IF(SalesData[[#This Row],[Revenue]]=0,0,SalesData[[#This Row],[Profit]]/SalesData[[#This Row],[Revenue]])</f>
        <v>0.60799999999999998</v>
      </c>
      <c r="R198" t="s">
        <v>1126</v>
      </c>
      <c r="S198" t="s">
        <v>1325</v>
      </c>
      <c r="T198" t="str">
        <f>PROPER(SalesData[[#This Row],[Customer Name]])</f>
        <v>Ethan Martinez</v>
      </c>
      <c r="U198" t="s">
        <v>1414</v>
      </c>
      <c r="V198" t="s">
        <v>1427</v>
      </c>
    </row>
    <row r="199" spans="1:22" x14ac:dyDescent="0.25">
      <c r="A199" t="s">
        <v>1625</v>
      </c>
      <c r="B199" s="5">
        <v>45357</v>
      </c>
      <c r="C199" s="2" t="str">
        <f>TEXT(SalesData[[#This Row],[Order Date]],"mmm")</f>
        <v>Mar</v>
      </c>
      <c r="D199" s="7">
        <f>MONTH(SalesData[[#This Row],[Order Date]])</f>
        <v>3</v>
      </c>
      <c r="E199" s="7">
        <f>YEAR(SalesData[[#This Row],[Order Date]])</f>
        <v>2024</v>
      </c>
      <c r="F199" t="s">
        <v>974</v>
      </c>
      <c r="G199" t="str">
        <f>PROPER(SalesData[[#This Row],[Product Name]])</f>
        <v>Eco Canvas Tote Bag</v>
      </c>
      <c r="H199" t="s">
        <v>1013</v>
      </c>
      <c r="I199" t="str">
        <f>UPPER(SalesData[[#This Row],[Product Category]])</f>
        <v>BAGS</v>
      </c>
      <c r="J199">
        <v>10</v>
      </c>
      <c r="K199">
        <v>25</v>
      </c>
      <c r="L199" s="15">
        <f>IF(SalesData[[#This Row],[Unit Price]]="",
    AVERAGEIFS(SalesData[Unit Price],
               SalesData[Product Name],SalesData[[#This Row],[Product Name]]),
    SalesData[[#This Row],[Unit Price]])</f>
        <v>25</v>
      </c>
      <c r="M199" s="15">
        <v>6.02</v>
      </c>
      <c r="N199" s="15">
        <f>SalesData[[#This Row],[Quantity Sold]] * SalesData[[#This Row],[Cleaned Unit Price]]</f>
        <v>250</v>
      </c>
      <c r="O199" s="15">
        <f>SalesData[[#This Row],[Quantity Sold]] * SalesData[[#This Row],[Unit Cost]]</f>
        <v>60.199999999999996</v>
      </c>
      <c r="P199" s="15">
        <f>SalesData[[#This Row],[Revenue]] - SalesData[[#This Row],[Cost]]</f>
        <v>189.8</v>
      </c>
      <c r="Q199" s="13">
        <f>IF(SalesData[[#This Row],[Revenue]]=0,0,SalesData[[#This Row],[Profit]]/SalesData[[#This Row],[Revenue]])</f>
        <v>0.7592000000000001</v>
      </c>
      <c r="R199" t="s">
        <v>1193</v>
      </c>
      <c r="S199" t="s">
        <v>1392</v>
      </c>
      <c r="T199" t="str">
        <f>PROPER(SalesData[[#This Row],[Customer Name]])</f>
        <v>Harper Davis</v>
      </c>
      <c r="U199" t="s">
        <v>1417</v>
      </c>
      <c r="V199" t="s">
        <v>1424</v>
      </c>
    </row>
    <row r="200" spans="1:22" x14ac:dyDescent="0.25">
      <c r="A200" t="s">
        <v>1626</v>
      </c>
      <c r="B200" s="5">
        <v>45358</v>
      </c>
      <c r="C200" s="2" t="str">
        <f>TEXT(SalesData[[#This Row],[Order Date]],"mmm")</f>
        <v>Mar</v>
      </c>
      <c r="D200" s="7">
        <f>MONTH(SalesData[[#This Row],[Order Date]])</f>
        <v>3</v>
      </c>
      <c r="E200" s="7">
        <f>YEAR(SalesData[[#This Row],[Order Date]])</f>
        <v>2024</v>
      </c>
      <c r="F200" t="s">
        <v>520</v>
      </c>
      <c r="G200" t="str">
        <f>PROPER(SalesData[[#This Row],[Product Name]])</f>
        <v>Eco Canvas Tote Bag</v>
      </c>
      <c r="H200" t="s">
        <v>1013</v>
      </c>
      <c r="I200" t="str">
        <f>UPPER(SalesData[[#This Row],[Product Category]])</f>
        <v>BAGS</v>
      </c>
      <c r="J200">
        <v>2</v>
      </c>
      <c r="L200" s="15">
        <f>IF(SalesData[[#This Row],[Unit Price]]="",
    AVERAGEIFS(SalesData[Unit Price],
               SalesData[Product Name],SalesData[[#This Row],[Product Name]]),
    SalesData[[#This Row],[Unit Price]])</f>
        <v>25</v>
      </c>
      <c r="M200" s="15">
        <v>5.62</v>
      </c>
      <c r="N200" s="15">
        <f>SalesData[[#This Row],[Quantity Sold]] * SalesData[[#This Row],[Cleaned Unit Price]]</f>
        <v>50</v>
      </c>
      <c r="O200" s="15">
        <f>SalesData[[#This Row],[Quantity Sold]] * SalesData[[#This Row],[Unit Cost]]</f>
        <v>11.24</v>
      </c>
      <c r="P200" s="15">
        <f>SalesData[[#This Row],[Revenue]] - SalesData[[#This Row],[Cost]]</f>
        <v>38.76</v>
      </c>
      <c r="Q200" s="13">
        <f>IF(SalesData[[#This Row],[Revenue]]=0,0,SalesData[[#This Row],[Profit]]/SalesData[[#This Row],[Revenue]])</f>
        <v>0.7752</v>
      </c>
      <c r="R200" t="s">
        <v>1028</v>
      </c>
      <c r="S200" t="s">
        <v>1227</v>
      </c>
      <c r="T200" t="str">
        <f>PROPER(SalesData[[#This Row],[Customer Name]])</f>
        <v>Liam Brown</v>
      </c>
      <c r="U200" t="s">
        <v>1416</v>
      </c>
      <c r="V200" t="s">
        <v>1418</v>
      </c>
    </row>
    <row r="201" spans="1:22" x14ac:dyDescent="0.25">
      <c r="A201" t="s">
        <v>1627</v>
      </c>
      <c r="B201" s="5">
        <v>45358</v>
      </c>
      <c r="C201" s="2" t="str">
        <f>TEXT(SalesData[[#This Row],[Order Date]],"mmm")</f>
        <v>Mar</v>
      </c>
      <c r="D201" s="7">
        <f>MONTH(SalesData[[#This Row],[Order Date]])</f>
        <v>3</v>
      </c>
      <c r="E201" s="7">
        <f>YEAR(SalesData[[#This Row],[Order Date]])</f>
        <v>2024</v>
      </c>
      <c r="F201" t="s">
        <v>817</v>
      </c>
      <c r="G201" t="str">
        <f>PROPER(SalesData[[#This Row],[Product Name]])</f>
        <v>Compostable Plant Pots</v>
      </c>
      <c r="H201" t="s">
        <v>1011</v>
      </c>
      <c r="I201" t="str">
        <f>UPPER(SalesData[[#This Row],[Product Category]])</f>
        <v>GARDENING</v>
      </c>
      <c r="J201">
        <v>7</v>
      </c>
      <c r="K201">
        <v>12</v>
      </c>
      <c r="L201" s="15">
        <f>IF(SalesData[[#This Row],[Unit Price]]="",
    AVERAGEIFS(SalesData[Unit Price],
               SalesData[Product Name],SalesData[[#This Row],[Product Name]]),
    SalesData[[#This Row],[Unit Price]])</f>
        <v>12</v>
      </c>
      <c r="M201" s="15">
        <v>4.74</v>
      </c>
      <c r="N201" s="15">
        <f>SalesData[[#This Row],[Quantity Sold]] * SalesData[[#This Row],[Cleaned Unit Price]]</f>
        <v>84</v>
      </c>
      <c r="O201" s="15">
        <f>SalesData[[#This Row],[Quantity Sold]] * SalesData[[#This Row],[Unit Cost]]</f>
        <v>33.18</v>
      </c>
      <c r="P201" s="15">
        <f>SalesData[[#This Row],[Revenue]] - SalesData[[#This Row],[Cost]]</f>
        <v>50.82</v>
      </c>
      <c r="Q201" s="13">
        <f>IF(SalesData[[#This Row],[Revenue]]=0,0,SalesData[[#This Row],[Profit]]/SalesData[[#This Row],[Revenue]])</f>
        <v>0.60499999999999998</v>
      </c>
      <c r="R201" t="s">
        <v>1093</v>
      </c>
      <c r="S201" t="s">
        <v>1292</v>
      </c>
      <c r="T201" t="str">
        <f>PROPER(SalesData[[#This Row],[Customer Name]])</f>
        <v>Ava Miller</v>
      </c>
      <c r="U201" t="s">
        <v>1416</v>
      </c>
      <c r="V201" t="s">
        <v>1427</v>
      </c>
    </row>
    <row r="202" spans="1:22" x14ac:dyDescent="0.25">
      <c r="A202" t="s">
        <v>1628</v>
      </c>
      <c r="B202" s="5">
        <v>45359</v>
      </c>
      <c r="C202" s="2" t="str">
        <f>TEXT(SalesData[[#This Row],[Order Date]],"mmm")</f>
        <v>Mar</v>
      </c>
      <c r="D202" s="7">
        <f>MONTH(SalesData[[#This Row],[Order Date]])</f>
        <v>3</v>
      </c>
      <c r="E202" s="7">
        <f>YEAR(SalesData[[#This Row],[Order Date]])</f>
        <v>2024</v>
      </c>
      <c r="F202" t="s">
        <v>29</v>
      </c>
      <c r="G202" t="str">
        <f>PROPER(SalesData[[#This Row],[Product Name]])</f>
        <v>Eco Canvas Tote Bag</v>
      </c>
      <c r="H202" t="s">
        <v>1013</v>
      </c>
      <c r="I202" t="str">
        <f>UPPER(SalesData[[#This Row],[Product Category]])</f>
        <v>BAGS</v>
      </c>
      <c r="J202">
        <v>3</v>
      </c>
      <c r="K202">
        <v>25</v>
      </c>
      <c r="L202" s="15">
        <f>IF(SalesData[[#This Row],[Unit Price]]="",
    AVERAGEIFS(SalesData[Unit Price],
               SalesData[Product Name],SalesData[[#This Row],[Product Name]]),
    SalesData[[#This Row],[Unit Price]])</f>
        <v>25</v>
      </c>
      <c r="M202" s="15">
        <v>8.43</v>
      </c>
      <c r="N202" s="15">
        <f>SalesData[[#This Row],[Quantity Sold]] * SalesData[[#This Row],[Cleaned Unit Price]]</f>
        <v>75</v>
      </c>
      <c r="O202" s="15">
        <f>SalesData[[#This Row],[Quantity Sold]] * SalesData[[#This Row],[Unit Cost]]</f>
        <v>25.29</v>
      </c>
      <c r="P202" s="15">
        <f>SalesData[[#This Row],[Revenue]] - SalesData[[#This Row],[Cost]]</f>
        <v>49.71</v>
      </c>
      <c r="Q202" s="13">
        <f>IF(SalesData[[#This Row],[Revenue]]=0,0,SalesData[[#This Row],[Profit]]/SalesData[[#This Row],[Revenue]])</f>
        <v>0.66280000000000006</v>
      </c>
      <c r="R202" t="s">
        <v>1032</v>
      </c>
      <c r="S202" t="s">
        <v>1231</v>
      </c>
      <c r="T202" t="str">
        <f>PROPER(SalesData[[#This Row],[Customer Name]])</f>
        <v>Sophia Garcia</v>
      </c>
      <c r="U202" t="s">
        <v>1416</v>
      </c>
      <c r="V202" t="s">
        <v>1423</v>
      </c>
    </row>
    <row r="203" spans="1:22" x14ac:dyDescent="0.25">
      <c r="A203" t="s">
        <v>1629</v>
      </c>
      <c r="B203" s="5">
        <v>45359</v>
      </c>
      <c r="C203" s="2" t="str">
        <f>TEXT(SalesData[[#This Row],[Order Date]],"mmm")</f>
        <v>Mar</v>
      </c>
      <c r="D203" s="7">
        <f>MONTH(SalesData[[#This Row],[Order Date]])</f>
        <v>3</v>
      </c>
      <c r="E203" s="7">
        <f>YEAR(SalesData[[#This Row],[Order Date]])</f>
        <v>2024</v>
      </c>
      <c r="F203" t="s">
        <v>113</v>
      </c>
      <c r="G203" t="str">
        <f>PROPER(SalesData[[#This Row],[Product Name]])</f>
        <v>Solar Led Lantern</v>
      </c>
      <c r="H203" t="s">
        <v>1012</v>
      </c>
      <c r="I203" t="str">
        <f>UPPER(SalesData[[#This Row],[Product Category]])</f>
        <v>LIGHTING</v>
      </c>
      <c r="J203">
        <v>10</v>
      </c>
      <c r="K203">
        <v>40</v>
      </c>
      <c r="L203" s="15">
        <f>IF(SalesData[[#This Row],[Unit Price]]="",
    AVERAGEIFS(SalesData[Unit Price],
               SalesData[Product Name],SalesData[[#This Row],[Product Name]]),
    SalesData[[#This Row],[Unit Price]])</f>
        <v>40</v>
      </c>
      <c r="M203" s="15">
        <v>14.31</v>
      </c>
      <c r="N203" s="15">
        <f>SalesData[[#This Row],[Quantity Sold]] * SalesData[[#This Row],[Cleaned Unit Price]]</f>
        <v>400</v>
      </c>
      <c r="O203" s="15">
        <f>SalesData[[#This Row],[Quantity Sold]] * SalesData[[#This Row],[Unit Cost]]</f>
        <v>143.1</v>
      </c>
      <c r="P203" s="15">
        <f>SalesData[[#This Row],[Revenue]] - SalesData[[#This Row],[Cost]]</f>
        <v>256.89999999999998</v>
      </c>
      <c r="Q203" s="13">
        <f>IF(SalesData[[#This Row],[Revenue]]=0,0,SalesData[[#This Row],[Profit]]/SalesData[[#This Row],[Revenue]])</f>
        <v>0.64224999999999999</v>
      </c>
      <c r="R203" t="s">
        <v>1094</v>
      </c>
      <c r="S203" t="s">
        <v>1293</v>
      </c>
      <c r="T203" t="str">
        <f>PROPER(SalesData[[#This Row],[Customer Name]])</f>
        <v>Sophia Davis</v>
      </c>
      <c r="U203" t="s">
        <v>1414</v>
      </c>
      <c r="V203" t="s">
        <v>1419</v>
      </c>
    </row>
    <row r="204" spans="1:22" x14ac:dyDescent="0.25">
      <c r="A204" t="s">
        <v>1630</v>
      </c>
      <c r="B204" s="5">
        <v>45359</v>
      </c>
      <c r="C204" s="2" t="str">
        <f>TEXT(SalesData[[#This Row],[Order Date]],"mmm")</f>
        <v>Mar</v>
      </c>
      <c r="D204" s="7">
        <f>MONTH(SalesData[[#This Row],[Order Date]])</f>
        <v>3</v>
      </c>
      <c r="E204" s="7">
        <f>YEAR(SalesData[[#This Row],[Order Date]])</f>
        <v>2024</v>
      </c>
      <c r="F204" t="s">
        <v>321</v>
      </c>
      <c r="G204" t="str">
        <f>PROPER(SalesData[[#This Row],[Product Name]])</f>
        <v>Biodegradable Cleaning Cloth</v>
      </c>
      <c r="H204" t="s">
        <v>1015</v>
      </c>
      <c r="I204" t="str">
        <f>UPPER(SalesData[[#This Row],[Product Category]])</f>
        <v>CLEANING</v>
      </c>
      <c r="J204">
        <v>9</v>
      </c>
      <c r="K204">
        <v>10</v>
      </c>
      <c r="L204" s="15">
        <f>IF(SalesData[[#This Row],[Unit Price]]="",
    AVERAGEIFS(SalesData[Unit Price],
               SalesData[Product Name],SalesData[[#This Row],[Product Name]]),
    SalesData[[#This Row],[Unit Price]])</f>
        <v>10</v>
      </c>
      <c r="M204" s="15">
        <v>2.67</v>
      </c>
      <c r="N204" s="15">
        <f>SalesData[[#This Row],[Quantity Sold]] * SalesData[[#This Row],[Cleaned Unit Price]]</f>
        <v>90</v>
      </c>
      <c r="O204" s="15">
        <f>SalesData[[#This Row],[Quantity Sold]] * SalesData[[#This Row],[Unit Cost]]</f>
        <v>24.03</v>
      </c>
      <c r="P204" s="15">
        <f>SalesData[[#This Row],[Revenue]] - SalesData[[#This Row],[Cost]]</f>
        <v>65.97</v>
      </c>
      <c r="Q204" s="13">
        <f>IF(SalesData[[#This Row],[Revenue]]=0,0,SalesData[[#This Row],[Profit]]/SalesData[[#This Row],[Revenue]])</f>
        <v>0.73299999999999998</v>
      </c>
      <c r="R204" t="s">
        <v>1097</v>
      </c>
      <c r="S204" t="s">
        <v>1296</v>
      </c>
      <c r="T204" t="str">
        <f>PROPER(SalesData[[#This Row],[Customer Name]])</f>
        <v>Elijah Brown</v>
      </c>
      <c r="U204" t="s">
        <v>1416</v>
      </c>
      <c r="V204" t="s">
        <v>1426</v>
      </c>
    </row>
    <row r="205" spans="1:22" x14ac:dyDescent="0.25">
      <c r="A205" t="s">
        <v>1631</v>
      </c>
      <c r="B205" s="5">
        <v>45359</v>
      </c>
      <c r="C205" s="2" t="str">
        <f>TEXT(SalesData[[#This Row],[Order Date]],"mmm")</f>
        <v>Mar</v>
      </c>
      <c r="D205" s="7">
        <f>MONTH(SalesData[[#This Row],[Order Date]])</f>
        <v>3</v>
      </c>
      <c r="E205" s="7">
        <f>YEAR(SalesData[[#This Row],[Order Date]])</f>
        <v>2024</v>
      </c>
      <c r="F205" t="s">
        <v>506</v>
      </c>
      <c r="G205" t="str">
        <f>PROPER(SalesData[[#This Row],[Product Name]])</f>
        <v>Compostable Plant Pots</v>
      </c>
      <c r="H205" t="s">
        <v>1011</v>
      </c>
      <c r="I205" t="str">
        <f>UPPER(SalesData[[#This Row],[Product Category]])</f>
        <v>GARDENING</v>
      </c>
      <c r="J205">
        <v>4</v>
      </c>
      <c r="K205">
        <v>12</v>
      </c>
      <c r="L205" s="15">
        <f>IF(SalesData[[#This Row],[Unit Price]]="",
    AVERAGEIFS(SalesData[Unit Price],
               SalesData[Product Name],SalesData[[#This Row],[Product Name]]),
    SalesData[[#This Row],[Unit Price]])</f>
        <v>12</v>
      </c>
      <c r="M205" s="15">
        <v>2.87</v>
      </c>
      <c r="N205" s="15">
        <f>SalesData[[#This Row],[Quantity Sold]] * SalesData[[#This Row],[Cleaned Unit Price]]</f>
        <v>48</v>
      </c>
      <c r="O205" s="15">
        <f>SalesData[[#This Row],[Quantity Sold]] * SalesData[[#This Row],[Unit Cost]]</f>
        <v>11.48</v>
      </c>
      <c r="P205" s="15">
        <f>SalesData[[#This Row],[Revenue]] - SalesData[[#This Row],[Cost]]</f>
        <v>36.519999999999996</v>
      </c>
      <c r="Q205" s="13">
        <f>IF(SalesData[[#This Row],[Revenue]]=0,0,SalesData[[#This Row],[Profit]]/SalesData[[#This Row],[Revenue]])</f>
        <v>0.76083333333333325</v>
      </c>
      <c r="R205" t="s">
        <v>1154</v>
      </c>
      <c r="S205" t="s">
        <v>1353</v>
      </c>
      <c r="T205" t="str">
        <f>PROPER(SalesData[[#This Row],[Customer Name]])</f>
        <v>Olivia Miller</v>
      </c>
      <c r="U205" t="s">
        <v>1414</v>
      </c>
      <c r="V205" t="s">
        <v>1418</v>
      </c>
    </row>
    <row r="206" spans="1:22" x14ac:dyDescent="0.25">
      <c r="A206" t="s">
        <v>1632</v>
      </c>
      <c r="B206" s="5">
        <v>45359</v>
      </c>
      <c r="C206" s="2" t="str">
        <f>TEXT(SalesData[[#This Row],[Order Date]],"mmm")</f>
        <v>Mar</v>
      </c>
      <c r="D206" s="7">
        <f>MONTH(SalesData[[#This Row],[Order Date]])</f>
        <v>3</v>
      </c>
      <c r="E206" s="7">
        <f>YEAR(SalesData[[#This Row],[Order Date]])</f>
        <v>2024</v>
      </c>
      <c r="F206" t="s">
        <v>578</v>
      </c>
      <c r="G206" t="str">
        <f>PROPER(SalesData[[#This Row],[Product Name]])</f>
        <v>Eco Canvas Tote Bag</v>
      </c>
      <c r="H206" t="s">
        <v>1013</v>
      </c>
      <c r="I206" t="str">
        <f>UPPER(SalesData[[#This Row],[Product Category]])</f>
        <v>BAGS</v>
      </c>
      <c r="J206">
        <v>10</v>
      </c>
      <c r="L206" s="15">
        <f>IF(SalesData[[#This Row],[Unit Price]]="",
    AVERAGEIFS(SalesData[Unit Price],
               SalesData[Product Name],SalesData[[#This Row],[Product Name]]),
    SalesData[[#This Row],[Unit Price]])</f>
        <v>25</v>
      </c>
      <c r="M206" s="15">
        <v>8.3699999999999992</v>
      </c>
      <c r="N206" s="15">
        <f>SalesData[[#This Row],[Quantity Sold]] * SalesData[[#This Row],[Cleaned Unit Price]]</f>
        <v>250</v>
      </c>
      <c r="O206" s="15">
        <f>SalesData[[#This Row],[Quantity Sold]] * SalesData[[#This Row],[Unit Cost]]</f>
        <v>83.699999999999989</v>
      </c>
      <c r="P206" s="15">
        <f>SalesData[[#This Row],[Revenue]] - SalesData[[#This Row],[Cost]]</f>
        <v>166.3</v>
      </c>
      <c r="Q206" s="13">
        <f>IF(SalesData[[#This Row],[Revenue]]=0,0,SalesData[[#This Row],[Profit]]/SalesData[[#This Row],[Revenue]])</f>
        <v>0.66520000000000001</v>
      </c>
      <c r="R206" t="s">
        <v>1168</v>
      </c>
      <c r="S206" t="s">
        <v>1367</v>
      </c>
      <c r="T206" t="str">
        <f>PROPER(SalesData[[#This Row],[Customer Name]])</f>
        <v>Harper Miller</v>
      </c>
      <c r="U206" t="s">
        <v>1414</v>
      </c>
      <c r="V206" t="s">
        <v>1421</v>
      </c>
    </row>
    <row r="207" spans="1:22" x14ac:dyDescent="0.25">
      <c r="A207" t="s">
        <v>1633</v>
      </c>
      <c r="B207" s="5">
        <v>45359</v>
      </c>
      <c r="C207" s="2" t="str">
        <f>TEXT(SalesData[[#This Row],[Order Date]],"mmm")</f>
        <v>Mar</v>
      </c>
      <c r="D207" s="7">
        <f>MONTH(SalesData[[#This Row],[Order Date]])</f>
        <v>3</v>
      </c>
      <c r="E207" s="7">
        <f>YEAR(SalesData[[#This Row],[Order Date]])</f>
        <v>2024</v>
      </c>
      <c r="F207" t="s">
        <v>747</v>
      </c>
      <c r="G207" t="str">
        <f>PROPER(SalesData[[#This Row],[Product Name]])</f>
        <v>Solar Led Lantern</v>
      </c>
      <c r="H207" t="s">
        <v>1012</v>
      </c>
      <c r="I207" t="str">
        <f>UPPER(SalesData[[#This Row],[Product Category]])</f>
        <v>LIGHTING</v>
      </c>
      <c r="J207">
        <v>4</v>
      </c>
      <c r="K207">
        <v>40</v>
      </c>
      <c r="L207" s="15">
        <f>IF(SalesData[[#This Row],[Unit Price]]="",
    AVERAGEIFS(SalesData[Unit Price],
               SalesData[Product Name],SalesData[[#This Row],[Product Name]]),
    SalesData[[#This Row],[Unit Price]])</f>
        <v>40</v>
      </c>
      <c r="M207" s="15">
        <v>12.92</v>
      </c>
      <c r="N207" s="15">
        <f>SalesData[[#This Row],[Quantity Sold]] * SalesData[[#This Row],[Cleaned Unit Price]]</f>
        <v>160</v>
      </c>
      <c r="O207" s="15">
        <f>SalesData[[#This Row],[Quantity Sold]] * SalesData[[#This Row],[Unit Cost]]</f>
        <v>51.68</v>
      </c>
      <c r="P207" s="15">
        <f>SalesData[[#This Row],[Revenue]] - SalesData[[#This Row],[Cost]]</f>
        <v>108.32</v>
      </c>
      <c r="Q207" s="13">
        <f>IF(SalesData[[#This Row],[Revenue]]=0,0,SalesData[[#This Row],[Profit]]/SalesData[[#This Row],[Revenue]])</f>
        <v>0.67699999999999994</v>
      </c>
      <c r="R207" t="s">
        <v>1036</v>
      </c>
      <c r="S207" t="s">
        <v>1235</v>
      </c>
      <c r="T207" t="str">
        <f>PROPER(SalesData[[#This Row],[Customer Name]])</f>
        <v>Amelia Johnson</v>
      </c>
      <c r="U207" t="s">
        <v>1414</v>
      </c>
      <c r="V207" t="s">
        <v>1423</v>
      </c>
    </row>
    <row r="208" spans="1:22" x14ac:dyDescent="0.25">
      <c r="A208" t="s">
        <v>1634</v>
      </c>
      <c r="B208" s="5">
        <v>45360</v>
      </c>
      <c r="C208" s="2" t="str">
        <f>TEXT(SalesData[[#This Row],[Order Date]],"mmm")</f>
        <v>Mar</v>
      </c>
      <c r="D208" s="7">
        <f>MONTH(SalesData[[#This Row],[Order Date]])</f>
        <v>3</v>
      </c>
      <c r="E208" s="7">
        <f>YEAR(SalesData[[#This Row],[Order Date]])</f>
        <v>2024</v>
      </c>
      <c r="F208" t="s">
        <v>210</v>
      </c>
      <c r="G208" t="str">
        <f>PROPER(SalesData[[#This Row],[Product Name]])</f>
        <v>Biodegradable Cleaning Cloth</v>
      </c>
      <c r="H208" t="s">
        <v>1015</v>
      </c>
      <c r="I208" t="str">
        <f>UPPER(SalesData[[#This Row],[Product Category]])</f>
        <v>CLEANING</v>
      </c>
      <c r="J208">
        <v>6</v>
      </c>
      <c r="K208">
        <v>10</v>
      </c>
      <c r="L208" s="15">
        <f>IF(SalesData[[#This Row],[Unit Price]]="",
    AVERAGEIFS(SalesData[Unit Price],
               SalesData[Product Name],SalesData[[#This Row],[Product Name]]),
    SalesData[[#This Row],[Unit Price]])</f>
        <v>10</v>
      </c>
      <c r="M208" s="15">
        <v>3.16</v>
      </c>
      <c r="N208" s="15">
        <f>SalesData[[#This Row],[Quantity Sold]] * SalesData[[#This Row],[Cleaned Unit Price]]</f>
        <v>60</v>
      </c>
      <c r="O208" s="15">
        <f>SalesData[[#This Row],[Quantity Sold]] * SalesData[[#This Row],[Unit Cost]]</f>
        <v>18.96</v>
      </c>
      <c r="P208" s="15">
        <f>SalesData[[#This Row],[Revenue]] - SalesData[[#This Row],[Cost]]</f>
        <v>41.04</v>
      </c>
      <c r="Q208" s="13">
        <f>IF(SalesData[[#This Row],[Revenue]]=0,0,SalesData[[#This Row],[Profit]]/SalesData[[#This Row],[Revenue]])</f>
        <v>0.68399999999999994</v>
      </c>
      <c r="R208" t="s">
        <v>1143</v>
      </c>
      <c r="S208" t="s">
        <v>1342</v>
      </c>
      <c r="T208" t="str">
        <f>PROPER(SalesData[[#This Row],[Customer Name]])</f>
        <v>Ava Smith</v>
      </c>
      <c r="U208" t="s">
        <v>1414</v>
      </c>
      <c r="V208" t="s">
        <v>1426</v>
      </c>
    </row>
    <row r="209" spans="1:22" x14ac:dyDescent="0.25">
      <c r="A209" t="s">
        <v>1635</v>
      </c>
      <c r="B209" s="5">
        <v>45360</v>
      </c>
      <c r="C209" s="2" t="str">
        <f>TEXT(SalesData[[#This Row],[Order Date]],"mmm")</f>
        <v>Mar</v>
      </c>
      <c r="D209" s="7">
        <f>MONTH(SalesData[[#This Row],[Order Date]])</f>
        <v>3</v>
      </c>
      <c r="E209" s="7">
        <f>YEAR(SalesData[[#This Row],[Order Date]])</f>
        <v>2024</v>
      </c>
      <c r="F209" t="s">
        <v>398</v>
      </c>
      <c r="G209" t="str">
        <f>PROPER(SalesData[[#This Row],[Product Name]])</f>
        <v>Biodegradable Cleaning Cloth</v>
      </c>
      <c r="H209" t="s">
        <v>1015</v>
      </c>
      <c r="I209" t="str">
        <f>UPPER(SalesData[[#This Row],[Product Category]])</f>
        <v>CLEANING</v>
      </c>
      <c r="J209">
        <v>9</v>
      </c>
      <c r="K209">
        <v>10</v>
      </c>
      <c r="L209" s="15">
        <f>IF(SalesData[[#This Row],[Unit Price]]="",
    AVERAGEIFS(SalesData[Unit Price],
               SalesData[Product Name],SalesData[[#This Row],[Product Name]]),
    SalesData[[#This Row],[Unit Price]])</f>
        <v>10</v>
      </c>
      <c r="M209" s="15">
        <v>2.2999999999999998</v>
      </c>
      <c r="N209" s="15">
        <f>SalesData[[#This Row],[Quantity Sold]] * SalesData[[#This Row],[Cleaned Unit Price]]</f>
        <v>90</v>
      </c>
      <c r="O209" s="15">
        <f>SalesData[[#This Row],[Quantity Sold]] * SalesData[[#This Row],[Unit Cost]]</f>
        <v>20.7</v>
      </c>
      <c r="P209" s="15">
        <f>SalesData[[#This Row],[Revenue]] - SalesData[[#This Row],[Cost]]</f>
        <v>69.3</v>
      </c>
      <c r="Q209" s="13">
        <f>IF(SalesData[[#This Row],[Revenue]]=0,0,SalesData[[#This Row],[Profit]]/SalesData[[#This Row],[Revenue]])</f>
        <v>0.77</v>
      </c>
      <c r="R209" t="s">
        <v>1108</v>
      </c>
      <c r="S209" t="s">
        <v>1307</v>
      </c>
      <c r="T209" t="str">
        <f>PROPER(SalesData[[#This Row],[Customer Name]])</f>
        <v>Aiden Rodriguez</v>
      </c>
      <c r="U209" t="s">
        <v>1414</v>
      </c>
      <c r="V209" t="s">
        <v>1418</v>
      </c>
    </row>
    <row r="210" spans="1:22" x14ac:dyDescent="0.25">
      <c r="A210" t="s">
        <v>1636</v>
      </c>
      <c r="B210" s="5">
        <v>45360</v>
      </c>
      <c r="C210" s="2" t="str">
        <f>TEXT(SalesData[[#This Row],[Order Date]],"mmm")</f>
        <v>Mar</v>
      </c>
      <c r="D210" s="7">
        <f>MONTH(SalesData[[#This Row],[Order Date]])</f>
        <v>3</v>
      </c>
      <c r="E210" s="7">
        <f>YEAR(SalesData[[#This Row],[Order Date]])</f>
        <v>2024</v>
      </c>
      <c r="F210" t="s">
        <v>450</v>
      </c>
      <c r="G210" t="str">
        <f>PROPER(SalesData[[#This Row],[Product Name]])</f>
        <v>Eco Canvas Tote Bag</v>
      </c>
      <c r="H210" t="s">
        <v>1013</v>
      </c>
      <c r="I210" t="str">
        <f>UPPER(SalesData[[#This Row],[Product Category]])</f>
        <v>BAGS</v>
      </c>
      <c r="J210">
        <v>1</v>
      </c>
      <c r="K210">
        <v>25</v>
      </c>
      <c r="L210" s="15">
        <f>IF(SalesData[[#This Row],[Unit Price]]="",
    AVERAGEIFS(SalesData[Unit Price],
               SalesData[Product Name],SalesData[[#This Row],[Product Name]]),
    SalesData[[#This Row],[Unit Price]])</f>
        <v>25</v>
      </c>
      <c r="M210" s="15">
        <v>8.83</v>
      </c>
      <c r="N210" s="15">
        <f>SalesData[[#This Row],[Quantity Sold]] * SalesData[[#This Row],[Cleaned Unit Price]]</f>
        <v>25</v>
      </c>
      <c r="O210" s="15">
        <f>SalesData[[#This Row],[Quantity Sold]] * SalesData[[#This Row],[Unit Cost]]</f>
        <v>8.83</v>
      </c>
      <c r="P210" s="15">
        <f>SalesData[[#This Row],[Revenue]] - SalesData[[#This Row],[Cost]]</f>
        <v>16.170000000000002</v>
      </c>
      <c r="Q210" s="13">
        <f>IF(SalesData[[#This Row],[Revenue]]=0,0,SalesData[[#This Row],[Profit]]/SalesData[[#This Row],[Revenue]])</f>
        <v>0.64680000000000004</v>
      </c>
      <c r="R210" t="s">
        <v>1031</v>
      </c>
      <c r="S210" t="s">
        <v>1230</v>
      </c>
      <c r="T210" t="str">
        <f>PROPER(SalesData[[#This Row],[Customer Name]])</f>
        <v>Mason Rodriguez</v>
      </c>
      <c r="U210" t="s">
        <v>1414</v>
      </c>
      <c r="V210" t="s">
        <v>1423</v>
      </c>
    </row>
    <row r="211" spans="1:22" x14ac:dyDescent="0.25">
      <c r="A211" t="s">
        <v>1637</v>
      </c>
      <c r="B211" s="5">
        <v>45361</v>
      </c>
      <c r="C211" s="2" t="str">
        <f>TEXT(SalesData[[#This Row],[Order Date]],"mmm")</f>
        <v>Mar</v>
      </c>
      <c r="D211" s="7">
        <f>MONTH(SalesData[[#This Row],[Order Date]])</f>
        <v>3</v>
      </c>
      <c r="E211" s="7">
        <f>YEAR(SalesData[[#This Row],[Order Date]])</f>
        <v>2024</v>
      </c>
      <c r="F211" t="s">
        <v>94</v>
      </c>
      <c r="G211" t="str">
        <f>PROPER(SalesData[[#This Row],[Product Name]])</f>
        <v>Reusable Bamboo Utensil Set</v>
      </c>
      <c r="H211" t="s">
        <v>1014</v>
      </c>
      <c r="I211" t="str">
        <f>UPPER(SalesData[[#This Row],[Product Category]])</f>
        <v>KITCHENWARE</v>
      </c>
      <c r="J211">
        <v>9</v>
      </c>
      <c r="K211">
        <v>15</v>
      </c>
      <c r="L211" s="15">
        <f>IF(SalesData[[#This Row],[Unit Price]]="",
    AVERAGEIFS(SalesData[Unit Price],
               SalesData[Product Name],SalesData[[#This Row],[Product Name]]),
    SalesData[[#This Row],[Unit Price]])</f>
        <v>15</v>
      </c>
      <c r="M211" s="15">
        <v>5.95</v>
      </c>
      <c r="N211" s="15">
        <f>SalesData[[#This Row],[Quantity Sold]] * SalesData[[#This Row],[Cleaned Unit Price]]</f>
        <v>135</v>
      </c>
      <c r="O211" s="15">
        <f>SalesData[[#This Row],[Quantity Sold]] * SalesData[[#This Row],[Unit Cost]]</f>
        <v>53.550000000000004</v>
      </c>
      <c r="P211" s="15">
        <f>SalesData[[#This Row],[Revenue]] - SalesData[[#This Row],[Cost]]</f>
        <v>81.449999999999989</v>
      </c>
      <c r="Q211" s="13">
        <f>IF(SalesData[[#This Row],[Revenue]]=0,0,SalesData[[#This Row],[Profit]]/SalesData[[#This Row],[Revenue]])</f>
        <v>0.60333333333333328</v>
      </c>
      <c r="R211" t="s">
        <v>1080</v>
      </c>
      <c r="S211" t="s">
        <v>1279</v>
      </c>
      <c r="T211" t="str">
        <f>PROPER(SalesData[[#This Row],[Customer Name]])</f>
        <v>Mason Johnson</v>
      </c>
      <c r="U211" t="s">
        <v>1416</v>
      </c>
      <c r="V211" t="s">
        <v>1418</v>
      </c>
    </row>
    <row r="212" spans="1:22" x14ac:dyDescent="0.25">
      <c r="A212" t="s">
        <v>1638</v>
      </c>
      <c r="B212" s="5">
        <v>45361</v>
      </c>
      <c r="C212" s="2" t="str">
        <f>TEXT(SalesData[[#This Row],[Order Date]],"mmm")</f>
        <v>Mar</v>
      </c>
      <c r="D212" s="7">
        <f>MONTH(SalesData[[#This Row],[Order Date]])</f>
        <v>3</v>
      </c>
      <c r="E212" s="7">
        <f>YEAR(SalesData[[#This Row],[Order Date]])</f>
        <v>2024</v>
      </c>
      <c r="F212" t="s">
        <v>184</v>
      </c>
      <c r="G212" t="str">
        <f>PROPER(SalesData[[#This Row],[Product Name]])</f>
        <v>Solar Led Lantern</v>
      </c>
      <c r="H212" t="s">
        <v>1012</v>
      </c>
      <c r="I212" t="str">
        <f>UPPER(SalesData[[#This Row],[Product Category]])</f>
        <v>LIGHTING</v>
      </c>
      <c r="J212">
        <v>2</v>
      </c>
      <c r="K212">
        <v>40</v>
      </c>
      <c r="L212" s="15">
        <f>IF(SalesData[[#This Row],[Unit Price]]="",
    AVERAGEIFS(SalesData[Unit Price],
               SalesData[Product Name],SalesData[[#This Row],[Product Name]]),
    SalesData[[#This Row],[Unit Price]])</f>
        <v>40</v>
      </c>
      <c r="M212" s="15">
        <v>12.52</v>
      </c>
      <c r="N212" s="15">
        <f>SalesData[[#This Row],[Quantity Sold]] * SalesData[[#This Row],[Cleaned Unit Price]]</f>
        <v>80</v>
      </c>
      <c r="O212" s="15">
        <f>SalesData[[#This Row],[Quantity Sold]] * SalesData[[#This Row],[Unit Cost]]</f>
        <v>25.04</v>
      </c>
      <c r="P212" s="15">
        <f>SalesData[[#This Row],[Revenue]] - SalesData[[#This Row],[Cost]]</f>
        <v>54.96</v>
      </c>
      <c r="Q212" s="13">
        <f>IF(SalesData[[#This Row],[Revenue]]=0,0,SalesData[[#This Row],[Profit]]/SalesData[[#This Row],[Revenue]])</f>
        <v>0.68700000000000006</v>
      </c>
      <c r="R212" t="s">
        <v>1042</v>
      </c>
      <c r="S212" t="s">
        <v>1241</v>
      </c>
      <c r="T212" t="str">
        <f>PROPER(SalesData[[#This Row],[Customer Name]])</f>
        <v>Amelia Johnson</v>
      </c>
      <c r="U212" t="s">
        <v>1414</v>
      </c>
      <c r="V212" t="s">
        <v>1425</v>
      </c>
    </row>
    <row r="213" spans="1:22" x14ac:dyDescent="0.25">
      <c r="A213" t="s">
        <v>1639</v>
      </c>
      <c r="B213" s="5">
        <v>45361</v>
      </c>
      <c r="C213" s="2" t="str">
        <f>TEXT(SalesData[[#This Row],[Order Date]],"mmm")</f>
        <v>Mar</v>
      </c>
      <c r="D213" s="7">
        <f>MONTH(SalesData[[#This Row],[Order Date]])</f>
        <v>3</v>
      </c>
      <c r="E213" s="7">
        <f>YEAR(SalesData[[#This Row],[Order Date]])</f>
        <v>2024</v>
      </c>
      <c r="F213" t="s">
        <v>429</v>
      </c>
      <c r="G213" t="str">
        <f>PROPER(SalesData[[#This Row],[Product Name]])</f>
        <v>Solar Led Lantern</v>
      </c>
      <c r="H213" t="s">
        <v>1012</v>
      </c>
      <c r="I213" t="str">
        <f>UPPER(SalesData[[#This Row],[Product Category]])</f>
        <v>LIGHTING</v>
      </c>
      <c r="J213">
        <v>8</v>
      </c>
      <c r="K213">
        <v>40</v>
      </c>
      <c r="L213" s="15">
        <f>IF(SalesData[[#This Row],[Unit Price]]="",
    AVERAGEIFS(SalesData[Unit Price],
               SalesData[Product Name],SalesData[[#This Row],[Product Name]]),
    SalesData[[#This Row],[Unit Price]])</f>
        <v>40</v>
      </c>
      <c r="M213" s="15">
        <v>12.66</v>
      </c>
      <c r="N213" s="15">
        <f>SalesData[[#This Row],[Quantity Sold]] * SalesData[[#This Row],[Cleaned Unit Price]]</f>
        <v>320</v>
      </c>
      <c r="O213" s="15">
        <f>SalesData[[#This Row],[Quantity Sold]] * SalesData[[#This Row],[Unit Cost]]</f>
        <v>101.28</v>
      </c>
      <c r="P213" s="15">
        <f>SalesData[[#This Row],[Revenue]] - SalesData[[#This Row],[Cost]]</f>
        <v>218.72</v>
      </c>
      <c r="Q213" s="13">
        <f>IF(SalesData[[#This Row],[Revenue]]=0,0,SalesData[[#This Row],[Profit]]/SalesData[[#This Row],[Revenue]])</f>
        <v>0.6835</v>
      </c>
      <c r="R213" t="s">
        <v>1183</v>
      </c>
      <c r="S213" t="s">
        <v>1382</v>
      </c>
      <c r="T213" t="str">
        <f>PROPER(SalesData[[#This Row],[Customer Name]])</f>
        <v>Logan Rodriguez</v>
      </c>
      <c r="U213" t="s">
        <v>1414</v>
      </c>
      <c r="V213" t="s">
        <v>1420</v>
      </c>
    </row>
    <row r="214" spans="1:22" x14ac:dyDescent="0.25">
      <c r="A214" t="s">
        <v>1640</v>
      </c>
      <c r="B214" s="5">
        <v>45361</v>
      </c>
      <c r="C214" s="2" t="str">
        <f>TEXT(SalesData[[#This Row],[Order Date]],"mmm")</f>
        <v>Mar</v>
      </c>
      <c r="D214" s="7">
        <f>MONTH(SalesData[[#This Row],[Order Date]])</f>
        <v>3</v>
      </c>
      <c r="E214" s="7">
        <f>YEAR(SalesData[[#This Row],[Order Date]])</f>
        <v>2024</v>
      </c>
      <c r="F214" t="s">
        <v>493</v>
      </c>
      <c r="G214" t="str">
        <f>PROPER(SalesData[[#This Row],[Product Name]])</f>
        <v>Eco Canvas Tote Bag</v>
      </c>
      <c r="H214" t="s">
        <v>1013</v>
      </c>
      <c r="I214" t="str">
        <f>UPPER(SalesData[[#This Row],[Product Category]])</f>
        <v>BAGS</v>
      </c>
      <c r="J214">
        <v>7</v>
      </c>
      <c r="K214">
        <v>25</v>
      </c>
      <c r="L214" s="15">
        <f>IF(SalesData[[#This Row],[Unit Price]]="",
    AVERAGEIFS(SalesData[Unit Price],
               SalesData[Product Name],SalesData[[#This Row],[Product Name]]),
    SalesData[[#This Row],[Unit Price]])</f>
        <v>25</v>
      </c>
      <c r="M214" s="15">
        <v>7.98</v>
      </c>
      <c r="N214" s="15">
        <f>SalesData[[#This Row],[Quantity Sold]] * SalesData[[#This Row],[Cleaned Unit Price]]</f>
        <v>175</v>
      </c>
      <c r="O214" s="15">
        <f>SalesData[[#This Row],[Quantity Sold]] * SalesData[[#This Row],[Unit Cost]]</f>
        <v>55.86</v>
      </c>
      <c r="P214" s="15">
        <f>SalesData[[#This Row],[Revenue]] - SalesData[[#This Row],[Cost]]</f>
        <v>119.14</v>
      </c>
      <c r="Q214" s="13">
        <f>IF(SalesData[[#This Row],[Revenue]]=0,0,SalesData[[#This Row],[Profit]]/SalesData[[#This Row],[Revenue]])</f>
        <v>0.68079999999999996</v>
      </c>
      <c r="R214" t="s">
        <v>1053</v>
      </c>
      <c r="S214" t="s">
        <v>1252</v>
      </c>
      <c r="T214" t="str">
        <f>PROPER(SalesData[[#This Row],[Customer Name]])</f>
        <v>Evelyn Garcia</v>
      </c>
      <c r="U214" t="s">
        <v>1417</v>
      </c>
      <c r="V214" t="s">
        <v>1423</v>
      </c>
    </row>
    <row r="215" spans="1:22" x14ac:dyDescent="0.25">
      <c r="A215" t="s">
        <v>1641</v>
      </c>
      <c r="B215" s="5">
        <v>45361</v>
      </c>
      <c r="C215" s="2" t="str">
        <f>TEXT(SalesData[[#This Row],[Order Date]],"mmm")</f>
        <v>Mar</v>
      </c>
      <c r="D215" s="7">
        <f>MONTH(SalesData[[#This Row],[Order Date]])</f>
        <v>3</v>
      </c>
      <c r="E215" s="7">
        <f>YEAR(SalesData[[#This Row],[Order Date]])</f>
        <v>2024</v>
      </c>
      <c r="F215" t="s">
        <v>744</v>
      </c>
      <c r="G215" t="str">
        <f>PROPER(SalesData[[#This Row],[Product Name]])</f>
        <v>Solar Led Lantern</v>
      </c>
      <c r="H215" t="s">
        <v>1012</v>
      </c>
      <c r="I215" t="str">
        <f>UPPER(SalesData[[#This Row],[Product Category]])</f>
        <v>LIGHTING</v>
      </c>
      <c r="J215">
        <v>7</v>
      </c>
      <c r="K215">
        <v>40</v>
      </c>
      <c r="L215" s="15">
        <f>IF(SalesData[[#This Row],[Unit Price]]="",
    AVERAGEIFS(SalesData[Unit Price],
               SalesData[Product Name],SalesData[[#This Row],[Product Name]]),
    SalesData[[#This Row],[Unit Price]])</f>
        <v>40</v>
      </c>
      <c r="M215" s="15">
        <v>8.81</v>
      </c>
      <c r="N215" s="15">
        <f>SalesData[[#This Row],[Quantity Sold]] * SalesData[[#This Row],[Cleaned Unit Price]]</f>
        <v>280</v>
      </c>
      <c r="O215" s="15">
        <f>SalesData[[#This Row],[Quantity Sold]] * SalesData[[#This Row],[Unit Cost]]</f>
        <v>61.67</v>
      </c>
      <c r="P215" s="15">
        <f>SalesData[[#This Row],[Revenue]] - SalesData[[#This Row],[Cost]]</f>
        <v>218.32999999999998</v>
      </c>
      <c r="Q215" s="13">
        <f>IF(SalesData[[#This Row],[Revenue]]=0,0,SalesData[[#This Row],[Profit]]/SalesData[[#This Row],[Revenue]])</f>
        <v>0.77974999999999994</v>
      </c>
      <c r="R215" t="s">
        <v>1143</v>
      </c>
      <c r="S215" t="s">
        <v>1342</v>
      </c>
      <c r="T215" t="str">
        <f>PROPER(SalesData[[#This Row],[Customer Name]])</f>
        <v>Ava Smith</v>
      </c>
      <c r="U215" t="s">
        <v>1414</v>
      </c>
      <c r="V215" t="s">
        <v>1418</v>
      </c>
    </row>
    <row r="216" spans="1:22" x14ac:dyDescent="0.25">
      <c r="A216" t="s">
        <v>1642</v>
      </c>
      <c r="B216" s="5">
        <v>45361</v>
      </c>
      <c r="C216" s="2" t="str">
        <f>TEXT(SalesData[[#This Row],[Order Date]],"mmm")</f>
        <v>Mar</v>
      </c>
      <c r="D216" s="7">
        <f>MONTH(SalesData[[#This Row],[Order Date]])</f>
        <v>3</v>
      </c>
      <c r="E216" s="7">
        <f>YEAR(SalesData[[#This Row],[Order Date]])</f>
        <v>2024</v>
      </c>
      <c r="F216" t="s">
        <v>943</v>
      </c>
      <c r="G216" t="str">
        <f>PROPER(SalesData[[#This Row],[Product Name]])</f>
        <v>Reusable Bamboo Utensil Set</v>
      </c>
      <c r="H216" t="s">
        <v>1014</v>
      </c>
      <c r="I216" t="str">
        <f>UPPER(SalesData[[#This Row],[Product Category]])</f>
        <v>KITCHENWARE</v>
      </c>
      <c r="J216">
        <v>5</v>
      </c>
      <c r="K216">
        <v>15</v>
      </c>
      <c r="L216" s="15">
        <f>IF(SalesData[[#This Row],[Unit Price]]="",
    AVERAGEIFS(SalesData[Unit Price],
               SalesData[Product Name],SalesData[[#This Row],[Product Name]]),
    SalesData[[#This Row],[Unit Price]])</f>
        <v>15</v>
      </c>
      <c r="M216" s="15">
        <v>5.82</v>
      </c>
      <c r="N216" s="15">
        <f>SalesData[[#This Row],[Quantity Sold]] * SalesData[[#This Row],[Cleaned Unit Price]]</f>
        <v>75</v>
      </c>
      <c r="O216" s="15">
        <f>SalesData[[#This Row],[Quantity Sold]] * SalesData[[#This Row],[Unit Cost]]</f>
        <v>29.1</v>
      </c>
      <c r="P216" s="15">
        <f>SalesData[[#This Row],[Revenue]] - SalesData[[#This Row],[Cost]]</f>
        <v>45.9</v>
      </c>
      <c r="Q216" s="13">
        <f>IF(SalesData[[#This Row],[Revenue]]=0,0,SalesData[[#This Row],[Profit]]/SalesData[[#This Row],[Revenue]])</f>
        <v>0.61199999999999999</v>
      </c>
      <c r="R216" t="s">
        <v>1200</v>
      </c>
      <c r="S216" t="s">
        <v>1399</v>
      </c>
      <c r="T216" t="str">
        <f>PROPER(SalesData[[#This Row],[Customer Name]])</f>
        <v>James Miller</v>
      </c>
      <c r="U216" t="s">
        <v>1414</v>
      </c>
      <c r="V216" t="s">
        <v>1425</v>
      </c>
    </row>
    <row r="217" spans="1:22" x14ac:dyDescent="0.25">
      <c r="A217" t="s">
        <v>1643</v>
      </c>
      <c r="B217" s="5">
        <v>45362</v>
      </c>
      <c r="C217" s="2" t="str">
        <f>TEXT(SalesData[[#This Row],[Order Date]],"mmm")</f>
        <v>Mar</v>
      </c>
      <c r="D217" s="7">
        <f>MONTH(SalesData[[#This Row],[Order Date]])</f>
        <v>3</v>
      </c>
      <c r="E217" s="7">
        <f>YEAR(SalesData[[#This Row],[Order Date]])</f>
        <v>2024</v>
      </c>
      <c r="F217" t="s">
        <v>181</v>
      </c>
      <c r="G217" t="str">
        <f>PROPER(SalesData[[#This Row],[Product Name]])</f>
        <v>Biodegradable Cleaning Cloth</v>
      </c>
      <c r="H217" t="s">
        <v>1015</v>
      </c>
      <c r="I217" t="str">
        <f>UPPER(SalesData[[#This Row],[Product Category]])</f>
        <v>CLEANING</v>
      </c>
      <c r="J217">
        <v>8</v>
      </c>
      <c r="K217">
        <v>10</v>
      </c>
      <c r="L217" s="15">
        <f>IF(SalesData[[#This Row],[Unit Price]]="",
    AVERAGEIFS(SalesData[Unit Price],
               SalesData[Product Name],SalesData[[#This Row],[Product Name]]),
    SalesData[[#This Row],[Unit Price]])</f>
        <v>10</v>
      </c>
      <c r="M217" s="15">
        <v>2.13</v>
      </c>
      <c r="N217" s="15">
        <f>SalesData[[#This Row],[Quantity Sold]] * SalesData[[#This Row],[Cleaned Unit Price]]</f>
        <v>80</v>
      </c>
      <c r="O217" s="15">
        <f>SalesData[[#This Row],[Quantity Sold]] * SalesData[[#This Row],[Unit Cost]]</f>
        <v>17.04</v>
      </c>
      <c r="P217" s="15">
        <f>SalesData[[#This Row],[Revenue]] - SalesData[[#This Row],[Cost]]</f>
        <v>62.96</v>
      </c>
      <c r="Q217" s="13">
        <f>IF(SalesData[[#This Row],[Revenue]]=0,0,SalesData[[#This Row],[Profit]]/SalesData[[#This Row],[Revenue]])</f>
        <v>0.78700000000000003</v>
      </c>
      <c r="R217" t="s">
        <v>1109</v>
      </c>
      <c r="S217" t="s">
        <v>1308</v>
      </c>
      <c r="T217" t="str">
        <f>PROPER(SalesData[[#This Row],[Customer Name]])</f>
        <v>Lucas Smith</v>
      </c>
      <c r="U217" t="s">
        <v>1415</v>
      </c>
      <c r="V217" t="s">
        <v>1419</v>
      </c>
    </row>
    <row r="218" spans="1:22" x14ac:dyDescent="0.25">
      <c r="A218" t="s">
        <v>1644</v>
      </c>
      <c r="B218" s="5">
        <v>45362</v>
      </c>
      <c r="C218" s="2" t="str">
        <f>TEXT(SalesData[[#This Row],[Order Date]],"mmm")</f>
        <v>Mar</v>
      </c>
      <c r="D218" s="7">
        <f>MONTH(SalesData[[#This Row],[Order Date]])</f>
        <v>3</v>
      </c>
      <c r="E218" s="7">
        <f>YEAR(SalesData[[#This Row],[Order Date]])</f>
        <v>2024</v>
      </c>
      <c r="F218" t="s">
        <v>239</v>
      </c>
      <c r="G218" t="str">
        <f>PROPER(SalesData[[#This Row],[Product Name]])</f>
        <v>Compostable Plant Pots</v>
      </c>
      <c r="H218" t="s">
        <v>1011</v>
      </c>
      <c r="I218" t="str">
        <f>UPPER(SalesData[[#This Row],[Product Category]])</f>
        <v>GARDENING</v>
      </c>
      <c r="J218">
        <v>2</v>
      </c>
      <c r="K218">
        <v>12</v>
      </c>
      <c r="L218" s="15">
        <f>IF(SalesData[[#This Row],[Unit Price]]="",
    AVERAGEIFS(SalesData[Unit Price],
               SalesData[Product Name],SalesData[[#This Row],[Product Name]]),
    SalesData[[#This Row],[Unit Price]])</f>
        <v>12</v>
      </c>
      <c r="M218" s="15">
        <v>3.59</v>
      </c>
      <c r="N218" s="15">
        <f>SalesData[[#This Row],[Quantity Sold]] * SalesData[[#This Row],[Cleaned Unit Price]]</f>
        <v>24</v>
      </c>
      <c r="O218" s="15">
        <f>SalesData[[#This Row],[Quantity Sold]] * SalesData[[#This Row],[Unit Cost]]</f>
        <v>7.18</v>
      </c>
      <c r="P218" s="15">
        <f>SalesData[[#This Row],[Revenue]] - SalesData[[#This Row],[Cost]]</f>
        <v>16.82</v>
      </c>
      <c r="Q218" s="13">
        <f>IF(SalesData[[#This Row],[Revenue]]=0,0,SalesData[[#This Row],[Profit]]/SalesData[[#This Row],[Revenue]])</f>
        <v>0.70083333333333331</v>
      </c>
      <c r="R218" t="s">
        <v>1027</v>
      </c>
      <c r="S218" t="s">
        <v>1226</v>
      </c>
      <c r="T218" t="str">
        <f>PROPER(SalesData[[#This Row],[Customer Name]])</f>
        <v>Lucas Rodriguez</v>
      </c>
      <c r="U218" t="s">
        <v>1415</v>
      </c>
      <c r="V218" t="s">
        <v>1419</v>
      </c>
    </row>
    <row r="219" spans="1:22" x14ac:dyDescent="0.25">
      <c r="A219" t="s">
        <v>1645</v>
      </c>
      <c r="B219" s="5">
        <v>45362</v>
      </c>
      <c r="C219" s="2" t="str">
        <f>TEXT(SalesData[[#This Row],[Order Date]],"mmm")</f>
        <v>Mar</v>
      </c>
      <c r="D219" s="7">
        <f>MONTH(SalesData[[#This Row],[Order Date]])</f>
        <v>3</v>
      </c>
      <c r="E219" s="7">
        <f>YEAR(SalesData[[#This Row],[Order Date]])</f>
        <v>2024</v>
      </c>
      <c r="F219" t="s">
        <v>811</v>
      </c>
      <c r="G219" t="str">
        <f>PROPER(SalesData[[#This Row],[Product Name]])</f>
        <v>Biodegradable Cleaning Cloth</v>
      </c>
      <c r="H219" t="s">
        <v>1015</v>
      </c>
      <c r="I219" t="str">
        <f>UPPER(SalesData[[#This Row],[Product Category]])</f>
        <v>CLEANING</v>
      </c>
      <c r="J219">
        <v>5</v>
      </c>
      <c r="K219">
        <v>10</v>
      </c>
      <c r="L219" s="15">
        <f>IF(SalesData[[#This Row],[Unit Price]]="",
    AVERAGEIFS(SalesData[Unit Price],
               SalesData[Product Name],SalesData[[#This Row],[Product Name]]),
    SalesData[[#This Row],[Unit Price]])</f>
        <v>10</v>
      </c>
      <c r="M219" s="15">
        <v>2.5099999999999998</v>
      </c>
      <c r="N219" s="15">
        <f>SalesData[[#This Row],[Quantity Sold]] * SalesData[[#This Row],[Cleaned Unit Price]]</f>
        <v>50</v>
      </c>
      <c r="O219" s="15">
        <f>SalesData[[#This Row],[Quantity Sold]] * SalesData[[#This Row],[Unit Cost]]</f>
        <v>12.549999999999999</v>
      </c>
      <c r="P219" s="15">
        <f>SalesData[[#This Row],[Revenue]] - SalesData[[#This Row],[Cost]]</f>
        <v>37.450000000000003</v>
      </c>
      <c r="Q219" s="13">
        <f>IF(SalesData[[#This Row],[Revenue]]=0,0,SalesData[[#This Row],[Profit]]/SalesData[[#This Row],[Revenue]])</f>
        <v>0.74900000000000011</v>
      </c>
      <c r="R219" t="s">
        <v>1046</v>
      </c>
      <c r="S219" t="s">
        <v>1245</v>
      </c>
      <c r="T219" t="str">
        <f>PROPER(SalesData[[#This Row],[Customer Name]])</f>
        <v>Lucas Williams</v>
      </c>
      <c r="U219" t="s">
        <v>1416</v>
      </c>
      <c r="V219" t="s">
        <v>1421</v>
      </c>
    </row>
    <row r="220" spans="1:22" x14ac:dyDescent="0.25">
      <c r="A220" t="s">
        <v>1646</v>
      </c>
      <c r="B220" s="5">
        <v>45363</v>
      </c>
      <c r="C220" s="2" t="str">
        <f>TEXT(SalesData[[#This Row],[Order Date]],"mmm")</f>
        <v>Mar</v>
      </c>
      <c r="D220" s="7">
        <f>MONTH(SalesData[[#This Row],[Order Date]])</f>
        <v>3</v>
      </c>
      <c r="E220" s="7">
        <f>YEAR(SalesData[[#This Row],[Order Date]])</f>
        <v>2024</v>
      </c>
      <c r="F220" t="s">
        <v>732</v>
      </c>
      <c r="G220" t="str">
        <f>PROPER(SalesData[[#This Row],[Product Name]])</f>
        <v>Eco Canvas Tote Bag</v>
      </c>
      <c r="H220" t="s">
        <v>1013</v>
      </c>
      <c r="I220" t="str">
        <f>UPPER(SalesData[[#This Row],[Product Category]])</f>
        <v>BAGS</v>
      </c>
      <c r="J220">
        <v>4</v>
      </c>
      <c r="K220">
        <v>25</v>
      </c>
      <c r="L220" s="15">
        <f>IF(SalesData[[#This Row],[Unit Price]]="",
    AVERAGEIFS(SalesData[Unit Price],
               SalesData[Product Name],SalesData[[#This Row],[Product Name]]),
    SalesData[[#This Row],[Unit Price]])</f>
        <v>25</v>
      </c>
      <c r="M220" s="15">
        <v>8.09</v>
      </c>
      <c r="N220" s="15">
        <f>SalesData[[#This Row],[Quantity Sold]] * SalesData[[#This Row],[Cleaned Unit Price]]</f>
        <v>100</v>
      </c>
      <c r="O220" s="15">
        <f>SalesData[[#This Row],[Quantity Sold]] * SalesData[[#This Row],[Unit Cost]]</f>
        <v>32.36</v>
      </c>
      <c r="P220" s="15">
        <f>SalesData[[#This Row],[Revenue]] - SalesData[[#This Row],[Cost]]</f>
        <v>67.64</v>
      </c>
      <c r="Q220" s="13">
        <f>IF(SalesData[[#This Row],[Revenue]]=0,0,SalesData[[#This Row],[Profit]]/SalesData[[#This Row],[Revenue]])</f>
        <v>0.6764</v>
      </c>
      <c r="R220" t="s">
        <v>1081</v>
      </c>
      <c r="S220" t="s">
        <v>1280</v>
      </c>
      <c r="T220" t="str">
        <f>PROPER(SalesData[[#This Row],[Customer Name]])</f>
        <v>James Brown</v>
      </c>
      <c r="U220" t="s">
        <v>1417</v>
      </c>
      <c r="V220" t="s">
        <v>1423</v>
      </c>
    </row>
    <row r="221" spans="1:22" x14ac:dyDescent="0.25">
      <c r="A221" t="s">
        <v>1647</v>
      </c>
      <c r="B221" s="5">
        <v>45364</v>
      </c>
      <c r="C221" s="2" t="str">
        <f>TEXT(SalesData[[#This Row],[Order Date]],"mmm")</f>
        <v>Mar</v>
      </c>
      <c r="D221" s="7">
        <f>MONTH(SalesData[[#This Row],[Order Date]])</f>
        <v>3</v>
      </c>
      <c r="E221" s="7">
        <f>YEAR(SalesData[[#This Row],[Order Date]])</f>
        <v>2024</v>
      </c>
      <c r="F221" t="s">
        <v>737</v>
      </c>
      <c r="G221" t="str">
        <f>PROPER(SalesData[[#This Row],[Product Name]])</f>
        <v>Compostable Plant Pots</v>
      </c>
      <c r="H221" t="s">
        <v>1011</v>
      </c>
      <c r="I221" t="str">
        <f>UPPER(SalesData[[#This Row],[Product Category]])</f>
        <v>GARDENING</v>
      </c>
      <c r="J221">
        <v>10</v>
      </c>
      <c r="K221">
        <v>12</v>
      </c>
      <c r="L221" s="15">
        <f>IF(SalesData[[#This Row],[Unit Price]]="",
    AVERAGEIFS(SalesData[Unit Price],
               SalesData[Product Name],SalesData[[#This Row],[Product Name]]),
    SalesData[[#This Row],[Unit Price]])</f>
        <v>12</v>
      </c>
      <c r="M221" s="15">
        <v>2.69</v>
      </c>
      <c r="N221" s="15">
        <f>SalesData[[#This Row],[Quantity Sold]] * SalesData[[#This Row],[Cleaned Unit Price]]</f>
        <v>120</v>
      </c>
      <c r="O221" s="15">
        <f>SalesData[[#This Row],[Quantity Sold]] * SalesData[[#This Row],[Unit Cost]]</f>
        <v>26.9</v>
      </c>
      <c r="P221" s="15">
        <f>SalesData[[#This Row],[Revenue]] - SalesData[[#This Row],[Cost]]</f>
        <v>93.1</v>
      </c>
      <c r="Q221" s="13">
        <f>IF(SalesData[[#This Row],[Revenue]]=0,0,SalesData[[#This Row],[Profit]]/SalesData[[#This Row],[Revenue]])</f>
        <v>0.77583333333333326</v>
      </c>
      <c r="R221" t="s">
        <v>1019</v>
      </c>
      <c r="S221" t="s">
        <v>1218</v>
      </c>
      <c r="T221" t="str">
        <f>PROPER(SalesData[[#This Row],[Customer Name]])</f>
        <v>Liam Jones</v>
      </c>
      <c r="U221" t="s">
        <v>1415</v>
      </c>
      <c r="V221" t="s">
        <v>1424</v>
      </c>
    </row>
    <row r="222" spans="1:22" x14ac:dyDescent="0.25">
      <c r="A222" t="s">
        <v>1648</v>
      </c>
      <c r="B222" s="5">
        <v>45365</v>
      </c>
      <c r="C222" s="2" t="str">
        <f>TEXT(SalesData[[#This Row],[Order Date]],"mmm")</f>
        <v>Mar</v>
      </c>
      <c r="D222" s="7">
        <f>MONTH(SalesData[[#This Row],[Order Date]])</f>
        <v>3</v>
      </c>
      <c r="E222" s="7">
        <f>YEAR(SalesData[[#This Row],[Order Date]])</f>
        <v>2024</v>
      </c>
      <c r="F222" t="s">
        <v>889</v>
      </c>
      <c r="G222" t="str">
        <f>PROPER(SalesData[[#This Row],[Product Name]])</f>
        <v>Compostable Plant Pots</v>
      </c>
      <c r="H222" t="s">
        <v>1011</v>
      </c>
      <c r="I222" t="str">
        <f>UPPER(SalesData[[#This Row],[Product Category]])</f>
        <v>GARDENING</v>
      </c>
      <c r="J222">
        <v>1</v>
      </c>
      <c r="K222">
        <v>12</v>
      </c>
      <c r="L222" s="15">
        <f>IF(SalesData[[#This Row],[Unit Price]]="",
    AVERAGEIFS(SalesData[Unit Price],
               SalesData[Product Name],SalesData[[#This Row],[Product Name]]),
    SalesData[[#This Row],[Unit Price]])</f>
        <v>12</v>
      </c>
      <c r="M222" s="15">
        <v>4.71</v>
      </c>
      <c r="N222" s="15">
        <f>SalesData[[#This Row],[Quantity Sold]] * SalesData[[#This Row],[Cleaned Unit Price]]</f>
        <v>12</v>
      </c>
      <c r="O222" s="15">
        <f>SalesData[[#This Row],[Quantity Sold]] * SalesData[[#This Row],[Unit Cost]]</f>
        <v>4.71</v>
      </c>
      <c r="P222" s="15">
        <f>SalesData[[#This Row],[Revenue]] - SalesData[[#This Row],[Cost]]</f>
        <v>7.29</v>
      </c>
      <c r="Q222" s="13">
        <f>IF(SalesData[[#This Row],[Revenue]]=0,0,SalesData[[#This Row],[Profit]]/SalesData[[#This Row],[Revenue]])</f>
        <v>0.60750000000000004</v>
      </c>
      <c r="R222" t="s">
        <v>1113</v>
      </c>
      <c r="S222" t="s">
        <v>1312</v>
      </c>
      <c r="T222" t="str">
        <f>PROPER(SalesData[[#This Row],[Customer Name]])</f>
        <v>Elijah Williams</v>
      </c>
      <c r="U222" t="s">
        <v>1416</v>
      </c>
      <c r="V222" t="s">
        <v>1426</v>
      </c>
    </row>
    <row r="223" spans="1:22" x14ac:dyDescent="0.25">
      <c r="A223" t="s">
        <v>1649</v>
      </c>
      <c r="B223" s="5">
        <v>45366</v>
      </c>
      <c r="C223" s="2" t="str">
        <f>TEXT(SalesData[[#This Row],[Order Date]],"mmm")</f>
        <v>Mar</v>
      </c>
      <c r="D223" s="7">
        <f>MONTH(SalesData[[#This Row],[Order Date]])</f>
        <v>3</v>
      </c>
      <c r="E223" s="7">
        <f>YEAR(SalesData[[#This Row],[Order Date]])</f>
        <v>2024</v>
      </c>
      <c r="F223" t="s">
        <v>132</v>
      </c>
      <c r="G223" t="str">
        <f>PROPER(SalesData[[#This Row],[Product Name]])</f>
        <v>Biodegradable Cleaning Cloth</v>
      </c>
      <c r="H223" t="s">
        <v>1015</v>
      </c>
      <c r="I223" t="str">
        <f>UPPER(SalesData[[#This Row],[Product Category]])</f>
        <v>CLEANING</v>
      </c>
      <c r="J223">
        <v>5</v>
      </c>
      <c r="K223">
        <v>10</v>
      </c>
      <c r="L223" s="15">
        <f>IF(SalesData[[#This Row],[Unit Price]]="",
    AVERAGEIFS(SalesData[Unit Price],
               SalesData[Product Name],SalesData[[#This Row],[Product Name]]),
    SalesData[[#This Row],[Unit Price]])</f>
        <v>10</v>
      </c>
      <c r="M223" s="15">
        <v>3.65</v>
      </c>
      <c r="N223" s="15">
        <f>SalesData[[#This Row],[Quantity Sold]] * SalesData[[#This Row],[Cleaned Unit Price]]</f>
        <v>50</v>
      </c>
      <c r="O223" s="15">
        <f>SalesData[[#This Row],[Quantity Sold]] * SalesData[[#This Row],[Unit Cost]]</f>
        <v>18.25</v>
      </c>
      <c r="P223" s="15">
        <f>SalesData[[#This Row],[Revenue]] - SalesData[[#This Row],[Cost]]</f>
        <v>31.75</v>
      </c>
      <c r="Q223" s="13">
        <f>IF(SalesData[[#This Row],[Revenue]]=0,0,SalesData[[#This Row],[Profit]]/SalesData[[#This Row],[Revenue]])</f>
        <v>0.63500000000000001</v>
      </c>
      <c r="R223" t="s">
        <v>1109</v>
      </c>
      <c r="S223" t="s">
        <v>1308</v>
      </c>
      <c r="T223" t="str">
        <f>PROPER(SalesData[[#This Row],[Customer Name]])</f>
        <v>Lucas Smith</v>
      </c>
      <c r="U223" t="s">
        <v>1414</v>
      </c>
      <c r="V223" t="s">
        <v>1422</v>
      </c>
    </row>
    <row r="224" spans="1:22" x14ac:dyDescent="0.25">
      <c r="A224" t="s">
        <v>1650</v>
      </c>
      <c r="B224" s="5">
        <v>45366</v>
      </c>
      <c r="C224" s="2" t="str">
        <f>TEXT(SalesData[[#This Row],[Order Date]],"mmm")</f>
        <v>Mar</v>
      </c>
      <c r="D224" s="7">
        <f>MONTH(SalesData[[#This Row],[Order Date]])</f>
        <v>3</v>
      </c>
      <c r="E224" s="7">
        <f>YEAR(SalesData[[#This Row],[Order Date]])</f>
        <v>2024</v>
      </c>
      <c r="F224" t="s">
        <v>473</v>
      </c>
      <c r="G224" t="str">
        <f>PROPER(SalesData[[#This Row],[Product Name]])</f>
        <v>Biodegradable Cleaning Cloth</v>
      </c>
      <c r="H224" t="s">
        <v>1015</v>
      </c>
      <c r="I224" t="str">
        <f>UPPER(SalesData[[#This Row],[Product Category]])</f>
        <v>CLEANING</v>
      </c>
      <c r="J224">
        <v>9</v>
      </c>
      <c r="K224">
        <v>10</v>
      </c>
      <c r="L224" s="15">
        <f>IF(SalesData[[#This Row],[Unit Price]]="",
    AVERAGEIFS(SalesData[Unit Price],
               SalesData[Product Name],SalesData[[#This Row],[Product Name]]),
    SalesData[[#This Row],[Unit Price]])</f>
        <v>10</v>
      </c>
      <c r="M224" s="15">
        <v>2.21</v>
      </c>
      <c r="N224" s="15">
        <f>SalesData[[#This Row],[Quantity Sold]] * SalesData[[#This Row],[Cleaned Unit Price]]</f>
        <v>90</v>
      </c>
      <c r="O224" s="15">
        <f>SalesData[[#This Row],[Quantity Sold]] * SalesData[[#This Row],[Unit Cost]]</f>
        <v>19.89</v>
      </c>
      <c r="P224" s="15">
        <f>SalesData[[#This Row],[Revenue]] - SalesData[[#This Row],[Cost]]</f>
        <v>70.11</v>
      </c>
      <c r="Q224" s="13">
        <f>IF(SalesData[[#This Row],[Revenue]]=0,0,SalesData[[#This Row],[Profit]]/SalesData[[#This Row],[Revenue]])</f>
        <v>0.77900000000000003</v>
      </c>
      <c r="R224" t="s">
        <v>1036</v>
      </c>
      <c r="S224" t="s">
        <v>1235</v>
      </c>
      <c r="T224" t="str">
        <f>PROPER(SalesData[[#This Row],[Customer Name]])</f>
        <v>Amelia Johnson</v>
      </c>
      <c r="U224" t="s">
        <v>1414</v>
      </c>
      <c r="V224" t="s">
        <v>1420</v>
      </c>
    </row>
    <row r="225" spans="1:22" x14ac:dyDescent="0.25">
      <c r="A225" t="s">
        <v>1651</v>
      </c>
      <c r="B225" s="5">
        <v>45366</v>
      </c>
      <c r="C225" s="2" t="str">
        <f>TEXT(SalesData[[#This Row],[Order Date]],"mmm")</f>
        <v>Mar</v>
      </c>
      <c r="D225" s="7">
        <f>MONTH(SalesData[[#This Row],[Order Date]])</f>
        <v>3</v>
      </c>
      <c r="E225" s="7">
        <f>YEAR(SalesData[[#This Row],[Order Date]])</f>
        <v>2024</v>
      </c>
      <c r="F225" t="s">
        <v>490</v>
      </c>
      <c r="G225" t="str">
        <f>PROPER(SalesData[[#This Row],[Product Name]])</f>
        <v>Biodegradable Cleaning Cloth</v>
      </c>
      <c r="H225" t="s">
        <v>1015</v>
      </c>
      <c r="I225" t="str">
        <f>UPPER(SalesData[[#This Row],[Product Category]])</f>
        <v>CLEANING</v>
      </c>
      <c r="J225">
        <v>3</v>
      </c>
      <c r="K225">
        <v>10</v>
      </c>
      <c r="L225" s="15">
        <f>IF(SalesData[[#This Row],[Unit Price]]="",
    AVERAGEIFS(SalesData[Unit Price],
               SalesData[Product Name],SalesData[[#This Row],[Product Name]]),
    SalesData[[#This Row],[Unit Price]])</f>
        <v>10</v>
      </c>
      <c r="M225" s="15">
        <v>2.73</v>
      </c>
      <c r="N225" s="15">
        <f>SalesData[[#This Row],[Quantity Sold]] * SalesData[[#This Row],[Cleaned Unit Price]]</f>
        <v>30</v>
      </c>
      <c r="O225" s="15">
        <f>SalesData[[#This Row],[Quantity Sold]] * SalesData[[#This Row],[Unit Cost]]</f>
        <v>8.19</v>
      </c>
      <c r="P225" s="15">
        <f>SalesData[[#This Row],[Revenue]] - SalesData[[#This Row],[Cost]]</f>
        <v>21.810000000000002</v>
      </c>
      <c r="Q225" s="13">
        <f>IF(SalesData[[#This Row],[Revenue]]=0,0,SalesData[[#This Row],[Profit]]/SalesData[[#This Row],[Revenue]])</f>
        <v>0.72700000000000009</v>
      </c>
      <c r="R225" t="s">
        <v>1073</v>
      </c>
      <c r="S225" t="s">
        <v>1272</v>
      </c>
      <c r="T225" t="str">
        <f>PROPER(SalesData[[#This Row],[Customer Name]])</f>
        <v>Noah Smith</v>
      </c>
      <c r="U225" t="s">
        <v>1414</v>
      </c>
      <c r="V225" t="s">
        <v>1427</v>
      </c>
    </row>
    <row r="226" spans="1:22" x14ac:dyDescent="0.25">
      <c r="A226" t="s">
        <v>1652</v>
      </c>
      <c r="B226" s="5">
        <v>45367</v>
      </c>
      <c r="C226" s="2" t="str">
        <f>TEXT(SalesData[[#This Row],[Order Date]],"mmm")</f>
        <v>Mar</v>
      </c>
      <c r="D226" s="7">
        <f>MONTH(SalesData[[#This Row],[Order Date]])</f>
        <v>3</v>
      </c>
      <c r="E226" s="7">
        <f>YEAR(SalesData[[#This Row],[Order Date]])</f>
        <v>2024</v>
      </c>
      <c r="F226" t="s">
        <v>397</v>
      </c>
      <c r="G226" t="str">
        <f>PROPER(SalesData[[#This Row],[Product Name]])</f>
        <v>Reusable Bamboo Utensil Set</v>
      </c>
      <c r="H226" t="s">
        <v>1014</v>
      </c>
      <c r="I226" t="str">
        <f>UPPER(SalesData[[#This Row],[Product Category]])</f>
        <v>KITCHENWARE</v>
      </c>
      <c r="J226">
        <v>8</v>
      </c>
      <c r="K226">
        <v>15</v>
      </c>
      <c r="L226" s="15">
        <f>IF(SalesData[[#This Row],[Unit Price]]="",
    AVERAGEIFS(SalesData[Unit Price],
               SalesData[Product Name],SalesData[[#This Row],[Product Name]]),
    SalesData[[#This Row],[Unit Price]])</f>
        <v>15</v>
      </c>
      <c r="M226" s="15">
        <v>5.9</v>
      </c>
      <c r="N226" s="15">
        <f>SalesData[[#This Row],[Quantity Sold]] * SalesData[[#This Row],[Cleaned Unit Price]]</f>
        <v>120</v>
      </c>
      <c r="O226" s="15">
        <f>SalesData[[#This Row],[Quantity Sold]] * SalesData[[#This Row],[Unit Cost]]</f>
        <v>47.2</v>
      </c>
      <c r="P226" s="15">
        <f>SalesData[[#This Row],[Revenue]] - SalesData[[#This Row],[Cost]]</f>
        <v>72.8</v>
      </c>
      <c r="Q226" s="13">
        <f>IF(SalesData[[#This Row],[Revenue]]=0,0,SalesData[[#This Row],[Profit]]/SalesData[[#This Row],[Revenue]])</f>
        <v>0.60666666666666669</v>
      </c>
      <c r="R226" t="s">
        <v>1093</v>
      </c>
      <c r="S226" t="s">
        <v>1292</v>
      </c>
      <c r="T226" t="str">
        <f>PROPER(SalesData[[#This Row],[Customer Name]])</f>
        <v>Ava Miller</v>
      </c>
      <c r="U226" t="s">
        <v>1414</v>
      </c>
      <c r="V226" t="s">
        <v>1426</v>
      </c>
    </row>
    <row r="227" spans="1:22" x14ac:dyDescent="0.25">
      <c r="A227" t="s">
        <v>1653</v>
      </c>
      <c r="B227" s="5">
        <v>45367</v>
      </c>
      <c r="C227" s="2" t="str">
        <f>TEXT(SalesData[[#This Row],[Order Date]],"mmm")</f>
        <v>Mar</v>
      </c>
      <c r="D227" s="7">
        <f>MONTH(SalesData[[#This Row],[Order Date]])</f>
        <v>3</v>
      </c>
      <c r="E227" s="7">
        <f>YEAR(SalesData[[#This Row],[Order Date]])</f>
        <v>2024</v>
      </c>
      <c r="F227" t="s">
        <v>532</v>
      </c>
      <c r="G227" t="str">
        <f>PROPER(SalesData[[#This Row],[Product Name]])</f>
        <v>Compostable Plant Pots</v>
      </c>
      <c r="H227" t="s">
        <v>1011</v>
      </c>
      <c r="I227" t="str">
        <f>UPPER(SalesData[[#This Row],[Product Category]])</f>
        <v>GARDENING</v>
      </c>
      <c r="J227">
        <v>2</v>
      </c>
      <c r="K227">
        <v>12</v>
      </c>
      <c r="L227" s="15">
        <f>IF(SalesData[[#This Row],[Unit Price]]="",
    AVERAGEIFS(SalesData[Unit Price],
               SalesData[Product Name],SalesData[[#This Row],[Product Name]]),
    SalesData[[#This Row],[Unit Price]])</f>
        <v>12</v>
      </c>
      <c r="M227" s="15">
        <v>3.27</v>
      </c>
      <c r="N227" s="15">
        <f>SalesData[[#This Row],[Quantity Sold]] * SalesData[[#This Row],[Cleaned Unit Price]]</f>
        <v>24</v>
      </c>
      <c r="O227" s="15">
        <f>SalesData[[#This Row],[Quantity Sold]] * SalesData[[#This Row],[Unit Cost]]</f>
        <v>6.54</v>
      </c>
      <c r="P227" s="15">
        <f>SalesData[[#This Row],[Revenue]] - SalesData[[#This Row],[Cost]]</f>
        <v>17.46</v>
      </c>
      <c r="Q227" s="13">
        <f>IF(SalesData[[#This Row],[Revenue]]=0,0,SalesData[[#This Row],[Profit]]/SalesData[[#This Row],[Revenue]])</f>
        <v>0.72750000000000004</v>
      </c>
      <c r="R227" t="s">
        <v>1127</v>
      </c>
      <c r="S227" t="s">
        <v>1326</v>
      </c>
      <c r="T227" t="str">
        <f>PROPER(SalesData[[#This Row],[Customer Name]])</f>
        <v>Mason Williams</v>
      </c>
      <c r="U227" t="s">
        <v>1416</v>
      </c>
      <c r="V227" t="s">
        <v>1421</v>
      </c>
    </row>
    <row r="228" spans="1:22" x14ac:dyDescent="0.25">
      <c r="A228" t="s">
        <v>1654</v>
      </c>
      <c r="B228" s="5">
        <v>45367</v>
      </c>
      <c r="C228" s="2" t="str">
        <f>TEXT(SalesData[[#This Row],[Order Date]],"mmm")</f>
        <v>Mar</v>
      </c>
      <c r="D228" s="7">
        <f>MONTH(SalesData[[#This Row],[Order Date]])</f>
        <v>3</v>
      </c>
      <c r="E228" s="7">
        <f>YEAR(SalesData[[#This Row],[Order Date]])</f>
        <v>2024</v>
      </c>
      <c r="F228" t="s">
        <v>838</v>
      </c>
      <c r="G228" t="str">
        <f>PROPER(SalesData[[#This Row],[Product Name]])</f>
        <v>Reusable Bamboo Utensil Set</v>
      </c>
      <c r="H228" t="s">
        <v>1014</v>
      </c>
      <c r="I228" t="str">
        <f>UPPER(SalesData[[#This Row],[Product Category]])</f>
        <v>KITCHENWARE</v>
      </c>
      <c r="J228">
        <v>2</v>
      </c>
      <c r="K228">
        <v>15</v>
      </c>
      <c r="L228" s="15">
        <f>IF(SalesData[[#This Row],[Unit Price]]="",
    AVERAGEIFS(SalesData[Unit Price],
               SalesData[Product Name],SalesData[[#This Row],[Product Name]]),
    SalesData[[#This Row],[Unit Price]])</f>
        <v>15</v>
      </c>
      <c r="M228" s="15">
        <v>4.99</v>
      </c>
      <c r="N228" s="15">
        <f>SalesData[[#This Row],[Quantity Sold]] * SalesData[[#This Row],[Cleaned Unit Price]]</f>
        <v>30</v>
      </c>
      <c r="O228" s="15">
        <f>SalesData[[#This Row],[Quantity Sold]] * SalesData[[#This Row],[Unit Cost]]</f>
        <v>9.98</v>
      </c>
      <c r="P228" s="15">
        <f>SalesData[[#This Row],[Revenue]] - SalesData[[#This Row],[Cost]]</f>
        <v>20.02</v>
      </c>
      <c r="Q228" s="13">
        <f>IF(SalesData[[#This Row],[Revenue]]=0,0,SalesData[[#This Row],[Profit]]/SalesData[[#This Row],[Revenue]])</f>
        <v>0.66733333333333333</v>
      </c>
      <c r="R228" t="s">
        <v>1064</v>
      </c>
      <c r="S228" t="s">
        <v>1263</v>
      </c>
      <c r="T228" t="str">
        <f>PROPER(SalesData[[#This Row],[Customer Name]])</f>
        <v>Isabella Miller</v>
      </c>
      <c r="U228" t="s">
        <v>1417</v>
      </c>
      <c r="V228" t="s">
        <v>1425</v>
      </c>
    </row>
    <row r="229" spans="1:22" x14ac:dyDescent="0.25">
      <c r="A229" t="s">
        <v>1655</v>
      </c>
      <c r="B229" s="5">
        <v>45367</v>
      </c>
      <c r="C229" s="2" t="str">
        <f>TEXT(SalesData[[#This Row],[Order Date]],"mmm")</f>
        <v>Mar</v>
      </c>
      <c r="D229" s="7">
        <f>MONTH(SalesData[[#This Row],[Order Date]])</f>
        <v>3</v>
      </c>
      <c r="E229" s="7">
        <f>YEAR(SalesData[[#This Row],[Order Date]])</f>
        <v>2024</v>
      </c>
      <c r="F229" t="s">
        <v>948</v>
      </c>
      <c r="G229" t="str">
        <f>PROPER(SalesData[[#This Row],[Product Name]])</f>
        <v>Biodegradable Cleaning Cloth</v>
      </c>
      <c r="H229" t="s">
        <v>1015</v>
      </c>
      <c r="I229" t="str">
        <f>UPPER(SalesData[[#This Row],[Product Category]])</f>
        <v>CLEANING</v>
      </c>
      <c r="J229">
        <v>6</v>
      </c>
      <c r="K229">
        <v>10</v>
      </c>
      <c r="L229" s="15">
        <f>IF(SalesData[[#This Row],[Unit Price]]="",
    AVERAGEIFS(SalesData[Unit Price],
               SalesData[Product Name],SalesData[[#This Row],[Product Name]]),
    SalesData[[#This Row],[Unit Price]])</f>
        <v>10</v>
      </c>
      <c r="M229" s="15">
        <v>2.0299999999999998</v>
      </c>
      <c r="N229" s="15">
        <f>SalesData[[#This Row],[Quantity Sold]] * SalesData[[#This Row],[Cleaned Unit Price]]</f>
        <v>60</v>
      </c>
      <c r="O229" s="15">
        <f>SalesData[[#This Row],[Quantity Sold]] * SalesData[[#This Row],[Unit Cost]]</f>
        <v>12.18</v>
      </c>
      <c r="P229" s="15">
        <f>SalesData[[#This Row],[Revenue]] - SalesData[[#This Row],[Cost]]</f>
        <v>47.82</v>
      </c>
      <c r="Q229" s="13">
        <f>IF(SalesData[[#This Row],[Revenue]]=0,0,SalesData[[#This Row],[Profit]]/SalesData[[#This Row],[Revenue]])</f>
        <v>0.79700000000000004</v>
      </c>
      <c r="R229" t="s">
        <v>1071</v>
      </c>
      <c r="S229" t="s">
        <v>1270</v>
      </c>
      <c r="T229" t="str">
        <f>PROPER(SalesData[[#This Row],[Customer Name]])</f>
        <v>Olivia Johnson</v>
      </c>
      <c r="U229" t="s">
        <v>1417</v>
      </c>
      <c r="V229" t="s">
        <v>1420</v>
      </c>
    </row>
    <row r="230" spans="1:22" x14ac:dyDescent="0.25">
      <c r="A230" t="s">
        <v>1656</v>
      </c>
      <c r="B230" s="5">
        <v>45368</v>
      </c>
      <c r="C230" s="2" t="str">
        <f>TEXT(SalesData[[#This Row],[Order Date]],"mmm")</f>
        <v>Mar</v>
      </c>
      <c r="D230" s="7">
        <f>MONTH(SalesData[[#This Row],[Order Date]])</f>
        <v>3</v>
      </c>
      <c r="E230" s="7">
        <f>YEAR(SalesData[[#This Row],[Order Date]])</f>
        <v>2024</v>
      </c>
      <c r="F230" t="s">
        <v>31</v>
      </c>
      <c r="G230" t="str">
        <f>PROPER(SalesData[[#This Row],[Product Name]])</f>
        <v>Reusable Bamboo Utensil Set</v>
      </c>
      <c r="H230" t="s">
        <v>1014</v>
      </c>
      <c r="I230" t="str">
        <f>UPPER(SalesData[[#This Row],[Product Category]])</f>
        <v>KITCHENWARE</v>
      </c>
      <c r="J230">
        <v>6</v>
      </c>
      <c r="K230">
        <v>15</v>
      </c>
      <c r="L230" s="15">
        <f>IF(SalesData[[#This Row],[Unit Price]]="",
    AVERAGEIFS(SalesData[Unit Price],
               SalesData[Product Name],SalesData[[#This Row],[Product Name]]),
    SalesData[[#This Row],[Unit Price]])</f>
        <v>15</v>
      </c>
      <c r="M230" s="15">
        <v>3.55</v>
      </c>
      <c r="N230" s="15">
        <f>SalesData[[#This Row],[Quantity Sold]] * SalesData[[#This Row],[Cleaned Unit Price]]</f>
        <v>90</v>
      </c>
      <c r="O230" s="15">
        <f>SalesData[[#This Row],[Quantity Sold]] * SalesData[[#This Row],[Unit Cost]]</f>
        <v>21.299999999999997</v>
      </c>
      <c r="P230" s="15">
        <f>SalesData[[#This Row],[Revenue]] - SalesData[[#This Row],[Cost]]</f>
        <v>68.7</v>
      </c>
      <c r="Q230" s="13">
        <f>IF(SalesData[[#This Row],[Revenue]]=0,0,SalesData[[#This Row],[Profit]]/SalesData[[#This Row],[Revenue]])</f>
        <v>0.76333333333333342</v>
      </c>
      <c r="R230" t="s">
        <v>1034</v>
      </c>
      <c r="S230" t="s">
        <v>1233</v>
      </c>
      <c r="T230" t="str">
        <f>PROPER(SalesData[[#This Row],[Customer Name]])</f>
        <v>Liam Garcia</v>
      </c>
      <c r="U230" t="s">
        <v>1414</v>
      </c>
      <c r="V230" t="s">
        <v>1426</v>
      </c>
    </row>
    <row r="231" spans="1:22" x14ac:dyDescent="0.25">
      <c r="A231" t="s">
        <v>1657</v>
      </c>
      <c r="B231" s="5">
        <v>45368</v>
      </c>
      <c r="C231" s="2" t="str">
        <f>TEXT(SalesData[[#This Row],[Order Date]],"mmm")</f>
        <v>Mar</v>
      </c>
      <c r="D231" s="7">
        <f>MONTH(SalesData[[#This Row],[Order Date]])</f>
        <v>3</v>
      </c>
      <c r="E231" s="7">
        <f>YEAR(SalesData[[#This Row],[Order Date]])</f>
        <v>2024</v>
      </c>
      <c r="F231" t="s">
        <v>218</v>
      </c>
      <c r="G231" t="str">
        <f>PROPER(SalesData[[#This Row],[Product Name]])</f>
        <v>Eco Canvas Tote Bag</v>
      </c>
      <c r="H231" t="s">
        <v>1013</v>
      </c>
      <c r="I231" t="str">
        <f>UPPER(SalesData[[#This Row],[Product Category]])</f>
        <v>BAGS</v>
      </c>
      <c r="J231">
        <v>9</v>
      </c>
      <c r="K231">
        <v>25</v>
      </c>
      <c r="L231" s="15">
        <f>IF(SalesData[[#This Row],[Unit Price]]="",
    AVERAGEIFS(SalesData[Unit Price],
               SalesData[Product Name],SalesData[[#This Row],[Product Name]]),
    SalesData[[#This Row],[Unit Price]])</f>
        <v>25</v>
      </c>
      <c r="M231" s="15">
        <v>6.29</v>
      </c>
      <c r="N231" s="15">
        <f>SalesData[[#This Row],[Quantity Sold]] * SalesData[[#This Row],[Cleaned Unit Price]]</f>
        <v>225</v>
      </c>
      <c r="O231" s="15">
        <f>SalesData[[#This Row],[Quantity Sold]] * SalesData[[#This Row],[Unit Cost]]</f>
        <v>56.61</v>
      </c>
      <c r="P231" s="15">
        <f>SalesData[[#This Row],[Revenue]] - SalesData[[#This Row],[Cost]]</f>
        <v>168.39</v>
      </c>
      <c r="Q231" s="13">
        <f>IF(SalesData[[#This Row],[Revenue]]=0,0,SalesData[[#This Row],[Profit]]/SalesData[[#This Row],[Revenue]])</f>
        <v>0.74839999999999995</v>
      </c>
      <c r="R231" t="s">
        <v>1046</v>
      </c>
      <c r="S231" t="s">
        <v>1245</v>
      </c>
      <c r="T231" t="str">
        <f>PROPER(SalesData[[#This Row],[Customer Name]])</f>
        <v>Lucas Williams</v>
      </c>
      <c r="U231" t="s">
        <v>1414</v>
      </c>
      <c r="V231" t="s">
        <v>1419</v>
      </c>
    </row>
    <row r="232" spans="1:22" x14ac:dyDescent="0.25">
      <c r="A232" t="s">
        <v>1658</v>
      </c>
      <c r="B232" s="5">
        <v>45368</v>
      </c>
      <c r="C232" s="2" t="str">
        <f>TEXT(SalesData[[#This Row],[Order Date]],"mmm")</f>
        <v>Mar</v>
      </c>
      <c r="D232" s="7">
        <f>MONTH(SalesData[[#This Row],[Order Date]])</f>
        <v>3</v>
      </c>
      <c r="E232" s="7">
        <f>YEAR(SalesData[[#This Row],[Order Date]])</f>
        <v>2024</v>
      </c>
      <c r="F232" t="s">
        <v>525</v>
      </c>
      <c r="G232" t="str">
        <f>PROPER(SalesData[[#This Row],[Product Name]])</f>
        <v>Biodegradable Cleaning Cloth</v>
      </c>
      <c r="H232" t="s">
        <v>1015</v>
      </c>
      <c r="I232" t="str">
        <f>UPPER(SalesData[[#This Row],[Product Category]])</f>
        <v>CLEANING</v>
      </c>
      <c r="J232">
        <v>4</v>
      </c>
      <c r="K232">
        <v>10</v>
      </c>
      <c r="L232" s="15">
        <f>IF(SalesData[[#This Row],[Unit Price]]="",
    AVERAGEIFS(SalesData[Unit Price],
               SalesData[Product Name],SalesData[[#This Row],[Product Name]]),
    SalesData[[#This Row],[Unit Price]])</f>
        <v>10</v>
      </c>
      <c r="M232" s="15">
        <v>3.87</v>
      </c>
      <c r="N232" s="15">
        <f>SalesData[[#This Row],[Quantity Sold]] * SalesData[[#This Row],[Cleaned Unit Price]]</f>
        <v>40</v>
      </c>
      <c r="O232" s="15">
        <f>SalesData[[#This Row],[Quantity Sold]] * SalesData[[#This Row],[Unit Cost]]</f>
        <v>15.48</v>
      </c>
      <c r="P232" s="15">
        <f>SalesData[[#This Row],[Revenue]] - SalesData[[#This Row],[Cost]]</f>
        <v>24.52</v>
      </c>
      <c r="Q232" s="13">
        <f>IF(SalesData[[#This Row],[Revenue]]=0,0,SalesData[[#This Row],[Profit]]/SalesData[[#This Row],[Revenue]])</f>
        <v>0.61299999999999999</v>
      </c>
      <c r="R232" t="s">
        <v>1043</v>
      </c>
      <c r="S232" t="s">
        <v>1242</v>
      </c>
      <c r="T232" t="str">
        <f>PROPER(SalesData[[#This Row],[Customer Name]])</f>
        <v>Ethan Miller</v>
      </c>
      <c r="U232" t="s">
        <v>1414</v>
      </c>
      <c r="V232" t="s">
        <v>1425</v>
      </c>
    </row>
    <row r="233" spans="1:22" x14ac:dyDescent="0.25">
      <c r="A233" t="s">
        <v>1659</v>
      </c>
      <c r="B233" s="5">
        <v>45368</v>
      </c>
      <c r="C233" s="2" t="str">
        <f>TEXT(SalesData[[#This Row],[Order Date]],"mmm")</f>
        <v>Mar</v>
      </c>
      <c r="D233" s="7">
        <f>MONTH(SalesData[[#This Row],[Order Date]])</f>
        <v>3</v>
      </c>
      <c r="E233" s="7">
        <f>YEAR(SalesData[[#This Row],[Order Date]])</f>
        <v>2024</v>
      </c>
      <c r="F233" t="s">
        <v>624</v>
      </c>
      <c r="G233" t="str">
        <f>PROPER(SalesData[[#This Row],[Product Name]])</f>
        <v>Solar Led Lantern</v>
      </c>
      <c r="H233" t="s">
        <v>1012</v>
      </c>
      <c r="I233" t="str">
        <f>UPPER(SalesData[[#This Row],[Product Category]])</f>
        <v>LIGHTING</v>
      </c>
      <c r="J233">
        <v>1</v>
      </c>
      <c r="K233">
        <v>40</v>
      </c>
      <c r="L233" s="15">
        <f>IF(SalesData[[#This Row],[Unit Price]]="",
    AVERAGEIFS(SalesData[Unit Price],
               SalesData[Product Name],SalesData[[#This Row],[Product Name]]),
    SalesData[[#This Row],[Unit Price]])</f>
        <v>40</v>
      </c>
      <c r="M233" s="15">
        <v>9.98</v>
      </c>
      <c r="N233" s="15">
        <f>SalesData[[#This Row],[Quantity Sold]] * SalesData[[#This Row],[Cleaned Unit Price]]</f>
        <v>40</v>
      </c>
      <c r="O233" s="15">
        <f>SalesData[[#This Row],[Quantity Sold]] * SalesData[[#This Row],[Unit Cost]]</f>
        <v>9.98</v>
      </c>
      <c r="P233" s="15">
        <f>SalesData[[#This Row],[Revenue]] - SalesData[[#This Row],[Cost]]</f>
        <v>30.02</v>
      </c>
      <c r="Q233" s="13">
        <f>IF(SalesData[[#This Row],[Revenue]]=0,0,SalesData[[#This Row],[Profit]]/SalesData[[#This Row],[Revenue]])</f>
        <v>0.75049999999999994</v>
      </c>
      <c r="R233" t="s">
        <v>1023</v>
      </c>
      <c r="S233" t="s">
        <v>1222</v>
      </c>
      <c r="T233" t="str">
        <f>PROPER(SalesData[[#This Row],[Customer Name]])</f>
        <v>Liam Garcia</v>
      </c>
      <c r="U233" t="s">
        <v>1414</v>
      </c>
      <c r="V233" t="s">
        <v>1420</v>
      </c>
    </row>
    <row r="234" spans="1:22" x14ac:dyDescent="0.25">
      <c r="A234" t="s">
        <v>1660</v>
      </c>
      <c r="B234" s="5">
        <v>45369</v>
      </c>
      <c r="C234" s="2" t="str">
        <f>TEXT(SalesData[[#This Row],[Order Date]],"mmm")</f>
        <v>Mar</v>
      </c>
      <c r="D234" s="7">
        <f>MONTH(SalesData[[#This Row],[Order Date]])</f>
        <v>3</v>
      </c>
      <c r="E234" s="7">
        <f>YEAR(SalesData[[#This Row],[Order Date]])</f>
        <v>2024</v>
      </c>
      <c r="F234" t="s">
        <v>801</v>
      </c>
      <c r="G234" t="str">
        <f>PROPER(SalesData[[#This Row],[Product Name]])</f>
        <v>Eco Canvas Tote Bag</v>
      </c>
      <c r="H234" t="s">
        <v>1013</v>
      </c>
      <c r="I234" t="str">
        <f>UPPER(SalesData[[#This Row],[Product Category]])</f>
        <v>BAGS</v>
      </c>
      <c r="J234">
        <v>3</v>
      </c>
      <c r="K234">
        <v>25</v>
      </c>
      <c r="L234" s="15">
        <f>IF(SalesData[[#This Row],[Unit Price]]="",
    AVERAGEIFS(SalesData[Unit Price],
               SalesData[Product Name],SalesData[[#This Row],[Product Name]]),
    SalesData[[#This Row],[Unit Price]])</f>
        <v>25</v>
      </c>
      <c r="M234" s="15">
        <v>8.7100000000000009</v>
      </c>
      <c r="N234" s="15">
        <f>SalesData[[#This Row],[Quantity Sold]] * SalesData[[#This Row],[Cleaned Unit Price]]</f>
        <v>75</v>
      </c>
      <c r="O234" s="15">
        <f>SalesData[[#This Row],[Quantity Sold]] * SalesData[[#This Row],[Unit Cost]]</f>
        <v>26.130000000000003</v>
      </c>
      <c r="P234" s="15">
        <f>SalesData[[#This Row],[Revenue]] - SalesData[[#This Row],[Cost]]</f>
        <v>48.87</v>
      </c>
      <c r="Q234" s="13">
        <f>IF(SalesData[[#This Row],[Revenue]]=0,0,SalesData[[#This Row],[Profit]]/SalesData[[#This Row],[Revenue]])</f>
        <v>0.65159999999999996</v>
      </c>
      <c r="R234" t="s">
        <v>1082</v>
      </c>
      <c r="S234" t="s">
        <v>1281</v>
      </c>
      <c r="T234" t="str">
        <f>PROPER(SalesData[[#This Row],[Customer Name]])</f>
        <v>Mia Brown</v>
      </c>
      <c r="U234" t="s">
        <v>1414</v>
      </c>
      <c r="V234" t="s">
        <v>1425</v>
      </c>
    </row>
    <row r="235" spans="1:22" x14ac:dyDescent="0.25">
      <c r="A235" t="s">
        <v>1661</v>
      </c>
      <c r="B235" s="5">
        <v>45370</v>
      </c>
      <c r="C235" s="2" t="str">
        <f>TEXT(SalesData[[#This Row],[Order Date]],"mmm")</f>
        <v>Mar</v>
      </c>
      <c r="D235" s="7">
        <f>MONTH(SalesData[[#This Row],[Order Date]])</f>
        <v>3</v>
      </c>
      <c r="E235" s="7">
        <f>YEAR(SalesData[[#This Row],[Order Date]])</f>
        <v>2024</v>
      </c>
      <c r="F235" t="s">
        <v>522</v>
      </c>
      <c r="G235" t="str">
        <f>PROPER(SalesData[[#This Row],[Product Name]])</f>
        <v>Eco Canvas Tote Bag</v>
      </c>
      <c r="H235" t="s">
        <v>1013</v>
      </c>
      <c r="I235" t="str">
        <f>UPPER(SalesData[[#This Row],[Product Category]])</f>
        <v>BAGS</v>
      </c>
      <c r="J235">
        <v>8</v>
      </c>
      <c r="K235">
        <v>25</v>
      </c>
      <c r="L235" s="15">
        <f>IF(SalesData[[#This Row],[Unit Price]]="",
    AVERAGEIFS(SalesData[Unit Price],
               SalesData[Product Name],SalesData[[#This Row],[Product Name]]),
    SalesData[[#This Row],[Unit Price]])</f>
        <v>25</v>
      </c>
      <c r="M235" s="15">
        <v>9.14</v>
      </c>
      <c r="N235" s="15">
        <f>SalesData[[#This Row],[Quantity Sold]] * SalesData[[#This Row],[Cleaned Unit Price]]</f>
        <v>200</v>
      </c>
      <c r="O235" s="15">
        <f>SalesData[[#This Row],[Quantity Sold]] * SalesData[[#This Row],[Unit Cost]]</f>
        <v>73.12</v>
      </c>
      <c r="P235" s="15">
        <f>SalesData[[#This Row],[Revenue]] - SalesData[[#This Row],[Cost]]</f>
        <v>126.88</v>
      </c>
      <c r="Q235" s="13">
        <f>IF(SalesData[[#This Row],[Revenue]]=0,0,SalesData[[#This Row],[Profit]]/SalesData[[#This Row],[Revenue]])</f>
        <v>0.63439999999999996</v>
      </c>
      <c r="R235" t="s">
        <v>1176</v>
      </c>
      <c r="S235" t="s">
        <v>1375</v>
      </c>
      <c r="T235" t="str">
        <f>PROPER(SalesData[[#This Row],[Customer Name]])</f>
        <v>Sophia Brown</v>
      </c>
      <c r="U235" t="s">
        <v>1414</v>
      </c>
      <c r="V235" t="s">
        <v>1421</v>
      </c>
    </row>
    <row r="236" spans="1:22" x14ac:dyDescent="0.25">
      <c r="A236" t="s">
        <v>1662</v>
      </c>
      <c r="B236" s="5">
        <v>45370</v>
      </c>
      <c r="C236" s="2" t="str">
        <f>TEXT(SalesData[[#This Row],[Order Date]],"mmm")</f>
        <v>Mar</v>
      </c>
      <c r="D236" s="7">
        <f>MONTH(SalesData[[#This Row],[Order Date]])</f>
        <v>3</v>
      </c>
      <c r="E236" s="7">
        <f>YEAR(SalesData[[#This Row],[Order Date]])</f>
        <v>2024</v>
      </c>
      <c r="F236" t="s">
        <v>831</v>
      </c>
      <c r="G236" t="str">
        <f>PROPER(SalesData[[#This Row],[Product Name]])</f>
        <v>Biodegradable Cleaning Cloth</v>
      </c>
      <c r="H236" t="s">
        <v>1015</v>
      </c>
      <c r="I236" t="str">
        <f>UPPER(SalesData[[#This Row],[Product Category]])</f>
        <v>CLEANING</v>
      </c>
      <c r="J236">
        <v>1</v>
      </c>
      <c r="K236">
        <v>10</v>
      </c>
      <c r="L236" s="15">
        <f>IF(SalesData[[#This Row],[Unit Price]]="",
    AVERAGEIFS(SalesData[Unit Price],
               SalesData[Product Name],SalesData[[#This Row],[Product Name]]),
    SalesData[[#This Row],[Unit Price]])</f>
        <v>10</v>
      </c>
      <c r="M236" s="15">
        <v>3.91</v>
      </c>
      <c r="N236" s="15">
        <f>SalesData[[#This Row],[Quantity Sold]] * SalesData[[#This Row],[Cleaned Unit Price]]</f>
        <v>10</v>
      </c>
      <c r="O236" s="15">
        <f>SalesData[[#This Row],[Quantity Sold]] * SalesData[[#This Row],[Unit Cost]]</f>
        <v>3.91</v>
      </c>
      <c r="P236" s="15">
        <f>SalesData[[#This Row],[Revenue]] - SalesData[[#This Row],[Cost]]</f>
        <v>6.09</v>
      </c>
      <c r="Q236" s="13">
        <f>IF(SalesData[[#This Row],[Revenue]]=0,0,SalesData[[#This Row],[Profit]]/SalesData[[#This Row],[Revenue]])</f>
        <v>0.60899999999999999</v>
      </c>
      <c r="R236" t="s">
        <v>1023</v>
      </c>
      <c r="S236" t="s">
        <v>1222</v>
      </c>
      <c r="T236" t="str">
        <f>PROPER(SalesData[[#This Row],[Customer Name]])</f>
        <v>Liam Garcia</v>
      </c>
      <c r="U236" t="s">
        <v>1414</v>
      </c>
      <c r="V236" t="s">
        <v>1427</v>
      </c>
    </row>
    <row r="237" spans="1:22" x14ac:dyDescent="0.25">
      <c r="A237" t="s">
        <v>1663</v>
      </c>
      <c r="B237" s="5">
        <v>45371</v>
      </c>
      <c r="C237" s="2" t="str">
        <f>TEXT(SalesData[[#This Row],[Order Date]],"mmm")</f>
        <v>Mar</v>
      </c>
      <c r="D237" s="7">
        <f>MONTH(SalesData[[#This Row],[Order Date]])</f>
        <v>3</v>
      </c>
      <c r="E237" s="7">
        <f>YEAR(SalesData[[#This Row],[Order Date]])</f>
        <v>2024</v>
      </c>
      <c r="F237" t="s">
        <v>855</v>
      </c>
      <c r="G237" t="str">
        <f>PROPER(SalesData[[#This Row],[Product Name]])</f>
        <v>Eco Canvas Tote Bag</v>
      </c>
      <c r="H237" t="s">
        <v>1013</v>
      </c>
      <c r="I237" t="str">
        <f>UPPER(SalesData[[#This Row],[Product Category]])</f>
        <v>BAGS</v>
      </c>
      <c r="J237">
        <v>3</v>
      </c>
      <c r="K237">
        <v>25</v>
      </c>
      <c r="L237" s="15">
        <f>IF(SalesData[[#This Row],[Unit Price]]="",
    AVERAGEIFS(SalesData[Unit Price],
               SalesData[Product Name],SalesData[[#This Row],[Product Name]]),
    SalesData[[#This Row],[Unit Price]])</f>
        <v>25</v>
      </c>
      <c r="M237" s="15">
        <v>5.7</v>
      </c>
      <c r="N237" s="15">
        <f>SalesData[[#This Row],[Quantity Sold]] * SalesData[[#This Row],[Cleaned Unit Price]]</f>
        <v>75</v>
      </c>
      <c r="O237" s="15">
        <f>SalesData[[#This Row],[Quantity Sold]] * SalesData[[#This Row],[Unit Cost]]</f>
        <v>17.100000000000001</v>
      </c>
      <c r="P237" s="15">
        <f>SalesData[[#This Row],[Revenue]] - SalesData[[#This Row],[Cost]]</f>
        <v>57.9</v>
      </c>
      <c r="Q237" s="13">
        <f>IF(SalesData[[#This Row],[Revenue]]=0,0,SalesData[[#This Row],[Profit]]/SalesData[[#This Row],[Revenue]])</f>
        <v>0.77200000000000002</v>
      </c>
      <c r="R237" t="s">
        <v>1058</v>
      </c>
      <c r="S237" t="s">
        <v>1257</v>
      </c>
      <c r="T237" t="str">
        <f>PROPER(SalesData[[#This Row],[Customer Name]])</f>
        <v>Logan Smith</v>
      </c>
      <c r="U237" t="s">
        <v>1416</v>
      </c>
      <c r="V237" t="s">
        <v>1422</v>
      </c>
    </row>
    <row r="238" spans="1:22" x14ac:dyDescent="0.25">
      <c r="A238" t="s">
        <v>1664</v>
      </c>
      <c r="B238" s="5">
        <v>45372</v>
      </c>
      <c r="C238" s="2" t="str">
        <f>TEXT(SalesData[[#This Row],[Order Date]],"mmm")</f>
        <v>Mar</v>
      </c>
      <c r="D238" s="7">
        <f>MONTH(SalesData[[#This Row],[Order Date]])</f>
        <v>3</v>
      </c>
      <c r="E238" s="7">
        <f>YEAR(SalesData[[#This Row],[Order Date]])</f>
        <v>2024</v>
      </c>
      <c r="F238" t="s">
        <v>272</v>
      </c>
      <c r="G238" t="str">
        <f>PROPER(SalesData[[#This Row],[Product Name]])</f>
        <v>Compostable Plant Pots</v>
      </c>
      <c r="H238" t="s">
        <v>1011</v>
      </c>
      <c r="I238" t="str">
        <f>UPPER(SalesData[[#This Row],[Product Category]])</f>
        <v>GARDENING</v>
      </c>
      <c r="J238">
        <v>8</v>
      </c>
      <c r="K238">
        <v>12</v>
      </c>
      <c r="L238" s="15">
        <f>IF(SalesData[[#This Row],[Unit Price]]="",
    AVERAGEIFS(SalesData[Unit Price],
               SalesData[Product Name],SalesData[[#This Row],[Product Name]]),
    SalesData[[#This Row],[Unit Price]])</f>
        <v>12</v>
      </c>
      <c r="M238" s="15">
        <v>2.88</v>
      </c>
      <c r="N238" s="15">
        <f>SalesData[[#This Row],[Quantity Sold]] * SalesData[[#This Row],[Cleaned Unit Price]]</f>
        <v>96</v>
      </c>
      <c r="O238" s="15">
        <f>SalesData[[#This Row],[Quantity Sold]] * SalesData[[#This Row],[Unit Cost]]</f>
        <v>23.04</v>
      </c>
      <c r="P238" s="15">
        <f>SalesData[[#This Row],[Revenue]] - SalesData[[#This Row],[Cost]]</f>
        <v>72.960000000000008</v>
      </c>
      <c r="Q238" s="13">
        <f>IF(SalesData[[#This Row],[Revenue]]=0,0,SalesData[[#This Row],[Profit]]/SalesData[[#This Row],[Revenue]])</f>
        <v>0.76000000000000012</v>
      </c>
      <c r="R238" t="s">
        <v>1020</v>
      </c>
      <c r="S238" t="s">
        <v>1219</v>
      </c>
      <c r="T238" t="str">
        <f>PROPER(SalesData[[#This Row],[Customer Name]])</f>
        <v>Noah Garcia</v>
      </c>
      <c r="U238" t="s">
        <v>1417</v>
      </c>
      <c r="V238" t="s">
        <v>1419</v>
      </c>
    </row>
    <row r="239" spans="1:22" x14ac:dyDescent="0.25">
      <c r="A239" t="s">
        <v>1665</v>
      </c>
      <c r="B239" s="5">
        <v>45372</v>
      </c>
      <c r="C239" s="2" t="str">
        <f>TEXT(SalesData[[#This Row],[Order Date]],"mmm")</f>
        <v>Mar</v>
      </c>
      <c r="D239" s="7">
        <f>MONTH(SalesData[[#This Row],[Order Date]])</f>
        <v>3</v>
      </c>
      <c r="E239" s="7">
        <f>YEAR(SalesData[[#This Row],[Order Date]])</f>
        <v>2024</v>
      </c>
      <c r="F239" t="s">
        <v>309</v>
      </c>
      <c r="G239" t="str">
        <f>PROPER(SalesData[[#This Row],[Product Name]])</f>
        <v>Compostable Plant Pots</v>
      </c>
      <c r="H239" t="s">
        <v>1011</v>
      </c>
      <c r="I239" t="str">
        <f>UPPER(SalesData[[#This Row],[Product Category]])</f>
        <v>GARDENING</v>
      </c>
      <c r="J239">
        <v>1</v>
      </c>
      <c r="K239">
        <v>12</v>
      </c>
      <c r="L239" s="15">
        <f>IF(SalesData[[#This Row],[Unit Price]]="",
    AVERAGEIFS(SalesData[Unit Price],
               SalesData[Product Name],SalesData[[#This Row],[Product Name]]),
    SalesData[[#This Row],[Unit Price]])</f>
        <v>12</v>
      </c>
      <c r="M239" s="15">
        <v>3.25</v>
      </c>
      <c r="N239" s="15">
        <f>SalesData[[#This Row],[Quantity Sold]] * SalesData[[#This Row],[Cleaned Unit Price]]</f>
        <v>12</v>
      </c>
      <c r="O239" s="15">
        <f>SalesData[[#This Row],[Quantity Sold]] * SalesData[[#This Row],[Unit Cost]]</f>
        <v>3.25</v>
      </c>
      <c r="P239" s="15">
        <f>SalesData[[#This Row],[Revenue]] - SalesData[[#This Row],[Cost]]</f>
        <v>8.75</v>
      </c>
      <c r="Q239" s="13">
        <f>IF(SalesData[[#This Row],[Revenue]]=0,0,SalesData[[#This Row],[Profit]]/SalesData[[#This Row],[Revenue]])</f>
        <v>0.72916666666666663</v>
      </c>
      <c r="R239" t="s">
        <v>1064</v>
      </c>
      <c r="S239" t="s">
        <v>1263</v>
      </c>
      <c r="T239" t="str">
        <f>PROPER(SalesData[[#This Row],[Customer Name]])</f>
        <v>Isabella Miller</v>
      </c>
      <c r="U239" t="s">
        <v>1417</v>
      </c>
      <c r="V239" t="s">
        <v>1425</v>
      </c>
    </row>
    <row r="240" spans="1:22" x14ac:dyDescent="0.25">
      <c r="A240" t="s">
        <v>1666</v>
      </c>
      <c r="B240" s="5">
        <v>45372</v>
      </c>
      <c r="C240" s="2" t="str">
        <f>TEXT(SalesData[[#This Row],[Order Date]],"mmm")</f>
        <v>Mar</v>
      </c>
      <c r="D240" s="7">
        <f>MONTH(SalesData[[#This Row],[Order Date]])</f>
        <v>3</v>
      </c>
      <c r="E240" s="7">
        <f>YEAR(SalesData[[#This Row],[Order Date]])</f>
        <v>2024</v>
      </c>
      <c r="F240" t="s">
        <v>457</v>
      </c>
      <c r="G240" t="str">
        <f>PROPER(SalesData[[#This Row],[Product Name]])</f>
        <v>Reusable Bamboo Utensil Set</v>
      </c>
      <c r="H240" t="s">
        <v>1014</v>
      </c>
      <c r="I240" t="str">
        <f>UPPER(SalesData[[#This Row],[Product Category]])</f>
        <v>KITCHENWARE</v>
      </c>
      <c r="J240">
        <v>7</v>
      </c>
      <c r="K240">
        <v>15</v>
      </c>
      <c r="L240" s="15">
        <f>IF(SalesData[[#This Row],[Unit Price]]="",
    AVERAGEIFS(SalesData[Unit Price],
               SalesData[Product Name],SalesData[[#This Row],[Product Name]]),
    SalesData[[#This Row],[Unit Price]])</f>
        <v>15</v>
      </c>
      <c r="M240" s="15">
        <v>3.63</v>
      </c>
      <c r="N240" s="15">
        <f>SalesData[[#This Row],[Quantity Sold]] * SalesData[[#This Row],[Cleaned Unit Price]]</f>
        <v>105</v>
      </c>
      <c r="O240" s="15">
        <f>SalesData[[#This Row],[Quantity Sold]] * SalesData[[#This Row],[Unit Cost]]</f>
        <v>25.41</v>
      </c>
      <c r="P240" s="15">
        <f>SalesData[[#This Row],[Revenue]] - SalesData[[#This Row],[Cost]]</f>
        <v>79.59</v>
      </c>
      <c r="Q240" s="13">
        <f>IF(SalesData[[#This Row],[Revenue]]=0,0,SalesData[[#This Row],[Profit]]/SalesData[[#This Row],[Revenue]])</f>
        <v>0.75800000000000001</v>
      </c>
      <c r="R240" t="s">
        <v>1102</v>
      </c>
      <c r="S240" t="s">
        <v>1301</v>
      </c>
      <c r="T240" t="str">
        <f>PROPER(SalesData[[#This Row],[Customer Name]])</f>
        <v>Aiden Garcia</v>
      </c>
      <c r="U240" t="s">
        <v>1414</v>
      </c>
      <c r="V240" t="s">
        <v>1426</v>
      </c>
    </row>
    <row r="241" spans="1:22" x14ac:dyDescent="0.25">
      <c r="A241" t="s">
        <v>1667</v>
      </c>
      <c r="B241" s="5">
        <v>45372</v>
      </c>
      <c r="C241" s="2" t="str">
        <f>TEXT(SalesData[[#This Row],[Order Date]],"mmm")</f>
        <v>Mar</v>
      </c>
      <c r="D241" s="7">
        <f>MONTH(SalesData[[#This Row],[Order Date]])</f>
        <v>3</v>
      </c>
      <c r="E241" s="7">
        <f>YEAR(SalesData[[#This Row],[Order Date]])</f>
        <v>2024</v>
      </c>
      <c r="F241" t="s">
        <v>765</v>
      </c>
      <c r="G241" t="str">
        <f>PROPER(SalesData[[#This Row],[Product Name]])</f>
        <v>Biodegradable Cleaning Cloth</v>
      </c>
      <c r="H241" t="s">
        <v>1015</v>
      </c>
      <c r="I241" t="str">
        <f>UPPER(SalesData[[#This Row],[Product Category]])</f>
        <v>CLEANING</v>
      </c>
      <c r="J241">
        <v>5</v>
      </c>
      <c r="K241">
        <v>10</v>
      </c>
      <c r="L241" s="15">
        <f>IF(SalesData[[#This Row],[Unit Price]]="",
    AVERAGEIFS(SalesData[Unit Price],
               SalesData[Product Name],SalesData[[#This Row],[Product Name]]),
    SalesData[[#This Row],[Unit Price]])</f>
        <v>10</v>
      </c>
      <c r="M241" s="15">
        <v>3.98</v>
      </c>
      <c r="N241" s="15">
        <f>SalesData[[#This Row],[Quantity Sold]] * SalesData[[#This Row],[Cleaned Unit Price]]</f>
        <v>50</v>
      </c>
      <c r="O241" s="15">
        <f>SalesData[[#This Row],[Quantity Sold]] * SalesData[[#This Row],[Unit Cost]]</f>
        <v>19.899999999999999</v>
      </c>
      <c r="P241" s="15">
        <f>SalesData[[#This Row],[Revenue]] - SalesData[[#This Row],[Cost]]</f>
        <v>30.1</v>
      </c>
      <c r="Q241" s="13">
        <f>IF(SalesData[[#This Row],[Revenue]]=0,0,SalesData[[#This Row],[Profit]]/SalesData[[#This Row],[Revenue]])</f>
        <v>0.60199999999999998</v>
      </c>
      <c r="R241" t="s">
        <v>1139</v>
      </c>
      <c r="S241" t="s">
        <v>1338</v>
      </c>
      <c r="T241" t="str">
        <f>PROPER(SalesData[[#This Row],[Customer Name]])</f>
        <v>Oliver Miller</v>
      </c>
      <c r="U241" t="s">
        <v>1414</v>
      </c>
      <c r="V241" t="s">
        <v>1427</v>
      </c>
    </row>
    <row r="242" spans="1:22" x14ac:dyDescent="0.25">
      <c r="A242" t="s">
        <v>1668</v>
      </c>
      <c r="B242" s="5">
        <v>45373</v>
      </c>
      <c r="C242" s="2" t="str">
        <f>TEXT(SalesData[[#This Row],[Order Date]],"mmm")</f>
        <v>Mar</v>
      </c>
      <c r="D242" s="7">
        <f>MONTH(SalesData[[#This Row],[Order Date]])</f>
        <v>3</v>
      </c>
      <c r="E242" s="7">
        <f>YEAR(SalesData[[#This Row],[Order Date]])</f>
        <v>2024</v>
      </c>
      <c r="F242" t="s">
        <v>410</v>
      </c>
      <c r="G242" t="str">
        <f>PROPER(SalesData[[#This Row],[Product Name]])</f>
        <v>Reusable Bamboo Utensil Set</v>
      </c>
      <c r="H242" t="s">
        <v>1014</v>
      </c>
      <c r="I242" t="str">
        <f>UPPER(SalesData[[#This Row],[Product Category]])</f>
        <v>KITCHENWARE</v>
      </c>
      <c r="J242">
        <v>4</v>
      </c>
      <c r="K242">
        <v>15</v>
      </c>
      <c r="L242" s="15">
        <f>IF(SalesData[[#This Row],[Unit Price]]="",
    AVERAGEIFS(SalesData[Unit Price],
               SalesData[Product Name],SalesData[[#This Row],[Product Name]]),
    SalesData[[#This Row],[Unit Price]])</f>
        <v>15</v>
      </c>
      <c r="M242" s="15">
        <v>3.4</v>
      </c>
      <c r="N242" s="15">
        <f>SalesData[[#This Row],[Quantity Sold]] * SalesData[[#This Row],[Cleaned Unit Price]]</f>
        <v>60</v>
      </c>
      <c r="O242" s="15">
        <f>SalesData[[#This Row],[Quantity Sold]] * SalesData[[#This Row],[Unit Cost]]</f>
        <v>13.6</v>
      </c>
      <c r="P242" s="15">
        <f>SalesData[[#This Row],[Revenue]] - SalesData[[#This Row],[Cost]]</f>
        <v>46.4</v>
      </c>
      <c r="Q242" s="13">
        <f>IF(SalesData[[#This Row],[Revenue]]=0,0,SalesData[[#This Row],[Profit]]/SalesData[[#This Row],[Revenue]])</f>
        <v>0.77333333333333332</v>
      </c>
      <c r="R242" t="s">
        <v>1080</v>
      </c>
      <c r="S242" t="s">
        <v>1279</v>
      </c>
      <c r="T242" t="str">
        <f>PROPER(SalesData[[#This Row],[Customer Name]])</f>
        <v>Mason Johnson</v>
      </c>
      <c r="U242" t="s">
        <v>1416</v>
      </c>
      <c r="V242" t="s">
        <v>1426</v>
      </c>
    </row>
    <row r="243" spans="1:22" x14ac:dyDescent="0.25">
      <c r="A243" t="s">
        <v>1669</v>
      </c>
      <c r="B243" s="5">
        <v>45373</v>
      </c>
      <c r="C243" s="2" t="str">
        <f>TEXT(SalesData[[#This Row],[Order Date]],"mmm")</f>
        <v>Mar</v>
      </c>
      <c r="D243" s="7">
        <f>MONTH(SalesData[[#This Row],[Order Date]])</f>
        <v>3</v>
      </c>
      <c r="E243" s="7">
        <f>YEAR(SalesData[[#This Row],[Order Date]])</f>
        <v>2024</v>
      </c>
      <c r="F243" t="s">
        <v>722</v>
      </c>
      <c r="G243" t="str">
        <f>PROPER(SalesData[[#This Row],[Product Name]])</f>
        <v>Solar Led Lantern</v>
      </c>
      <c r="H243" t="s">
        <v>1012</v>
      </c>
      <c r="I243" t="str">
        <f>UPPER(SalesData[[#This Row],[Product Category]])</f>
        <v>LIGHTING</v>
      </c>
      <c r="J243">
        <v>9</v>
      </c>
      <c r="K243">
        <v>40</v>
      </c>
      <c r="L243" s="15">
        <f>IF(SalesData[[#This Row],[Unit Price]]="",
    AVERAGEIFS(SalesData[Unit Price],
               SalesData[Product Name],SalesData[[#This Row],[Product Name]]),
    SalesData[[#This Row],[Unit Price]])</f>
        <v>40</v>
      </c>
      <c r="M243" s="15">
        <v>10.92</v>
      </c>
      <c r="N243" s="15">
        <f>SalesData[[#This Row],[Quantity Sold]] * SalesData[[#This Row],[Cleaned Unit Price]]</f>
        <v>360</v>
      </c>
      <c r="O243" s="15">
        <f>SalesData[[#This Row],[Quantity Sold]] * SalesData[[#This Row],[Unit Cost]]</f>
        <v>98.28</v>
      </c>
      <c r="P243" s="15">
        <f>SalesData[[#This Row],[Revenue]] - SalesData[[#This Row],[Cost]]</f>
        <v>261.72000000000003</v>
      </c>
      <c r="Q243" s="13">
        <f>IF(SalesData[[#This Row],[Revenue]]=0,0,SalesData[[#This Row],[Profit]]/SalesData[[#This Row],[Revenue]])</f>
        <v>0.72700000000000009</v>
      </c>
      <c r="R243" t="s">
        <v>1211</v>
      </c>
      <c r="S243" t="s">
        <v>1410</v>
      </c>
      <c r="T243" t="str">
        <f>PROPER(SalesData[[#This Row],[Customer Name]])</f>
        <v>Emma Davis</v>
      </c>
      <c r="U243" t="s">
        <v>1417</v>
      </c>
      <c r="V243" t="s">
        <v>1420</v>
      </c>
    </row>
    <row r="244" spans="1:22" x14ac:dyDescent="0.25">
      <c r="A244" t="s">
        <v>1670</v>
      </c>
      <c r="B244" s="5">
        <v>45373</v>
      </c>
      <c r="C244" s="2" t="str">
        <f>TEXT(SalesData[[#This Row],[Order Date]],"mmm")</f>
        <v>Mar</v>
      </c>
      <c r="D244" s="7">
        <f>MONTH(SalesData[[#This Row],[Order Date]])</f>
        <v>3</v>
      </c>
      <c r="E244" s="7">
        <f>YEAR(SalesData[[#This Row],[Order Date]])</f>
        <v>2024</v>
      </c>
      <c r="F244" t="s">
        <v>786</v>
      </c>
      <c r="G244" t="str">
        <f>PROPER(SalesData[[#This Row],[Product Name]])</f>
        <v>Biodegradable Cleaning Cloth</v>
      </c>
      <c r="H244" t="s">
        <v>1015</v>
      </c>
      <c r="I244" t="str">
        <f>UPPER(SalesData[[#This Row],[Product Category]])</f>
        <v>CLEANING</v>
      </c>
      <c r="J244">
        <v>3</v>
      </c>
      <c r="K244">
        <v>10</v>
      </c>
      <c r="L244" s="15">
        <f>IF(SalesData[[#This Row],[Unit Price]]="",
    AVERAGEIFS(SalesData[Unit Price],
               SalesData[Product Name],SalesData[[#This Row],[Product Name]]),
    SalesData[[#This Row],[Unit Price]])</f>
        <v>10</v>
      </c>
      <c r="M244" s="15">
        <v>2.91</v>
      </c>
      <c r="N244" s="15">
        <f>SalesData[[#This Row],[Quantity Sold]] * SalesData[[#This Row],[Cleaned Unit Price]]</f>
        <v>30</v>
      </c>
      <c r="O244" s="15">
        <f>SalesData[[#This Row],[Quantity Sold]] * SalesData[[#This Row],[Unit Cost]]</f>
        <v>8.73</v>
      </c>
      <c r="P244" s="15">
        <f>SalesData[[#This Row],[Revenue]] - SalesData[[#This Row],[Cost]]</f>
        <v>21.27</v>
      </c>
      <c r="Q244" s="13">
        <f>IF(SalesData[[#This Row],[Revenue]]=0,0,SalesData[[#This Row],[Profit]]/SalesData[[#This Row],[Revenue]])</f>
        <v>0.70899999999999996</v>
      </c>
      <c r="R244" t="s">
        <v>1166</v>
      </c>
      <c r="S244" t="s">
        <v>1365</v>
      </c>
      <c r="T244" t="str">
        <f>PROPER(SalesData[[#This Row],[Customer Name]])</f>
        <v>Olivia Garcia</v>
      </c>
      <c r="U244" t="s">
        <v>1416</v>
      </c>
      <c r="V244" t="s">
        <v>1424</v>
      </c>
    </row>
    <row r="245" spans="1:22" x14ac:dyDescent="0.25">
      <c r="A245" t="s">
        <v>1671</v>
      </c>
      <c r="B245" s="5">
        <v>45373</v>
      </c>
      <c r="C245" s="2" t="str">
        <f>TEXT(SalesData[[#This Row],[Order Date]],"mmm")</f>
        <v>Mar</v>
      </c>
      <c r="D245" s="7">
        <f>MONTH(SalesData[[#This Row],[Order Date]])</f>
        <v>3</v>
      </c>
      <c r="E245" s="7">
        <f>YEAR(SalesData[[#This Row],[Order Date]])</f>
        <v>2024</v>
      </c>
      <c r="F245" t="s">
        <v>899</v>
      </c>
      <c r="G245" t="str">
        <f>PROPER(SalesData[[#This Row],[Product Name]])</f>
        <v>Solar Led Lantern</v>
      </c>
      <c r="H245" t="s">
        <v>1012</v>
      </c>
      <c r="I245" t="str">
        <f>UPPER(SalesData[[#This Row],[Product Category]])</f>
        <v>LIGHTING</v>
      </c>
      <c r="J245">
        <v>2</v>
      </c>
      <c r="K245">
        <v>40</v>
      </c>
      <c r="L245" s="15">
        <f>IF(SalesData[[#This Row],[Unit Price]]="",
    AVERAGEIFS(SalesData[Unit Price],
               SalesData[Product Name],SalesData[[#This Row],[Product Name]]),
    SalesData[[#This Row],[Unit Price]])</f>
        <v>40</v>
      </c>
      <c r="M245" s="15">
        <v>11.01</v>
      </c>
      <c r="N245" s="15">
        <f>SalesData[[#This Row],[Quantity Sold]] * SalesData[[#This Row],[Cleaned Unit Price]]</f>
        <v>80</v>
      </c>
      <c r="O245" s="15">
        <f>SalesData[[#This Row],[Quantity Sold]] * SalesData[[#This Row],[Unit Cost]]</f>
        <v>22.02</v>
      </c>
      <c r="P245" s="15">
        <f>SalesData[[#This Row],[Revenue]] - SalesData[[#This Row],[Cost]]</f>
        <v>57.980000000000004</v>
      </c>
      <c r="Q245" s="13">
        <f>IF(SalesData[[#This Row],[Revenue]]=0,0,SalesData[[#This Row],[Profit]]/SalesData[[#This Row],[Revenue]])</f>
        <v>0.72475000000000001</v>
      </c>
      <c r="R245" t="s">
        <v>1202</v>
      </c>
      <c r="S245" t="s">
        <v>1401</v>
      </c>
      <c r="T245" t="str">
        <f>PROPER(SalesData[[#This Row],[Customer Name]])</f>
        <v>Aiden Smith</v>
      </c>
      <c r="U245" t="s">
        <v>1416</v>
      </c>
      <c r="V245" t="s">
        <v>1421</v>
      </c>
    </row>
    <row r="246" spans="1:22" x14ac:dyDescent="0.25">
      <c r="A246" t="s">
        <v>1672</v>
      </c>
      <c r="B246" s="5">
        <v>45374</v>
      </c>
      <c r="C246" s="2" t="str">
        <f>TEXT(SalesData[[#This Row],[Order Date]],"mmm")</f>
        <v>Mar</v>
      </c>
      <c r="D246" s="7">
        <f>MONTH(SalesData[[#This Row],[Order Date]])</f>
        <v>3</v>
      </c>
      <c r="E246" s="7">
        <f>YEAR(SalesData[[#This Row],[Order Date]])</f>
        <v>2024</v>
      </c>
      <c r="F246" t="s">
        <v>17</v>
      </c>
      <c r="G246" t="str">
        <f>PROPER(SalesData[[#This Row],[Product Name]])</f>
        <v>Reusable Bamboo Utensil Set</v>
      </c>
      <c r="H246" t="s">
        <v>1014</v>
      </c>
      <c r="I246" t="str">
        <f>UPPER(SalesData[[#This Row],[Product Category]])</f>
        <v>KITCHENWARE</v>
      </c>
      <c r="J246">
        <v>2</v>
      </c>
      <c r="K246">
        <v>15</v>
      </c>
      <c r="L246" s="15">
        <f>IF(SalesData[[#This Row],[Unit Price]]="",
    AVERAGEIFS(SalesData[Unit Price],
               SalesData[Product Name],SalesData[[#This Row],[Product Name]]),
    SalesData[[#This Row],[Unit Price]])</f>
        <v>15</v>
      </c>
      <c r="M246" s="15">
        <v>4.99</v>
      </c>
      <c r="N246" s="15">
        <f>SalesData[[#This Row],[Quantity Sold]] * SalesData[[#This Row],[Cleaned Unit Price]]</f>
        <v>30</v>
      </c>
      <c r="O246" s="15">
        <f>SalesData[[#This Row],[Quantity Sold]] * SalesData[[#This Row],[Unit Cost]]</f>
        <v>9.98</v>
      </c>
      <c r="P246" s="15">
        <f>SalesData[[#This Row],[Revenue]] - SalesData[[#This Row],[Cost]]</f>
        <v>20.02</v>
      </c>
      <c r="Q246" s="13">
        <f>IF(SalesData[[#This Row],[Revenue]]=0,0,SalesData[[#This Row],[Profit]]/SalesData[[#This Row],[Revenue]])</f>
        <v>0.66733333333333333</v>
      </c>
      <c r="R246" t="s">
        <v>1022</v>
      </c>
      <c r="S246" t="s">
        <v>1221</v>
      </c>
      <c r="T246" t="str">
        <f>PROPER(SalesData[[#This Row],[Customer Name]])</f>
        <v>Liam Johnson</v>
      </c>
      <c r="U246" t="s">
        <v>1414</v>
      </c>
      <c r="V246" t="s">
        <v>1423</v>
      </c>
    </row>
    <row r="247" spans="1:22" x14ac:dyDescent="0.25">
      <c r="A247" t="s">
        <v>1673</v>
      </c>
      <c r="B247" s="5">
        <v>45374</v>
      </c>
      <c r="C247" s="2" t="str">
        <f>TEXT(SalesData[[#This Row],[Order Date]],"mmm")</f>
        <v>Mar</v>
      </c>
      <c r="D247" s="7">
        <f>MONTH(SalesData[[#This Row],[Order Date]])</f>
        <v>3</v>
      </c>
      <c r="E247" s="7">
        <f>YEAR(SalesData[[#This Row],[Order Date]])</f>
        <v>2024</v>
      </c>
      <c r="F247" t="s">
        <v>110</v>
      </c>
      <c r="G247" t="str">
        <f>PROPER(SalesData[[#This Row],[Product Name]])</f>
        <v>Solar Led Lantern</v>
      </c>
      <c r="H247" t="s">
        <v>1012</v>
      </c>
      <c r="I247" t="str">
        <f>UPPER(SalesData[[#This Row],[Product Category]])</f>
        <v>LIGHTING</v>
      </c>
      <c r="J247">
        <v>2</v>
      </c>
      <c r="K247">
        <v>40</v>
      </c>
      <c r="L247" s="15">
        <f>IF(SalesData[[#This Row],[Unit Price]]="",
    AVERAGEIFS(SalesData[Unit Price],
               SalesData[Product Name],SalesData[[#This Row],[Product Name]]),
    SalesData[[#This Row],[Unit Price]])</f>
        <v>40</v>
      </c>
      <c r="M247" s="15">
        <v>10.69</v>
      </c>
      <c r="N247" s="15">
        <f>SalesData[[#This Row],[Quantity Sold]] * SalesData[[#This Row],[Cleaned Unit Price]]</f>
        <v>80</v>
      </c>
      <c r="O247" s="15">
        <f>SalesData[[#This Row],[Quantity Sold]] * SalesData[[#This Row],[Unit Cost]]</f>
        <v>21.38</v>
      </c>
      <c r="P247" s="15">
        <f>SalesData[[#This Row],[Revenue]] - SalesData[[#This Row],[Cost]]</f>
        <v>58.620000000000005</v>
      </c>
      <c r="Q247" s="13">
        <f>IF(SalesData[[#This Row],[Revenue]]=0,0,SalesData[[#This Row],[Profit]]/SalesData[[#This Row],[Revenue]])</f>
        <v>0.73275000000000001</v>
      </c>
      <c r="R247" t="s">
        <v>1092</v>
      </c>
      <c r="S247" t="s">
        <v>1291</v>
      </c>
      <c r="T247" t="str">
        <f>PROPER(SalesData[[#This Row],[Customer Name]])</f>
        <v>Emma Brown</v>
      </c>
      <c r="U247" t="s">
        <v>1414</v>
      </c>
      <c r="V247" t="s">
        <v>1421</v>
      </c>
    </row>
    <row r="248" spans="1:22" x14ac:dyDescent="0.25">
      <c r="A248" t="s">
        <v>1674</v>
      </c>
      <c r="B248" s="5">
        <v>45375</v>
      </c>
      <c r="C248" s="2" t="str">
        <f>TEXT(SalesData[[#This Row],[Order Date]],"mmm")</f>
        <v>Mar</v>
      </c>
      <c r="D248" s="7">
        <f>MONTH(SalesData[[#This Row],[Order Date]])</f>
        <v>3</v>
      </c>
      <c r="E248" s="7">
        <f>YEAR(SalesData[[#This Row],[Order Date]])</f>
        <v>2024</v>
      </c>
      <c r="F248" t="s">
        <v>117</v>
      </c>
      <c r="G248" t="str">
        <f>PROPER(SalesData[[#This Row],[Product Name]])</f>
        <v>Solar Led Lantern</v>
      </c>
      <c r="H248" t="s">
        <v>1012</v>
      </c>
      <c r="I248" t="str">
        <f>UPPER(SalesData[[#This Row],[Product Category]])</f>
        <v>LIGHTING</v>
      </c>
      <c r="J248">
        <v>10</v>
      </c>
      <c r="K248">
        <v>40</v>
      </c>
      <c r="L248" s="15">
        <f>IF(SalesData[[#This Row],[Unit Price]]="",
    AVERAGEIFS(SalesData[Unit Price],
               SalesData[Product Name],SalesData[[#This Row],[Product Name]]),
    SalesData[[#This Row],[Unit Price]])</f>
        <v>40</v>
      </c>
      <c r="M248" s="15">
        <v>9.1</v>
      </c>
      <c r="N248" s="15">
        <f>SalesData[[#This Row],[Quantity Sold]] * SalesData[[#This Row],[Cleaned Unit Price]]</f>
        <v>400</v>
      </c>
      <c r="O248" s="15">
        <f>SalesData[[#This Row],[Quantity Sold]] * SalesData[[#This Row],[Unit Cost]]</f>
        <v>91</v>
      </c>
      <c r="P248" s="15">
        <f>SalesData[[#This Row],[Revenue]] - SalesData[[#This Row],[Cost]]</f>
        <v>309</v>
      </c>
      <c r="Q248" s="13">
        <f>IF(SalesData[[#This Row],[Revenue]]=0,0,SalesData[[#This Row],[Profit]]/SalesData[[#This Row],[Revenue]])</f>
        <v>0.77249999999999996</v>
      </c>
      <c r="R248" t="s">
        <v>1097</v>
      </c>
      <c r="S248" t="s">
        <v>1296</v>
      </c>
      <c r="T248" t="str">
        <f>PROPER(SalesData[[#This Row],[Customer Name]])</f>
        <v>Elijah Brown</v>
      </c>
      <c r="U248" t="s">
        <v>1414</v>
      </c>
      <c r="V248" t="s">
        <v>1425</v>
      </c>
    </row>
    <row r="249" spans="1:22" x14ac:dyDescent="0.25">
      <c r="A249" t="s">
        <v>1675</v>
      </c>
      <c r="B249" s="5">
        <v>45375</v>
      </c>
      <c r="C249" s="2" t="str">
        <f>TEXT(SalesData[[#This Row],[Order Date]],"mmm")</f>
        <v>Mar</v>
      </c>
      <c r="D249" s="7">
        <f>MONTH(SalesData[[#This Row],[Order Date]])</f>
        <v>3</v>
      </c>
      <c r="E249" s="7">
        <f>YEAR(SalesData[[#This Row],[Order Date]])</f>
        <v>2024</v>
      </c>
      <c r="F249" t="s">
        <v>141</v>
      </c>
      <c r="G249" t="str">
        <f>PROPER(SalesData[[#This Row],[Product Name]])</f>
        <v>Solar Led Lantern</v>
      </c>
      <c r="H249" t="s">
        <v>1012</v>
      </c>
      <c r="I249" t="str">
        <f>UPPER(SalesData[[#This Row],[Product Category]])</f>
        <v>LIGHTING</v>
      </c>
      <c r="J249">
        <v>5</v>
      </c>
      <c r="K249">
        <v>40</v>
      </c>
      <c r="L249" s="15">
        <f>IF(SalesData[[#This Row],[Unit Price]]="",
    AVERAGEIFS(SalesData[Unit Price],
               SalesData[Product Name],SalesData[[#This Row],[Product Name]]),
    SalesData[[#This Row],[Unit Price]])</f>
        <v>40</v>
      </c>
      <c r="M249" s="15">
        <v>11.38</v>
      </c>
      <c r="N249" s="15">
        <f>SalesData[[#This Row],[Quantity Sold]] * SalesData[[#This Row],[Cleaned Unit Price]]</f>
        <v>200</v>
      </c>
      <c r="O249" s="15">
        <f>SalesData[[#This Row],[Quantity Sold]] * SalesData[[#This Row],[Unit Cost]]</f>
        <v>56.900000000000006</v>
      </c>
      <c r="P249" s="15">
        <f>SalesData[[#This Row],[Revenue]] - SalesData[[#This Row],[Cost]]</f>
        <v>143.1</v>
      </c>
      <c r="Q249" s="13">
        <f>IF(SalesData[[#This Row],[Revenue]]=0,0,SalesData[[#This Row],[Profit]]/SalesData[[#This Row],[Revenue]])</f>
        <v>0.71550000000000002</v>
      </c>
      <c r="R249" t="s">
        <v>1115</v>
      </c>
      <c r="S249" t="s">
        <v>1314</v>
      </c>
      <c r="T249" t="str">
        <f>PROPER(SalesData[[#This Row],[Customer Name]])</f>
        <v>Noah Brown</v>
      </c>
      <c r="U249" t="s">
        <v>1414</v>
      </c>
      <c r="V249" t="s">
        <v>1421</v>
      </c>
    </row>
    <row r="250" spans="1:22" x14ac:dyDescent="0.25">
      <c r="A250" t="s">
        <v>1676</v>
      </c>
      <c r="B250" s="5">
        <v>45375</v>
      </c>
      <c r="C250" s="2" t="str">
        <f>TEXT(SalesData[[#This Row],[Order Date]],"mmm")</f>
        <v>Mar</v>
      </c>
      <c r="D250" s="7">
        <f>MONTH(SalesData[[#This Row],[Order Date]])</f>
        <v>3</v>
      </c>
      <c r="E250" s="7">
        <f>YEAR(SalesData[[#This Row],[Order Date]])</f>
        <v>2024</v>
      </c>
      <c r="F250" t="s">
        <v>263</v>
      </c>
      <c r="G250" t="str">
        <f>PROPER(SalesData[[#This Row],[Product Name]])</f>
        <v>Solar Led Lantern</v>
      </c>
      <c r="H250" t="s">
        <v>1012</v>
      </c>
      <c r="I250" t="str">
        <f>UPPER(SalesData[[#This Row],[Product Category]])</f>
        <v>LIGHTING</v>
      </c>
      <c r="J250">
        <v>2</v>
      </c>
      <c r="K250">
        <v>40</v>
      </c>
      <c r="L250" s="15">
        <f>IF(SalesData[[#This Row],[Unit Price]]="",
    AVERAGEIFS(SalesData[Unit Price],
               SalesData[Product Name],SalesData[[#This Row],[Product Name]]),
    SalesData[[#This Row],[Unit Price]])</f>
        <v>40</v>
      </c>
      <c r="M250" s="15">
        <v>13.29</v>
      </c>
      <c r="N250" s="15">
        <f>SalesData[[#This Row],[Quantity Sold]] * SalesData[[#This Row],[Cleaned Unit Price]]</f>
        <v>80</v>
      </c>
      <c r="O250" s="15">
        <f>SalesData[[#This Row],[Quantity Sold]] * SalesData[[#This Row],[Unit Cost]]</f>
        <v>26.58</v>
      </c>
      <c r="P250" s="15">
        <f>SalesData[[#This Row],[Revenue]] - SalesData[[#This Row],[Cost]]</f>
        <v>53.42</v>
      </c>
      <c r="Q250" s="13">
        <f>IF(SalesData[[#This Row],[Revenue]]=0,0,SalesData[[#This Row],[Profit]]/SalesData[[#This Row],[Revenue]])</f>
        <v>0.66775000000000007</v>
      </c>
      <c r="R250" t="s">
        <v>1153</v>
      </c>
      <c r="S250" t="s">
        <v>1352</v>
      </c>
      <c r="T250" t="str">
        <f>PROPER(SalesData[[#This Row],[Customer Name]])</f>
        <v>Logan Johnson</v>
      </c>
      <c r="U250" t="s">
        <v>1414</v>
      </c>
      <c r="V250" t="s">
        <v>1426</v>
      </c>
    </row>
    <row r="251" spans="1:22" x14ac:dyDescent="0.25">
      <c r="A251" t="s">
        <v>1677</v>
      </c>
      <c r="B251" s="5">
        <v>45375</v>
      </c>
      <c r="C251" s="2" t="str">
        <f>TEXT(SalesData[[#This Row],[Order Date]],"mmm")</f>
        <v>Mar</v>
      </c>
      <c r="D251" s="7">
        <f>MONTH(SalesData[[#This Row],[Order Date]])</f>
        <v>3</v>
      </c>
      <c r="E251" s="7">
        <f>YEAR(SalesData[[#This Row],[Order Date]])</f>
        <v>2024</v>
      </c>
      <c r="F251" t="s">
        <v>917</v>
      </c>
      <c r="G251" t="str">
        <f>PROPER(SalesData[[#This Row],[Product Name]])</f>
        <v>Solar Led Lantern</v>
      </c>
      <c r="H251" t="s">
        <v>1012</v>
      </c>
      <c r="I251" t="str">
        <f>UPPER(SalesData[[#This Row],[Product Category]])</f>
        <v>LIGHTING</v>
      </c>
      <c r="J251">
        <v>1</v>
      </c>
      <c r="K251">
        <v>40</v>
      </c>
      <c r="L251" s="15">
        <f>IF(SalesData[[#This Row],[Unit Price]]="",
    AVERAGEIFS(SalesData[Unit Price],
               SalesData[Product Name],SalesData[[#This Row],[Product Name]]),
    SalesData[[#This Row],[Unit Price]])</f>
        <v>40</v>
      </c>
      <c r="M251" s="15">
        <v>14.99</v>
      </c>
      <c r="N251" s="15">
        <f>SalesData[[#This Row],[Quantity Sold]] * SalesData[[#This Row],[Cleaned Unit Price]]</f>
        <v>40</v>
      </c>
      <c r="O251" s="15">
        <f>SalesData[[#This Row],[Quantity Sold]] * SalesData[[#This Row],[Unit Cost]]</f>
        <v>14.99</v>
      </c>
      <c r="P251" s="15">
        <f>SalesData[[#This Row],[Revenue]] - SalesData[[#This Row],[Cost]]</f>
        <v>25.009999999999998</v>
      </c>
      <c r="Q251" s="13">
        <f>IF(SalesData[[#This Row],[Revenue]]=0,0,SalesData[[#This Row],[Profit]]/SalesData[[#This Row],[Revenue]])</f>
        <v>0.62524999999999997</v>
      </c>
      <c r="R251" t="s">
        <v>1080</v>
      </c>
      <c r="S251" t="s">
        <v>1279</v>
      </c>
      <c r="T251" t="str">
        <f>PROPER(SalesData[[#This Row],[Customer Name]])</f>
        <v>Mason Johnson</v>
      </c>
      <c r="U251" t="s">
        <v>1417</v>
      </c>
      <c r="V251" t="s">
        <v>1420</v>
      </c>
    </row>
    <row r="252" spans="1:22" x14ac:dyDescent="0.25">
      <c r="A252" t="s">
        <v>1678</v>
      </c>
      <c r="B252" s="5">
        <v>45375</v>
      </c>
      <c r="C252" s="2" t="str">
        <f>TEXT(SalesData[[#This Row],[Order Date]],"mmm")</f>
        <v>Mar</v>
      </c>
      <c r="D252" s="7">
        <f>MONTH(SalesData[[#This Row],[Order Date]])</f>
        <v>3</v>
      </c>
      <c r="E252" s="7">
        <f>YEAR(SalesData[[#This Row],[Order Date]])</f>
        <v>2024</v>
      </c>
      <c r="F252" t="s">
        <v>921</v>
      </c>
      <c r="G252" t="str">
        <f>PROPER(SalesData[[#This Row],[Product Name]])</f>
        <v>Eco Canvas Tote Bag</v>
      </c>
      <c r="H252" t="s">
        <v>1013</v>
      </c>
      <c r="I252" t="str">
        <f>UPPER(SalesData[[#This Row],[Product Category]])</f>
        <v>BAGS</v>
      </c>
      <c r="J252">
        <v>2</v>
      </c>
      <c r="K252">
        <v>25</v>
      </c>
      <c r="L252" s="15">
        <f>IF(SalesData[[#This Row],[Unit Price]]="",
    AVERAGEIFS(SalesData[Unit Price],
               SalesData[Product Name],SalesData[[#This Row],[Product Name]]),
    SalesData[[#This Row],[Unit Price]])</f>
        <v>25</v>
      </c>
      <c r="M252" s="15">
        <v>5.01</v>
      </c>
      <c r="N252" s="15">
        <f>SalesData[[#This Row],[Quantity Sold]] * SalesData[[#This Row],[Cleaned Unit Price]]</f>
        <v>50</v>
      </c>
      <c r="O252" s="15">
        <f>SalesData[[#This Row],[Quantity Sold]] * SalesData[[#This Row],[Unit Cost]]</f>
        <v>10.02</v>
      </c>
      <c r="P252" s="15">
        <f>SalesData[[#This Row],[Revenue]] - SalesData[[#This Row],[Cost]]</f>
        <v>39.980000000000004</v>
      </c>
      <c r="Q252" s="13">
        <f>IF(SalesData[[#This Row],[Revenue]]=0,0,SalesData[[#This Row],[Profit]]/SalesData[[#This Row],[Revenue]])</f>
        <v>0.79960000000000009</v>
      </c>
      <c r="R252" t="s">
        <v>1102</v>
      </c>
      <c r="S252" t="s">
        <v>1301</v>
      </c>
      <c r="T252" t="str">
        <f>PROPER(SalesData[[#This Row],[Customer Name]])</f>
        <v>Aiden Garcia</v>
      </c>
      <c r="U252" t="s">
        <v>1416</v>
      </c>
      <c r="V252" t="s">
        <v>1426</v>
      </c>
    </row>
    <row r="253" spans="1:22" x14ac:dyDescent="0.25">
      <c r="A253" t="s">
        <v>1679</v>
      </c>
      <c r="B253" s="5">
        <v>45377</v>
      </c>
      <c r="C253" s="2" t="str">
        <f>TEXT(SalesData[[#This Row],[Order Date]],"mmm")</f>
        <v>Mar</v>
      </c>
      <c r="D253" s="7">
        <f>MONTH(SalesData[[#This Row],[Order Date]])</f>
        <v>3</v>
      </c>
      <c r="E253" s="7">
        <f>YEAR(SalesData[[#This Row],[Order Date]])</f>
        <v>2024</v>
      </c>
      <c r="F253" t="s">
        <v>386</v>
      </c>
      <c r="G253" t="str">
        <f>PROPER(SalesData[[#This Row],[Product Name]])</f>
        <v>Compostable Plant Pots</v>
      </c>
      <c r="H253" t="s">
        <v>1011</v>
      </c>
      <c r="I253" t="str">
        <f>UPPER(SalesData[[#This Row],[Product Category]])</f>
        <v>GARDENING</v>
      </c>
      <c r="J253">
        <v>9</v>
      </c>
      <c r="K253">
        <v>12</v>
      </c>
      <c r="L253" s="15">
        <f>IF(SalesData[[#This Row],[Unit Price]]="",
    AVERAGEIFS(SalesData[Unit Price],
               SalesData[Product Name],SalesData[[#This Row],[Product Name]]),
    SalesData[[#This Row],[Unit Price]])</f>
        <v>12</v>
      </c>
      <c r="M253" s="15">
        <v>2.99</v>
      </c>
      <c r="N253" s="15">
        <f>SalesData[[#This Row],[Quantity Sold]] * SalesData[[#This Row],[Cleaned Unit Price]]</f>
        <v>108</v>
      </c>
      <c r="O253" s="15">
        <f>SalesData[[#This Row],[Quantity Sold]] * SalesData[[#This Row],[Unit Cost]]</f>
        <v>26.910000000000004</v>
      </c>
      <c r="P253" s="15">
        <f>SalesData[[#This Row],[Revenue]] - SalesData[[#This Row],[Cost]]</f>
        <v>81.09</v>
      </c>
      <c r="Q253" s="13">
        <f>IF(SalesData[[#This Row],[Revenue]]=0,0,SalesData[[#This Row],[Profit]]/SalesData[[#This Row],[Revenue]])</f>
        <v>0.75083333333333335</v>
      </c>
      <c r="R253" t="s">
        <v>1032</v>
      </c>
      <c r="S253" t="s">
        <v>1231</v>
      </c>
      <c r="T253" t="str">
        <f>PROPER(SalesData[[#This Row],[Customer Name]])</f>
        <v>Sophia Garcia</v>
      </c>
      <c r="U253" t="s">
        <v>1414</v>
      </c>
      <c r="V253" t="s">
        <v>1424</v>
      </c>
    </row>
    <row r="254" spans="1:22" x14ac:dyDescent="0.25">
      <c r="A254" t="s">
        <v>1680</v>
      </c>
      <c r="B254" s="5">
        <v>45377</v>
      </c>
      <c r="C254" s="2" t="str">
        <f>TEXT(SalesData[[#This Row],[Order Date]],"mmm")</f>
        <v>Mar</v>
      </c>
      <c r="D254" s="7">
        <f>MONTH(SalesData[[#This Row],[Order Date]])</f>
        <v>3</v>
      </c>
      <c r="E254" s="7">
        <f>YEAR(SalesData[[#This Row],[Order Date]])</f>
        <v>2024</v>
      </c>
      <c r="F254" t="s">
        <v>510</v>
      </c>
      <c r="G254" t="str">
        <f>PROPER(SalesData[[#This Row],[Product Name]])</f>
        <v>Solar Led Lantern</v>
      </c>
      <c r="H254" t="s">
        <v>1012</v>
      </c>
      <c r="I254" t="str">
        <f>UPPER(SalesData[[#This Row],[Product Category]])</f>
        <v>LIGHTING</v>
      </c>
      <c r="J254">
        <v>3</v>
      </c>
      <c r="K254">
        <v>40</v>
      </c>
      <c r="L254" s="15">
        <f>IF(SalesData[[#This Row],[Unit Price]]="",
    AVERAGEIFS(SalesData[Unit Price],
               SalesData[Product Name],SalesData[[#This Row],[Product Name]]),
    SalesData[[#This Row],[Unit Price]])</f>
        <v>40</v>
      </c>
      <c r="M254" s="15">
        <v>12.12</v>
      </c>
      <c r="N254" s="15">
        <f>SalesData[[#This Row],[Quantity Sold]] * SalesData[[#This Row],[Cleaned Unit Price]]</f>
        <v>120</v>
      </c>
      <c r="O254" s="15">
        <f>SalesData[[#This Row],[Quantity Sold]] * SalesData[[#This Row],[Unit Cost]]</f>
        <v>36.36</v>
      </c>
      <c r="P254" s="15">
        <f>SalesData[[#This Row],[Revenue]] - SalesData[[#This Row],[Cost]]</f>
        <v>83.64</v>
      </c>
      <c r="Q254" s="13">
        <f>IF(SalesData[[#This Row],[Revenue]]=0,0,SalesData[[#This Row],[Profit]]/SalesData[[#This Row],[Revenue]])</f>
        <v>0.69699999999999995</v>
      </c>
      <c r="R254" t="s">
        <v>1164</v>
      </c>
      <c r="S254" t="s">
        <v>1363</v>
      </c>
      <c r="T254" t="str">
        <f>PROPER(SalesData[[#This Row],[Customer Name]])</f>
        <v>Amelia Jones</v>
      </c>
      <c r="U254" t="s">
        <v>1414</v>
      </c>
      <c r="V254" t="s">
        <v>1427</v>
      </c>
    </row>
    <row r="255" spans="1:22" x14ac:dyDescent="0.25">
      <c r="A255" t="s">
        <v>1681</v>
      </c>
      <c r="B255" s="5">
        <v>45377</v>
      </c>
      <c r="C255" s="2" t="str">
        <f>TEXT(SalesData[[#This Row],[Order Date]],"mmm")</f>
        <v>Mar</v>
      </c>
      <c r="D255" s="7">
        <f>MONTH(SalesData[[#This Row],[Order Date]])</f>
        <v>3</v>
      </c>
      <c r="E255" s="7">
        <f>YEAR(SalesData[[#This Row],[Order Date]])</f>
        <v>2024</v>
      </c>
      <c r="F255" t="s">
        <v>939</v>
      </c>
      <c r="G255" t="str">
        <f>PROPER(SalesData[[#This Row],[Product Name]])</f>
        <v>Compostable Plant Pots</v>
      </c>
      <c r="H255" t="s">
        <v>1011</v>
      </c>
      <c r="I255" t="str">
        <f>UPPER(SalesData[[#This Row],[Product Category]])</f>
        <v>GARDENING</v>
      </c>
      <c r="J255">
        <v>1</v>
      </c>
      <c r="K255">
        <v>12</v>
      </c>
      <c r="L255" s="15">
        <f>IF(SalesData[[#This Row],[Unit Price]]="",
    AVERAGEIFS(SalesData[Unit Price],
               SalesData[Product Name],SalesData[[#This Row],[Product Name]]),
    SalesData[[#This Row],[Unit Price]])</f>
        <v>12</v>
      </c>
      <c r="M255" s="15">
        <v>3.21</v>
      </c>
      <c r="N255" s="15">
        <f>SalesData[[#This Row],[Quantity Sold]] * SalesData[[#This Row],[Cleaned Unit Price]]</f>
        <v>12</v>
      </c>
      <c r="O255" s="15">
        <f>SalesData[[#This Row],[Quantity Sold]] * SalesData[[#This Row],[Unit Cost]]</f>
        <v>3.21</v>
      </c>
      <c r="P255" s="15">
        <f>SalesData[[#This Row],[Revenue]] - SalesData[[#This Row],[Cost]]</f>
        <v>8.7899999999999991</v>
      </c>
      <c r="Q255" s="13">
        <f>IF(SalesData[[#This Row],[Revenue]]=0,0,SalesData[[#This Row],[Profit]]/SalesData[[#This Row],[Revenue]])</f>
        <v>0.73249999999999993</v>
      </c>
      <c r="R255" t="s">
        <v>1171</v>
      </c>
      <c r="S255" t="s">
        <v>1370</v>
      </c>
      <c r="T255" t="str">
        <f>PROPER(SalesData[[#This Row],[Customer Name]])</f>
        <v>Ava Rodriguez</v>
      </c>
      <c r="U255" t="s">
        <v>1416</v>
      </c>
      <c r="V255" t="s">
        <v>1420</v>
      </c>
    </row>
    <row r="256" spans="1:22" x14ac:dyDescent="0.25">
      <c r="A256" t="s">
        <v>1682</v>
      </c>
      <c r="B256" s="5">
        <v>45378</v>
      </c>
      <c r="C256" s="2" t="str">
        <f>TEXT(SalesData[[#This Row],[Order Date]],"mmm")</f>
        <v>Mar</v>
      </c>
      <c r="D256" s="7">
        <f>MONTH(SalesData[[#This Row],[Order Date]])</f>
        <v>3</v>
      </c>
      <c r="E256" s="7">
        <f>YEAR(SalesData[[#This Row],[Order Date]])</f>
        <v>2024</v>
      </c>
      <c r="F256" t="s">
        <v>11</v>
      </c>
      <c r="G256" t="str">
        <f>PROPER(SalesData[[#This Row],[Product Name]])</f>
        <v>Compostable Plant Pots</v>
      </c>
      <c r="H256" t="s">
        <v>1011</v>
      </c>
      <c r="I256" t="str">
        <f>UPPER(SalesData[[#This Row],[Product Category]])</f>
        <v>GARDENING</v>
      </c>
      <c r="J256">
        <v>5</v>
      </c>
      <c r="K256">
        <v>12</v>
      </c>
      <c r="L256" s="15">
        <f>IF(SalesData[[#This Row],[Unit Price]]="",
    AVERAGEIFS(SalesData[Unit Price],
               SalesData[Product Name],SalesData[[#This Row],[Product Name]]),
    SalesData[[#This Row],[Unit Price]])</f>
        <v>12</v>
      </c>
      <c r="M256" s="15">
        <v>3.41</v>
      </c>
      <c r="N256" s="15">
        <f>SalesData[[#This Row],[Quantity Sold]] * SalesData[[#This Row],[Cleaned Unit Price]]</f>
        <v>60</v>
      </c>
      <c r="O256" s="15">
        <f>SalesData[[#This Row],[Quantity Sold]] * SalesData[[#This Row],[Unit Cost]]</f>
        <v>17.05</v>
      </c>
      <c r="P256" s="15">
        <f>SalesData[[#This Row],[Revenue]] - SalesData[[#This Row],[Cost]]</f>
        <v>42.95</v>
      </c>
      <c r="Q256" s="13">
        <f>IF(SalesData[[#This Row],[Revenue]]=0,0,SalesData[[#This Row],[Profit]]/SalesData[[#This Row],[Revenue]])</f>
        <v>0.71583333333333343</v>
      </c>
      <c r="R256" t="s">
        <v>1016</v>
      </c>
      <c r="S256" t="s">
        <v>1215</v>
      </c>
      <c r="T256" t="str">
        <f>PROPER(SalesData[[#This Row],[Customer Name]])</f>
        <v>Harper Davis</v>
      </c>
      <c r="U256" t="s">
        <v>1414</v>
      </c>
      <c r="V256" t="s">
        <v>1418</v>
      </c>
    </row>
    <row r="257" spans="1:22" x14ac:dyDescent="0.25">
      <c r="A257" t="s">
        <v>1683</v>
      </c>
      <c r="B257" s="5">
        <v>45378</v>
      </c>
      <c r="C257" s="2" t="str">
        <f>TEXT(SalesData[[#This Row],[Order Date]],"mmm")</f>
        <v>Mar</v>
      </c>
      <c r="D257" s="7">
        <f>MONTH(SalesData[[#This Row],[Order Date]])</f>
        <v>3</v>
      </c>
      <c r="E257" s="7">
        <f>YEAR(SalesData[[#This Row],[Order Date]])</f>
        <v>2024</v>
      </c>
      <c r="F257" t="s">
        <v>53</v>
      </c>
      <c r="G257" t="str">
        <f>PROPER(SalesData[[#This Row],[Product Name]])</f>
        <v>Reusable Bamboo Utensil Set</v>
      </c>
      <c r="H257" t="s">
        <v>1014</v>
      </c>
      <c r="I257" t="str">
        <f>UPPER(SalesData[[#This Row],[Product Category]])</f>
        <v>KITCHENWARE</v>
      </c>
      <c r="J257">
        <v>9</v>
      </c>
      <c r="K257">
        <v>15</v>
      </c>
      <c r="L257" s="15">
        <f>IF(SalesData[[#This Row],[Unit Price]]="",
    AVERAGEIFS(SalesData[Unit Price],
               SalesData[Product Name],SalesData[[#This Row],[Product Name]]),
    SalesData[[#This Row],[Unit Price]])</f>
        <v>15</v>
      </c>
      <c r="M257" s="15">
        <v>3.88</v>
      </c>
      <c r="N257" s="15">
        <f>SalesData[[#This Row],[Quantity Sold]] * SalesData[[#This Row],[Cleaned Unit Price]]</f>
        <v>135</v>
      </c>
      <c r="O257" s="15">
        <f>SalesData[[#This Row],[Quantity Sold]] * SalesData[[#This Row],[Unit Cost]]</f>
        <v>34.92</v>
      </c>
      <c r="P257" s="15">
        <f>SalesData[[#This Row],[Revenue]] - SalesData[[#This Row],[Cost]]</f>
        <v>100.08</v>
      </c>
      <c r="Q257" s="13">
        <f>IF(SalesData[[#This Row],[Revenue]]=0,0,SalesData[[#This Row],[Profit]]/SalesData[[#This Row],[Revenue]])</f>
        <v>0.74133333333333329</v>
      </c>
      <c r="R257" t="s">
        <v>1052</v>
      </c>
      <c r="S257" t="s">
        <v>1251</v>
      </c>
      <c r="T257" t="str">
        <f>PROPER(SalesData[[#This Row],[Customer Name]])</f>
        <v>Charlotte Davis</v>
      </c>
      <c r="U257" t="s">
        <v>1414</v>
      </c>
      <c r="V257" t="s">
        <v>1425</v>
      </c>
    </row>
    <row r="258" spans="1:22" x14ac:dyDescent="0.25">
      <c r="A258" t="s">
        <v>1684</v>
      </c>
      <c r="B258" s="5">
        <v>45378</v>
      </c>
      <c r="C258" s="2" t="str">
        <f>TEXT(SalesData[[#This Row],[Order Date]],"mmm")</f>
        <v>Mar</v>
      </c>
      <c r="D258" s="7">
        <f>MONTH(SalesData[[#This Row],[Order Date]])</f>
        <v>3</v>
      </c>
      <c r="E258" s="7">
        <f>YEAR(SalesData[[#This Row],[Order Date]])</f>
        <v>2024</v>
      </c>
      <c r="F258" t="s">
        <v>384</v>
      </c>
      <c r="G258" t="str">
        <f>PROPER(SalesData[[#This Row],[Product Name]])</f>
        <v>Solar Led Lantern</v>
      </c>
      <c r="H258" t="s">
        <v>1012</v>
      </c>
      <c r="I258" t="str">
        <f>UPPER(SalesData[[#This Row],[Product Category]])</f>
        <v>LIGHTING</v>
      </c>
      <c r="J258">
        <v>10</v>
      </c>
      <c r="K258">
        <v>40</v>
      </c>
      <c r="L258" s="15">
        <f>IF(SalesData[[#This Row],[Unit Price]]="",
    AVERAGEIFS(SalesData[Unit Price],
               SalesData[Product Name],SalesData[[#This Row],[Product Name]]),
    SalesData[[#This Row],[Unit Price]])</f>
        <v>40</v>
      </c>
      <c r="M258" s="15">
        <v>11.05</v>
      </c>
      <c r="N258" s="15">
        <f>SalesData[[#This Row],[Quantity Sold]] * SalesData[[#This Row],[Cleaned Unit Price]]</f>
        <v>400</v>
      </c>
      <c r="O258" s="15">
        <f>SalesData[[#This Row],[Quantity Sold]] * SalesData[[#This Row],[Unit Cost]]</f>
        <v>110.5</v>
      </c>
      <c r="P258" s="15">
        <f>SalesData[[#This Row],[Revenue]] - SalesData[[#This Row],[Cost]]</f>
        <v>289.5</v>
      </c>
      <c r="Q258" s="13">
        <f>IF(SalesData[[#This Row],[Revenue]]=0,0,SalesData[[#This Row],[Profit]]/SalesData[[#This Row],[Revenue]])</f>
        <v>0.72375</v>
      </c>
      <c r="R258" t="s">
        <v>1109</v>
      </c>
      <c r="S258" t="s">
        <v>1308</v>
      </c>
      <c r="T258" t="str">
        <f>PROPER(SalesData[[#This Row],[Customer Name]])</f>
        <v>Lucas Smith</v>
      </c>
      <c r="U258" t="s">
        <v>1414</v>
      </c>
      <c r="V258" t="s">
        <v>1426</v>
      </c>
    </row>
    <row r="259" spans="1:22" x14ac:dyDescent="0.25">
      <c r="A259" t="s">
        <v>1685</v>
      </c>
      <c r="B259" s="5">
        <v>45378</v>
      </c>
      <c r="C259" s="2" t="str">
        <f>TEXT(SalesData[[#This Row],[Order Date]],"mmm")</f>
        <v>Mar</v>
      </c>
      <c r="D259" s="7">
        <f>MONTH(SalesData[[#This Row],[Order Date]])</f>
        <v>3</v>
      </c>
      <c r="E259" s="7">
        <f>YEAR(SalesData[[#This Row],[Order Date]])</f>
        <v>2024</v>
      </c>
      <c r="F259" t="s">
        <v>752</v>
      </c>
      <c r="G259" t="str">
        <f>PROPER(SalesData[[#This Row],[Product Name]])</f>
        <v>Biodegradable Cleaning Cloth</v>
      </c>
      <c r="H259" t="s">
        <v>1015</v>
      </c>
      <c r="I259" t="str">
        <f>UPPER(SalesData[[#This Row],[Product Category]])</f>
        <v>CLEANING</v>
      </c>
      <c r="J259">
        <v>2</v>
      </c>
      <c r="K259">
        <v>10</v>
      </c>
      <c r="L259" s="15">
        <f>IF(SalesData[[#This Row],[Unit Price]]="",
    AVERAGEIFS(SalesData[Unit Price],
               SalesData[Product Name],SalesData[[#This Row],[Product Name]]),
    SalesData[[#This Row],[Unit Price]])</f>
        <v>10</v>
      </c>
      <c r="M259" s="15">
        <v>3.43</v>
      </c>
      <c r="N259" s="15">
        <f>SalesData[[#This Row],[Quantity Sold]] * SalesData[[#This Row],[Cleaned Unit Price]]</f>
        <v>20</v>
      </c>
      <c r="O259" s="15">
        <f>SalesData[[#This Row],[Quantity Sold]] * SalesData[[#This Row],[Unit Cost]]</f>
        <v>6.86</v>
      </c>
      <c r="P259" s="15">
        <f>SalesData[[#This Row],[Revenue]] - SalesData[[#This Row],[Cost]]</f>
        <v>13.14</v>
      </c>
      <c r="Q259" s="13">
        <f>IF(SalesData[[#This Row],[Revenue]]=0,0,SalesData[[#This Row],[Profit]]/SalesData[[#This Row],[Revenue]])</f>
        <v>0.65700000000000003</v>
      </c>
      <c r="R259" t="s">
        <v>1080</v>
      </c>
      <c r="S259" t="s">
        <v>1279</v>
      </c>
      <c r="T259" t="str">
        <f>PROPER(SalesData[[#This Row],[Customer Name]])</f>
        <v>Mason Johnson</v>
      </c>
      <c r="U259" t="s">
        <v>1415</v>
      </c>
      <c r="V259" t="s">
        <v>1426</v>
      </c>
    </row>
    <row r="260" spans="1:22" x14ac:dyDescent="0.25">
      <c r="A260" t="s">
        <v>1686</v>
      </c>
      <c r="B260" s="5">
        <v>45379</v>
      </c>
      <c r="C260" s="2" t="str">
        <f>TEXT(SalesData[[#This Row],[Order Date]],"mmm")</f>
        <v>Mar</v>
      </c>
      <c r="D260" s="7">
        <f>MONTH(SalesData[[#This Row],[Order Date]])</f>
        <v>3</v>
      </c>
      <c r="E260" s="7">
        <f>YEAR(SalesData[[#This Row],[Order Date]])</f>
        <v>2024</v>
      </c>
      <c r="F260" t="s">
        <v>187</v>
      </c>
      <c r="G260" t="str">
        <f>PROPER(SalesData[[#This Row],[Product Name]])</f>
        <v>Eco Canvas Tote Bag</v>
      </c>
      <c r="H260" t="s">
        <v>1013</v>
      </c>
      <c r="I260" t="str">
        <f>UPPER(SalesData[[#This Row],[Product Category]])</f>
        <v>BAGS</v>
      </c>
      <c r="J260">
        <v>2</v>
      </c>
      <c r="K260">
        <v>25</v>
      </c>
      <c r="L260" s="15">
        <f>IF(SalesData[[#This Row],[Unit Price]]="",
    AVERAGEIFS(SalesData[Unit Price],
               SalesData[Product Name],SalesData[[#This Row],[Product Name]]),
    SalesData[[#This Row],[Unit Price]])</f>
        <v>25</v>
      </c>
      <c r="M260" s="15">
        <v>6.89</v>
      </c>
      <c r="N260" s="15">
        <f>SalesData[[#This Row],[Quantity Sold]] * SalesData[[#This Row],[Cleaned Unit Price]]</f>
        <v>50</v>
      </c>
      <c r="O260" s="15">
        <f>SalesData[[#This Row],[Quantity Sold]] * SalesData[[#This Row],[Unit Cost]]</f>
        <v>13.78</v>
      </c>
      <c r="P260" s="15">
        <f>SalesData[[#This Row],[Revenue]] - SalesData[[#This Row],[Cost]]</f>
        <v>36.22</v>
      </c>
      <c r="Q260" s="13">
        <f>IF(SalesData[[#This Row],[Revenue]]=0,0,SalesData[[#This Row],[Profit]]/SalesData[[#This Row],[Revenue]])</f>
        <v>0.72439999999999993</v>
      </c>
      <c r="R260" t="s">
        <v>1134</v>
      </c>
      <c r="S260" t="s">
        <v>1333</v>
      </c>
      <c r="T260" t="str">
        <f>PROPER(SalesData[[#This Row],[Customer Name]])</f>
        <v>Ava Martinez</v>
      </c>
      <c r="U260" t="s">
        <v>1415</v>
      </c>
      <c r="V260" t="s">
        <v>1427</v>
      </c>
    </row>
    <row r="261" spans="1:22" x14ac:dyDescent="0.25">
      <c r="A261" t="s">
        <v>1687</v>
      </c>
      <c r="B261" s="5">
        <v>45379</v>
      </c>
      <c r="C261" s="2" t="str">
        <f>TEXT(SalesData[[#This Row],[Order Date]],"mmm")</f>
        <v>Mar</v>
      </c>
      <c r="D261" s="7">
        <f>MONTH(SalesData[[#This Row],[Order Date]])</f>
        <v>3</v>
      </c>
      <c r="E261" s="7">
        <f>YEAR(SalesData[[#This Row],[Order Date]])</f>
        <v>2024</v>
      </c>
      <c r="F261" t="s">
        <v>202</v>
      </c>
      <c r="G261" t="str">
        <f>PROPER(SalesData[[#This Row],[Product Name]])</f>
        <v>Biodegradable Cleaning Cloth</v>
      </c>
      <c r="H261" t="s">
        <v>1015</v>
      </c>
      <c r="I261" t="str">
        <f>UPPER(SalesData[[#This Row],[Product Category]])</f>
        <v>CLEANING</v>
      </c>
      <c r="J261">
        <v>7</v>
      </c>
      <c r="K261">
        <v>10</v>
      </c>
      <c r="L261" s="15">
        <f>IF(SalesData[[#This Row],[Unit Price]]="",
    AVERAGEIFS(SalesData[Unit Price],
               SalesData[Product Name],SalesData[[#This Row],[Product Name]]),
    SalesData[[#This Row],[Unit Price]])</f>
        <v>10</v>
      </c>
      <c r="M261" s="15">
        <v>2.2000000000000002</v>
      </c>
      <c r="N261" s="15">
        <f>SalesData[[#This Row],[Quantity Sold]] * SalesData[[#This Row],[Cleaned Unit Price]]</f>
        <v>70</v>
      </c>
      <c r="O261" s="15">
        <f>SalesData[[#This Row],[Quantity Sold]] * SalesData[[#This Row],[Unit Cost]]</f>
        <v>15.400000000000002</v>
      </c>
      <c r="P261" s="15">
        <f>SalesData[[#This Row],[Revenue]] - SalesData[[#This Row],[Cost]]</f>
        <v>54.599999999999994</v>
      </c>
      <c r="Q261" s="13">
        <f>IF(SalesData[[#This Row],[Revenue]]=0,0,SalesData[[#This Row],[Profit]]/SalesData[[#This Row],[Revenue]])</f>
        <v>0.77999999999999992</v>
      </c>
      <c r="R261" t="s">
        <v>1109</v>
      </c>
      <c r="S261" t="s">
        <v>1308</v>
      </c>
      <c r="T261" t="str">
        <f>PROPER(SalesData[[#This Row],[Customer Name]])</f>
        <v>Lucas Smith</v>
      </c>
      <c r="U261" t="s">
        <v>1416</v>
      </c>
      <c r="V261" t="s">
        <v>1418</v>
      </c>
    </row>
    <row r="262" spans="1:22" x14ac:dyDescent="0.25">
      <c r="A262" t="s">
        <v>1688</v>
      </c>
      <c r="B262" s="5">
        <v>45379</v>
      </c>
      <c r="C262" s="2" t="str">
        <f>TEXT(SalesData[[#This Row],[Order Date]],"mmm")</f>
        <v>Mar</v>
      </c>
      <c r="D262" s="7">
        <f>MONTH(SalesData[[#This Row],[Order Date]])</f>
        <v>3</v>
      </c>
      <c r="E262" s="7">
        <f>YEAR(SalesData[[#This Row],[Order Date]])</f>
        <v>2024</v>
      </c>
      <c r="F262" t="s">
        <v>243</v>
      </c>
      <c r="G262" t="str">
        <f>PROPER(SalesData[[#This Row],[Product Name]])</f>
        <v>Eco Canvas Tote Bag</v>
      </c>
      <c r="H262" t="s">
        <v>1013</v>
      </c>
      <c r="I262" t="str">
        <f>UPPER(SalesData[[#This Row],[Product Category]])</f>
        <v>BAGS</v>
      </c>
      <c r="J262">
        <v>7</v>
      </c>
      <c r="K262">
        <v>25</v>
      </c>
      <c r="L262" s="15">
        <f>IF(SalesData[[#This Row],[Unit Price]]="",
    AVERAGEIFS(SalesData[Unit Price],
               SalesData[Product Name],SalesData[[#This Row],[Product Name]]),
    SalesData[[#This Row],[Unit Price]])</f>
        <v>25</v>
      </c>
      <c r="M262" s="15">
        <v>5.89</v>
      </c>
      <c r="N262" s="15">
        <f>SalesData[[#This Row],[Quantity Sold]] * SalesData[[#This Row],[Cleaned Unit Price]]</f>
        <v>175</v>
      </c>
      <c r="O262" s="15">
        <f>SalesData[[#This Row],[Quantity Sold]] * SalesData[[#This Row],[Unit Cost]]</f>
        <v>41.23</v>
      </c>
      <c r="P262" s="15">
        <f>SalesData[[#This Row],[Revenue]] - SalesData[[#This Row],[Cost]]</f>
        <v>133.77000000000001</v>
      </c>
      <c r="Q262" s="13">
        <f>IF(SalesData[[#This Row],[Revenue]]=0,0,SalesData[[#This Row],[Profit]]/SalesData[[#This Row],[Revenue]])</f>
        <v>0.76440000000000008</v>
      </c>
      <c r="R262" t="s">
        <v>1153</v>
      </c>
      <c r="S262" t="s">
        <v>1352</v>
      </c>
      <c r="T262" t="str">
        <f>PROPER(SalesData[[#This Row],[Customer Name]])</f>
        <v>Logan Johnson</v>
      </c>
      <c r="U262" t="s">
        <v>1414</v>
      </c>
      <c r="V262" t="s">
        <v>1424</v>
      </c>
    </row>
    <row r="263" spans="1:22" x14ac:dyDescent="0.25">
      <c r="A263" t="s">
        <v>1689</v>
      </c>
      <c r="B263" s="5">
        <v>45379</v>
      </c>
      <c r="C263" s="2" t="str">
        <f>TEXT(SalesData[[#This Row],[Order Date]],"mmm")</f>
        <v>Mar</v>
      </c>
      <c r="D263" s="7">
        <f>MONTH(SalesData[[#This Row],[Order Date]])</f>
        <v>3</v>
      </c>
      <c r="E263" s="7">
        <f>YEAR(SalesData[[#This Row],[Order Date]])</f>
        <v>2024</v>
      </c>
      <c r="F263" t="s">
        <v>537</v>
      </c>
      <c r="G263" t="str">
        <f>PROPER(SalesData[[#This Row],[Product Name]])</f>
        <v>Eco Canvas Tote Bag</v>
      </c>
      <c r="H263" t="s">
        <v>1013</v>
      </c>
      <c r="I263" t="str">
        <f>UPPER(SalesData[[#This Row],[Product Category]])</f>
        <v>BAGS</v>
      </c>
      <c r="J263">
        <v>8</v>
      </c>
      <c r="K263">
        <v>25</v>
      </c>
      <c r="L263" s="15">
        <f>IF(SalesData[[#This Row],[Unit Price]]="",
    AVERAGEIFS(SalesData[Unit Price],
               SalesData[Product Name],SalesData[[#This Row],[Product Name]]),
    SalesData[[#This Row],[Unit Price]])</f>
        <v>25</v>
      </c>
      <c r="M263" s="15">
        <v>8.61</v>
      </c>
      <c r="N263" s="15">
        <f>SalesData[[#This Row],[Quantity Sold]] * SalesData[[#This Row],[Cleaned Unit Price]]</f>
        <v>200</v>
      </c>
      <c r="O263" s="15">
        <f>SalesData[[#This Row],[Quantity Sold]] * SalesData[[#This Row],[Unit Cost]]</f>
        <v>68.88</v>
      </c>
      <c r="P263" s="15">
        <f>SalesData[[#This Row],[Revenue]] - SalesData[[#This Row],[Cost]]</f>
        <v>131.12</v>
      </c>
      <c r="Q263" s="13">
        <f>IF(SalesData[[#This Row],[Revenue]]=0,0,SalesData[[#This Row],[Profit]]/SalesData[[#This Row],[Revenue]])</f>
        <v>0.65560000000000007</v>
      </c>
      <c r="R263" t="s">
        <v>1197</v>
      </c>
      <c r="S263" t="s">
        <v>1396</v>
      </c>
      <c r="T263" t="str">
        <f>PROPER(SalesData[[#This Row],[Customer Name]])</f>
        <v>Logan Smith</v>
      </c>
      <c r="U263" t="s">
        <v>1414</v>
      </c>
      <c r="V263" t="s">
        <v>1418</v>
      </c>
    </row>
    <row r="264" spans="1:22" x14ac:dyDescent="0.25">
      <c r="A264" t="s">
        <v>1690</v>
      </c>
      <c r="B264" s="5">
        <v>45380</v>
      </c>
      <c r="C264" s="2" t="str">
        <f>TEXT(SalesData[[#This Row],[Order Date]],"mmm")</f>
        <v>Mar</v>
      </c>
      <c r="D264" s="7">
        <f>MONTH(SalesData[[#This Row],[Order Date]])</f>
        <v>3</v>
      </c>
      <c r="E264" s="7">
        <f>YEAR(SalesData[[#This Row],[Order Date]])</f>
        <v>2024</v>
      </c>
      <c r="F264" t="s">
        <v>104</v>
      </c>
      <c r="G264" t="str">
        <f>PROPER(SalesData[[#This Row],[Product Name]])</f>
        <v>Biodegradable Cleaning Cloth</v>
      </c>
      <c r="H264" t="s">
        <v>1015</v>
      </c>
      <c r="I264" t="str">
        <f>UPPER(SalesData[[#This Row],[Product Category]])</f>
        <v>CLEANING</v>
      </c>
      <c r="J264">
        <v>5</v>
      </c>
      <c r="K264">
        <v>10</v>
      </c>
      <c r="L264" s="15">
        <f>IF(SalesData[[#This Row],[Unit Price]]="",
    AVERAGEIFS(SalesData[Unit Price],
               SalesData[Product Name],SalesData[[#This Row],[Product Name]]),
    SalesData[[#This Row],[Unit Price]])</f>
        <v>10</v>
      </c>
      <c r="M264" s="15">
        <v>2.82</v>
      </c>
      <c r="N264" s="15">
        <f>SalesData[[#This Row],[Quantity Sold]] * SalesData[[#This Row],[Cleaned Unit Price]]</f>
        <v>50</v>
      </c>
      <c r="O264" s="15">
        <f>SalesData[[#This Row],[Quantity Sold]] * SalesData[[#This Row],[Unit Cost]]</f>
        <v>14.1</v>
      </c>
      <c r="P264" s="15">
        <f>SalesData[[#This Row],[Revenue]] - SalesData[[#This Row],[Cost]]</f>
        <v>35.9</v>
      </c>
      <c r="Q264" s="13">
        <f>IF(SalesData[[#This Row],[Revenue]]=0,0,SalesData[[#This Row],[Profit]]/SalesData[[#This Row],[Revenue]])</f>
        <v>0.71799999999999997</v>
      </c>
      <c r="R264" t="s">
        <v>1087</v>
      </c>
      <c r="S264" t="s">
        <v>1286</v>
      </c>
      <c r="T264" t="str">
        <f>PROPER(SalesData[[#This Row],[Customer Name]])</f>
        <v>Liam Smith</v>
      </c>
      <c r="U264" t="s">
        <v>1414</v>
      </c>
      <c r="V264" t="s">
        <v>1427</v>
      </c>
    </row>
    <row r="265" spans="1:22" x14ac:dyDescent="0.25">
      <c r="A265" t="s">
        <v>1691</v>
      </c>
      <c r="B265" s="5">
        <v>45380</v>
      </c>
      <c r="C265" s="2" t="str">
        <f>TEXT(SalesData[[#This Row],[Order Date]],"mmm")</f>
        <v>Mar</v>
      </c>
      <c r="D265" s="7">
        <f>MONTH(SalesData[[#This Row],[Order Date]])</f>
        <v>3</v>
      </c>
      <c r="E265" s="7">
        <f>YEAR(SalesData[[#This Row],[Order Date]])</f>
        <v>2024</v>
      </c>
      <c r="F265" t="s">
        <v>195</v>
      </c>
      <c r="G265" t="str">
        <f>PROPER(SalesData[[#This Row],[Product Name]])</f>
        <v>Solar Led Lantern</v>
      </c>
      <c r="H265" t="s">
        <v>1012</v>
      </c>
      <c r="I265" t="str">
        <f>UPPER(SalesData[[#This Row],[Product Category]])</f>
        <v>LIGHTING</v>
      </c>
      <c r="J265">
        <v>10</v>
      </c>
      <c r="K265">
        <v>40</v>
      </c>
      <c r="L265" s="15">
        <f>IF(SalesData[[#This Row],[Unit Price]]="",
    AVERAGEIFS(SalesData[Unit Price],
               SalesData[Product Name],SalesData[[#This Row],[Product Name]]),
    SalesData[[#This Row],[Unit Price]])</f>
        <v>40</v>
      </c>
      <c r="M265" s="15">
        <v>11.87</v>
      </c>
      <c r="N265" s="15">
        <f>SalesData[[#This Row],[Quantity Sold]] * SalesData[[#This Row],[Cleaned Unit Price]]</f>
        <v>400</v>
      </c>
      <c r="O265" s="15">
        <f>SalesData[[#This Row],[Quantity Sold]] * SalesData[[#This Row],[Unit Cost]]</f>
        <v>118.69999999999999</v>
      </c>
      <c r="P265" s="15">
        <f>SalesData[[#This Row],[Revenue]] - SalesData[[#This Row],[Cost]]</f>
        <v>281.3</v>
      </c>
      <c r="Q265" s="13">
        <f>IF(SalesData[[#This Row],[Revenue]]=0,0,SalesData[[#This Row],[Profit]]/SalesData[[#This Row],[Revenue]])</f>
        <v>0.70325000000000004</v>
      </c>
      <c r="R265" t="s">
        <v>1138</v>
      </c>
      <c r="S265" t="s">
        <v>1337</v>
      </c>
      <c r="T265" t="str">
        <f>PROPER(SalesData[[#This Row],[Customer Name]])</f>
        <v>Noah Williams</v>
      </c>
      <c r="U265" t="s">
        <v>1414</v>
      </c>
      <c r="V265" t="s">
        <v>1425</v>
      </c>
    </row>
    <row r="266" spans="1:22" x14ac:dyDescent="0.25">
      <c r="A266" t="s">
        <v>1692</v>
      </c>
      <c r="B266" s="5">
        <v>45381</v>
      </c>
      <c r="C266" s="2" t="str">
        <f>TEXT(SalesData[[#This Row],[Order Date]],"mmm")</f>
        <v>Mar</v>
      </c>
      <c r="D266" s="7">
        <f>MONTH(SalesData[[#This Row],[Order Date]])</f>
        <v>3</v>
      </c>
      <c r="E266" s="7">
        <f>YEAR(SalesData[[#This Row],[Order Date]])</f>
        <v>2024</v>
      </c>
      <c r="F266" t="s">
        <v>87</v>
      </c>
      <c r="G266" t="str">
        <f>PROPER(SalesData[[#This Row],[Product Name]])</f>
        <v>Reusable Bamboo Utensil Set</v>
      </c>
      <c r="H266" t="s">
        <v>1014</v>
      </c>
      <c r="I266" t="str">
        <f>UPPER(SalesData[[#This Row],[Product Category]])</f>
        <v>KITCHENWARE</v>
      </c>
      <c r="J266">
        <v>1</v>
      </c>
      <c r="K266">
        <v>15</v>
      </c>
      <c r="L266" s="15">
        <f>IF(SalesData[[#This Row],[Unit Price]]="",
    AVERAGEIFS(SalesData[Unit Price],
               SalesData[Product Name],SalesData[[#This Row],[Product Name]]),
    SalesData[[#This Row],[Unit Price]])</f>
        <v>15</v>
      </c>
      <c r="M266" s="15">
        <v>5.3</v>
      </c>
      <c r="N266" s="15">
        <f>SalesData[[#This Row],[Quantity Sold]] * SalesData[[#This Row],[Cleaned Unit Price]]</f>
        <v>15</v>
      </c>
      <c r="O266" s="15">
        <f>SalesData[[#This Row],[Quantity Sold]] * SalesData[[#This Row],[Unit Cost]]</f>
        <v>5.3</v>
      </c>
      <c r="P266" s="15">
        <f>SalesData[[#This Row],[Revenue]] - SalesData[[#This Row],[Cost]]</f>
        <v>9.6999999999999993</v>
      </c>
      <c r="Q266" s="13">
        <f>IF(SalesData[[#This Row],[Revenue]]=0,0,SalesData[[#This Row],[Profit]]/SalesData[[#This Row],[Revenue]])</f>
        <v>0.64666666666666661</v>
      </c>
      <c r="R266" t="s">
        <v>1066</v>
      </c>
      <c r="S266" t="s">
        <v>1265</v>
      </c>
      <c r="T266" t="str">
        <f>PROPER(SalesData[[#This Row],[Customer Name]])</f>
        <v>Liam Rodriguez</v>
      </c>
      <c r="U266" t="s">
        <v>1414</v>
      </c>
      <c r="V266" t="s">
        <v>1420</v>
      </c>
    </row>
    <row r="267" spans="1:22" x14ac:dyDescent="0.25">
      <c r="A267" t="s">
        <v>1693</v>
      </c>
      <c r="B267" s="5">
        <v>45381</v>
      </c>
      <c r="C267" s="2" t="str">
        <f>TEXT(SalesData[[#This Row],[Order Date]],"mmm")</f>
        <v>Mar</v>
      </c>
      <c r="D267" s="7">
        <f>MONTH(SalesData[[#This Row],[Order Date]])</f>
        <v>3</v>
      </c>
      <c r="E267" s="7">
        <f>YEAR(SalesData[[#This Row],[Order Date]])</f>
        <v>2024</v>
      </c>
      <c r="F267" t="s">
        <v>992</v>
      </c>
      <c r="G267" t="str">
        <f>PROPER(SalesData[[#This Row],[Product Name]])</f>
        <v>Eco Canvas Tote Bag</v>
      </c>
      <c r="H267" t="s">
        <v>1013</v>
      </c>
      <c r="I267" t="str">
        <f>UPPER(SalesData[[#This Row],[Product Category]])</f>
        <v>BAGS</v>
      </c>
      <c r="J267">
        <v>4</v>
      </c>
      <c r="K267">
        <v>25</v>
      </c>
      <c r="L267" s="15">
        <f>IF(SalesData[[#This Row],[Unit Price]]="",
    AVERAGEIFS(SalesData[Unit Price],
               SalesData[Product Name],SalesData[[#This Row],[Product Name]]),
    SalesData[[#This Row],[Unit Price]])</f>
        <v>25</v>
      </c>
      <c r="M267" s="15">
        <v>9.4600000000000009</v>
      </c>
      <c r="N267" s="15">
        <f>SalesData[[#This Row],[Quantity Sold]] * SalesData[[#This Row],[Cleaned Unit Price]]</f>
        <v>100</v>
      </c>
      <c r="O267" s="15">
        <f>SalesData[[#This Row],[Quantity Sold]] * SalesData[[#This Row],[Unit Cost]]</f>
        <v>37.840000000000003</v>
      </c>
      <c r="P267" s="15">
        <f>SalesData[[#This Row],[Revenue]] - SalesData[[#This Row],[Cost]]</f>
        <v>62.16</v>
      </c>
      <c r="Q267" s="13">
        <f>IF(SalesData[[#This Row],[Revenue]]=0,0,SalesData[[#This Row],[Profit]]/SalesData[[#This Row],[Revenue]])</f>
        <v>0.62159999999999993</v>
      </c>
      <c r="R267" t="s">
        <v>1181</v>
      </c>
      <c r="S267" t="s">
        <v>1380</v>
      </c>
      <c r="T267" t="str">
        <f>PROPER(SalesData[[#This Row],[Customer Name]])</f>
        <v>Charlotte Johnson</v>
      </c>
      <c r="U267" t="s">
        <v>1415</v>
      </c>
      <c r="V267" t="s">
        <v>1426</v>
      </c>
    </row>
    <row r="268" spans="1:22" x14ac:dyDescent="0.25">
      <c r="A268" t="s">
        <v>1694</v>
      </c>
      <c r="B268" s="5">
        <v>45382</v>
      </c>
      <c r="C268" s="2" t="str">
        <f>TEXT(SalesData[[#This Row],[Order Date]],"mmm")</f>
        <v>Mar</v>
      </c>
      <c r="D268" s="7">
        <f>MONTH(SalesData[[#This Row],[Order Date]])</f>
        <v>3</v>
      </c>
      <c r="E268" s="7">
        <f>YEAR(SalesData[[#This Row],[Order Date]])</f>
        <v>2024</v>
      </c>
      <c r="F268" t="s">
        <v>79</v>
      </c>
      <c r="G268" t="str">
        <f>PROPER(SalesData[[#This Row],[Product Name]])</f>
        <v>Solar Led Lantern</v>
      </c>
      <c r="H268" t="s">
        <v>1012</v>
      </c>
      <c r="I268" t="str">
        <f>UPPER(SalesData[[#This Row],[Product Category]])</f>
        <v>LIGHTING</v>
      </c>
      <c r="J268">
        <v>1</v>
      </c>
      <c r="K268">
        <v>40</v>
      </c>
      <c r="L268" s="15">
        <f>IF(SalesData[[#This Row],[Unit Price]]="",
    AVERAGEIFS(SalesData[Unit Price],
               SalesData[Product Name],SalesData[[#This Row],[Product Name]]),
    SalesData[[#This Row],[Unit Price]])</f>
        <v>40</v>
      </c>
      <c r="M268" s="15">
        <v>12.13</v>
      </c>
      <c r="N268" s="15">
        <f>SalesData[[#This Row],[Quantity Sold]] * SalesData[[#This Row],[Cleaned Unit Price]]</f>
        <v>40</v>
      </c>
      <c r="O268" s="15">
        <f>SalesData[[#This Row],[Quantity Sold]] * SalesData[[#This Row],[Unit Cost]]</f>
        <v>12.13</v>
      </c>
      <c r="P268" s="15">
        <f>SalesData[[#This Row],[Revenue]] - SalesData[[#This Row],[Cost]]</f>
        <v>27.869999999999997</v>
      </c>
      <c r="Q268" s="13">
        <f>IF(SalesData[[#This Row],[Revenue]]=0,0,SalesData[[#This Row],[Profit]]/SalesData[[#This Row],[Revenue]])</f>
        <v>0.69674999999999998</v>
      </c>
      <c r="R268" t="s">
        <v>1043</v>
      </c>
      <c r="S268" t="s">
        <v>1242</v>
      </c>
      <c r="T268" t="str">
        <f>PROPER(SalesData[[#This Row],[Customer Name]])</f>
        <v>Ethan Miller</v>
      </c>
      <c r="U268" t="s">
        <v>1417</v>
      </c>
      <c r="V268" t="s">
        <v>1419</v>
      </c>
    </row>
    <row r="269" spans="1:22" x14ac:dyDescent="0.25">
      <c r="A269" t="s">
        <v>1695</v>
      </c>
      <c r="B269" s="5">
        <v>45382</v>
      </c>
      <c r="C269" s="2" t="str">
        <f>TEXT(SalesData[[#This Row],[Order Date]],"mmm")</f>
        <v>Mar</v>
      </c>
      <c r="D269" s="7">
        <f>MONTH(SalesData[[#This Row],[Order Date]])</f>
        <v>3</v>
      </c>
      <c r="E269" s="7">
        <f>YEAR(SalesData[[#This Row],[Order Date]])</f>
        <v>2024</v>
      </c>
      <c r="F269" t="s">
        <v>318</v>
      </c>
      <c r="G269" t="str">
        <f>PROPER(SalesData[[#This Row],[Product Name]])</f>
        <v>Compostable Plant Pots</v>
      </c>
      <c r="H269" t="s">
        <v>1011</v>
      </c>
      <c r="I269" t="str">
        <f>UPPER(SalesData[[#This Row],[Product Category]])</f>
        <v>GARDENING</v>
      </c>
      <c r="J269">
        <v>4</v>
      </c>
      <c r="K269">
        <v>12</v>
      </c>
      <c r="L269" s="15">
        <f>IF(SalesData[[#This Row],[Unit Price]]="",
    AVERAGEIFS(SalesData[Unit Price],
               SalesData[Product Name],SalesData[[#This Row],[Product Name]]),
    SalesData[[#This Row],[Unit Price]])</f>
        <v>12</v>
      </c>
      <c r="M269" s="15">
        <v>3.9</v>
      </c>
      <c r="N269" s="15">
        <f>SalesData[[#This Row],[Quantity Sold]] * SalesData[[#This Row],[Cleaned Unit Price]]</f>
        <v>48</v>
      </c>
      <c r="O269" s="15">
        <f>SalesData[[#This Row],[Quantity Sold]] * SalesData[[#This Row],[Unit Cost]]</f>
        <v>15.6</v>
      </c>
      <c r="P269" s="15">
        <f>SalesData[[#This Row],[Revenue]] - SalesData[[#This Row],[Cost]]</f>
        <v>32.4</v>
      </c>
      <c r="Q269" s="13">
        <f>IF(SalesData[[#This Row],[Revenue]]=0,0,SalesData[[#This Row],[Profit]]/SalesData[[#This Row],[Revenue]])</f>
        <v>0.67499999999999993</v>
      </c>
      <c r="R269" t="s">
        <v>1153</v>
      </c>
      <c r="S269" t="s">
        <v>1352</v>
      </c>
      <c r="T269" t="str">
        <f>PROPER(SalesData[[#This Row],[Customer Name]])</f>
        <v>Logan Johnson</v>
      </c>
      <c r="U269" t="s">
        <v>1414</v>
      </c>
      <c r="V269" t="s">
        <v>1427</v>
      </c>
    </row>
    <row r="270" spans="1:22" x14ac:dyDescent="0.25">
      <c r="A270" t="s">
        <v>1696</v>
      </c>
      <c r="B270" s="5">
        <v>45382</v>
      </c>
      <c r="C270" s="2" t="str">
        <f>TEXT(SalesData[[#This Row],[Order Date]],"mmm")</f>
        <v>Mar</v>
      </c>
      <c r="D270" s="7">
        <f>MONTH(SalesData[[#This Row],[Order Date]])</f>
        <v>3</v>
      </c>
      <c r="E270" s="7">
        <f>YEAR(SalesData[[#This Row],[Order Date]])</f>
        <v>2024</v>
      </c>
      <c r="F270" t="s">
        <v>443</v>
      </c>
      <c r="G270" t="str">
        <f>PROPER(SalesData[[#This Row],[Product Name]])</f>
        <v>Biodegradable Cleaning Cloth</v>
      </c>
      <c r="H270" t="s">
        <v>1015</v>
      </c>
      <c r="I270" t="str">
        <f>UPPER(SalesData[[#This Row],[Product Category]])</f>
        <v>CLEANING</v>
      </c>
      <c r="J270">
        <v>3</v>
      </c>
      <c r="K270">
        <v>10</v>
      </c>
      <c r="L270" s="15">
        <f>IF(SalesData[[#This Row],[Unit Price]]="",
    AVERAGEIFS(SalesData[Unit Price],
               SalesData[Product Name],SalesData[[#This Row],[Product Name]]),
    SalesData[[#This Row],[Unit Price]])</f>
        <v>10</v>
      </c>
      <c r="M270" s="15">
        <v>2.69</v>
      </c>
      <c r="N270" s="15">
        <f>SalesData[[#This Row],[Quantity Sold]] * SalesData[[#This Row],[Cleaned Unit Price]]</f>
        <v>30</v>
      </c>
      <c r="O270" s="15">
        <f>SalesData[[#This Row],[Quantity Sold]] * SalesData[[#This Row],[Unit Cost]]</f>
        <v>8.07</v>
      </c>
      <c r="P270" s="15">
        <f>SalesData[[#This Row],[Revenue]] - SalesData[[#This Row],[Cost]]</f>
        <v>21.93</v>
      </c>
      <c r="Q270" s="13">
        <f>IF(SalesData[[#This Row],[Revenue]]=0,0,SalesData[[#This Row],[Profit]]/SalesData[[#This Row],[Revenue]])</f>
        <v>0.73099999999999998</v>
      </c>
      <c r="R270" t="s">
        <v>1183</v>
      </c>
      <c r="S270" t="s">
        <v>1382</v>
      </c>
      <c r="T270" t="str">
        <f>PROPER(SalesData[[#This Row],[Customer Name]])</f>
        <v>Logan Rodriguez</v>
      </c>
      <c r="U270" t="s">
        <v>1417</v>
      </c>
      <c r="V270" t="s">
        <v>1424</v>
      </c>
    </row>
    <row r="271" spans="1:22" x14ac:dyDescent="0.25">
      <c r="A271" t="s">
        <v>1697</v>
      </c>
      <c r="B271" s="5">
        <v>45382</v>
      </c>
      <c r="C271" s="2" t="str">
        <f>TEXT(SalesData[[#This Row],[Order Date]],"mmm")</f>
        <v>Mar</v>
      </c>
      <c r="D271" s="7">
        <f>MONTH(SalesData[[#This Row],[Order Date]])</f>
        <v>3</v>
      </c>
      <c r="E271" s="7">
        <f>YEAR(SalesData[[#This Row],[Order Date]])</f>
        <v>2024</v>
      </c>
      <c r="F271" t="s">
        <v>549</v>
      </c>
      <c r="G271" t="str">
        <f>PROPER(SalesData[[#This Row],[Product Name]])</f>
        <v>Solar Led Lantern</v>
      </c>
      <c r="H271" t="s">
        <v>1012</v>
      </c>
      <c r="I271" t="str">
        <f>UPPER(SalesData[[#This Row],[Product Category]])</f>
        <v>LIGHTING</v>
      </c>
      <c r="J271">
        <v>3</v>
      </c>
      <c r="K271">
        <v>40</v>
      </c>
      <c r="L271" s="15">
        <f>IF(SalesData[[#This Row],[Unit Price]]="",
    AVERAGEIFS(SalesData[Unit Price],
               SalesData[Product Name],SalesData[[#This Row],[Product Name]]),
    SalesData[[#This Row],[Unit Price]])</f>
        <v>40</v>
      </c>
      <c r="M271" s="15">
        <v>12.8</v>
      </c>
      <c r="N271" s="15">
        <f>SalesData[[#This Row],[Quantity Sold]] * SalesData[[#This Row],[Cleaned Unit Price]]</f>
        <v>120</v>
      </c>
      <c r="O271" s="15">
        <f>SalesData[[#This Row],[Quantity Sold]] * SalesData[[#This Row],[Unit Cost]]</f>
        <v>38.400000000000006</v>
      </c>
      <c r="P271" s="15">
        <f>SalesData[[#This Row],[Revenue]] - SalesData[[#This Row],[Cost]]</f>
        <v>81.599999999999994</v>
      </c>
      <c r="Q271" s="13">
        <f>IF(SalesData[[#This Row],[Revenue]]=0,0,SalesData[[#This Row],[Profit]]/SalesData[[#This Row],[Revenue]])</f>
        <v>0.67999999999999994</v>
      </c>
      <c r="R271" t="s">
        <v>1107</v>
      </c>
      <c r="S271" t="s">
        <v>1306</v>
      </c>
      <c r="T271" t="str">
        <f>PROPER(SalesData[[#This Row],[Customer Name]])</f>
        <v>Liam Rodriguez</v>
      </c>
      <c r="U271" t="s">
        <v>1414</v>
      </c>
      <c r="V271" t="s">
        <v>1421</v>
      </c>
    </row>
    <row r="272" spans="1:22" x14ac:dyDescent="0.25">
      <c r="A272" t="s">
        <v>1698</v>
      </c>
      <c r="B272" s="5">
        <v>45382</v>
      </c>
      <c r="C272" s="2" t="str">
        <f>TEXT(SalesData[[#This Row],[Order Date]],"mmm")</f>
        <v>Mar</v>
      </c>
      <c r="D272" s="7">
        <f>MONTH(SalesData[[#This Row],[Order Date]])</f>
        <v>3</v>
      </c>
      <c r="E272" s="7">
        <f>YEAR(SalesData[[#This Row],[Order Date]])</f>
        <v>2024</v>
      </c>
      <c r="F272" t="s">
        <v>904</v>
      </c>
      <c r="G272" t="str">
        <f>PROPER(SalesData[[#This Row],[Product Name]])</f>
        <v>Reusable Bamboo Utensil Set</v>
      </c>
      <c r="H272" t="s">
        <v>1014</v>
      </c>
      <c r="I272" t="str">
        <f>UPPER(SalesData[[#This Row],[Product Category]])</f>
        <v>KITCHENWARE</v>
      </c>
      <c r="J272">
        <v>8</v>
      </c>
      <c r="K272">
        <v>15</v>
      </c>
      <c r="L272" s="15">
        <f>IF(SalesData[[#This Row],[Unit Price]]="",
    AVERAGEIFS(SalesData[Unit Price],
               SalesData[Product Name],SalesData[[#This Row],[Product Name]]),
    SalesData[[#This Row],[Unit Price]])</f>
        <v>15</v>
      </c>
      <c r="M272" s="15">
        <v>3.64</v>
      </c>
      <c r="N272" s="15">
        <f>SalesData[[#This Row],[Quantity Sold]] * SalesData[[#This Row],[Cleaned Unit Price]]</f>
        <v>120</v>
      </c>
      <c r="O272" s="15">
        <f>SalesData[[#This Row],[Quantity Sold]] * SalesData[[#This Row],[Unit Cost]]</f>
        <v>29.12</v>
      </c>
      <c r="P272" s="15">
        <f>SalesData[[#This Row],[Revenue]] - SalesData[[#This Row],[Cost]]</f>
        <v>90.88</v>
      </c>
      <c r="Q272" s="13">
        <f>IF(SalesData[[#This Row],[Revenue]]=0,0,SalesData[[#This Row],[Profit]]/SalesData[[#This Row],[Revenue]])</f>
        <v>0.7573333333333333</v>
      </c>
      <c r="R272" t="s">
        <v>1077</v>
      </c>
      <c r="S272" t="s">
        <v>1276</v>
      </c>
      <c r="T272" t="str">
        <f>PROPER(SalesData[[#This Row],[Customer Name]])</f>
        <v>Noah Williams</v>
      </c>
      <c r="U272" t="s">
        <v>1414</v>
      </c>
      <c r="V272" t="s">
        <v>1422</v>
      </c>
    </row>
    <row r="273" spans="1:22" x14ac:dyDescent="0.25">
      <c r="A273" t="s">
        <v>1699</v>
      </c>
      <c r="B273" s="5">
        <v>45382</v>
      </c>
      <c r="C273" s="2" t="str">
        <f>TEXT(SalesData[[#This Row],[Order Date]],"mmm")</f>
        <v>Mar</v>
      </c>
      <c r="D273" s="7">
        <f>MONTH(SalesData[[#This Row],[Order Date]])</f>
        <v>3</v>
      </c>
      <c r="E273" s="7">
        <f>YEAR(SalesData[[#This Row],[Order Date]])</f>
        <v>2024</v>
      </c>
      <c r="F273" t="s">
        <v>1002</v>
      </c>
      <c r="G273" t="str">
        <f>PROPER(SalesData[[#This Row],[Product Name]])</f>
        <v>Biodegradable Cleaning Cloth</v>
      </c>
      <c r="H273" t="s">
        <v>1015</v>
      </c>
      <c r="I273" t="str">
        <f>UPPER(SalesData[[#This Row],[Product Category]])</f>
        <v>CLEANING</v>
      </c>
      <c r="J273">
        <v>9</v>
      </c>
      <c r="K273">
        <v>10</v>
      </c>
      <c r="L273" s="15">
        <f>IF(SalesData[[#This Row],[Unit Price]]="",
    AVERAGEIFS(SalesData[Unit Price],
               SalesData[Product Name],SalesData[[#This Row],[Product Name]]),
    SalesData[[#This Row],[Unit Price]])</f>
        <v>10</v>
      </c>
      <c r="M273" s="15">
        <v>3.6</v>
      </c>
      <c r="N273" s="15">
        <f>SalesData[[#This Row],[Quantity Sold]] * SalesData[[#This Row],[Cleaned Unit Price]]</f>
        <v>90</v>
      </c>
      <c r="O273" s="15">
        <f>SalesData[[#This Row],[Quantity Sold]] * SalesData[[#This Row],[Unit Cost]]</f>
        <v>32.4</v>
      </c>
      <c r="P273" s="15">
        <f>SalesData[[#This Row],[Revenue]] - SalesData[[#This Row],[Cost]]</f>
        <v>57.6</v>
      </c>
      <c r="Q273" s="13">
        <f>IF(SalesData[[#This Row],[Revenue]]=0,0,SalesData[[#This Row],[Profit]]/SalesData[[#This Row],[Revenue]])</f>
        <v>0.64</v>
      </c>
      <c r="R273" t="s">
        <v>1117</v>
      </c>
      <c r="S273" t="s">
        <v>1316</v>
      </c>
      <c r="T273" t="str">
        <f>PROPER(SalesData[[#This Row],[Customer Name]])</f>
        <v>Isabella Brown</v>
      </c>
      <c r="U273" t="s">
        <v>1414</v>
      </c>
      <c r="V273" t="s">
        <v>1421</v>
      </c>
    </row>
    <row r="274" spans="1:22" x14ac:dyDescent="0.25">
      <c r="A274" t="s">
        <v>1700</v>
      </c>
      <c r="B274" s="5">
        <v>45383</v>
      </c>
      <c r="C274" s="2" t="str">
        <f>TEXT(SalesData[[#This Row],[Order Date]],"mmm")</f>
        <v>Apr</v>
      </c>
      <c r="D274" s="7">
        <f>MONTH(SalesData[[#This Row],[Order Date]])</f>
        <v>4</v>
      </c>
      <c r="E274" s="7">
        <f>YEAR(SalesData[[#This Row],[Order Date]])</f>
        <v>2024</v>
      </c>
      <c r="F274" t="s">
        <v>178</v>
      </c>
      <c r="G274" t="str">
        <f>PROPER(SalesData[[#This Row],[Product Name]])</f>
        <v>Eco Canvas Tote Bag</v>
      </c>
      <c r="H274" t="s">
        <v>1013</v>
      </c>
      <c r="I274" t="str">
        <f>UPPER(SalesData[[#This Row],[Product Category]])</f>
        <v>BAGS</v>
      </c>
      <c r="J274">
        <v>7</v>
      </c>
      <c r="L274" s="15">
        <f>IF(SalesData[[#This Row],[Unit Price]]="",
    AVERAGEIFS(SalesData[Unit Price],
               SalesData[Product Name],SalesData[[#This Row],[Product Name]]),
    SalesData[[#This Row],[Unit Price]])</f>
        <v>25</v>
      </c>
      <c r="M274" s="15">
        <v>5.07</v>
      </c>
      <c r="N274" s="15">
        <f>SalesData[[#This Row],[Quantity Sold]] * SalesData[[#This Row],[Cleaned Unit Price]]</f>
        <v>175</v>
      </c>
      <c r="O274" s="15">
        <f>SalesData[[#This Row],[Quantity Sold]] * SalesData[[#This Row],[Unit Cost]]</f>
        <v>35.49</v>
      </c>
      <c r="P274" s="15">
        <f>SalesData[[#This Row],[Revenue]] - SalesData[[#This Row],[Cost]]</f>
        <v>139.51</v>
      </c>
      <c r="Q274" s="13">
        <f>IF(SalesData[[#This Row],[Revenue]]=0,0,SalesData[[#This Row],[Profit]]/SalesData[[#This Row],[Revenue]])</f>
        <v>0.79719999999999991</v>
      </c>
      <c r="R274" t="s">
        <v>1042</v>
      </c>
      <c r="S274" t="s">
        <v>1241</v>
      </c>
      <c r="T274" t="str">
        <f>PROPER(SalesData[[#This Row],[Customer Name]])</f>
        <v>Amelia Johnson</v>
      </c>
      <c r="U274" t="s">
        <v>1414</v>
      </c>
      <c r="V274" t="s">
        <v>1423</v>
      </c>
    </row>
    <row r="275" spans="1:22" x14ac:dyDescent="0.25">
      <c r="A275" t="s">
        <v>1701</v>
      </c>
      <c r="B275" s="5">
        <v>45383</v>
      </c>
      <c r="C275" s="2" t="str">
        <f>TEXT(SalesData[[#This Row],[Order Date]],"mmm")</f>
        <v>Apr</v>
      </c>
      <c r="D275" s="7">
        <f>MONTH(SalesData[[#This Row],[Order Date]])</f>
        <v>4</v>
      </c>
      <c r="E275" s="7">
        <f>YEAR(SalesData[[#This Row],[Order Date]])</f>
        <v>2024</v>
      </c>
      <c r="F275" t="s">
        <v>540</v>
      </c>
      <c r="G275" t="str">
        <f>PROPER(SalesData[[#This Row],[Product Name]])</f>
        <v>Compostable Plant Pots</v>
      </c>
      <c r="H275" t="s">
        <v>1011</v>
      </c>
      <c r="I275" t="str">
        <f>UPPER(SalesData[[#This Row],[Product Category]])</f>
        <v>GARDENING</v>
      </c>
      <c r="J275">
        <v>3</v>
      </c>
      <c r="K275">
        <v>12</v>
      </c>
      <c r="L275" s="15">
        <f>IF(SalesData[[#This Row],[Unit Price]]="",
    AVERAGEIFS(SalesData[Unit Price],
               SalesData[Product Name],SalesData[[#This Row],[Product Name]]),
    SalesData[[#This Row],[Unit Price]])</f>
        <v>12</v>
      </c>
      <c r="M275" s="15">
        <v>3.17</v>
      </c>
      <c r="N275" s="15">
        <f>SalesData[[#This Row],[Quantity Sold]] * SalesData[[#This Row],[Cleaned Unit Price]]</f>
        <v>36</v>
      </c>
      <c r="O275" s="15">
        <f>SalesData[[#This Row],[Quantity Sold]] * SalesData[[#This Row],[Unit Cost]]</f>
        <v>9.51</v>
      </c>
      <c r="P275" s="15">
        <f>SalesData[[#This Row],[Revenue]] - SalesData[[#This Row],[Cost]]</f>
        <v>26.490000000000002</v>
      </c>
      <c r="Q275" s="13">
        <f>IF(SalesData[[#This Row],[Revenue]]=0,0,SalesData[[#This Row],[Profit]]/SalesData[[#This Row],[Revenue]])</f>
        <v>0.73583333333333334</v>
      </c>
      <c r="R275" t="s">
        <v>1197</v>
      </c>
      <c r="S275" t="s">
        <v>1396</v>
      </c>
      <c r="T275" t="str">
        <f>PROPER(SalesData[[#This Row],[Customer Name]])</f>
        <v>Logan Smith</v>
      </c>
      <c r="U275" t="s">
        <v>1414</v>
      </c>
      <c r="V275" t="s">
        <v>1422</v>
      </c>
    </row>
    <row r="276" spans="1:22" x14ac:dyDescent="0.25">
      <c r="A276" t="s">
        <v>1702</v>
      </c>
      <c r="B276" s="5">
        <v>45384</v>
      </c>
      <c r="C276" s="2" t="str">
        <f>TEXT(SalesData[[#This Row],[Order Date]],"mmm")</f>
        <v>Apr</v>
      </c>
      <c r="D276" s="7">
        <f>MONTH(SalesData[[#This Row],[Order Date]])</f>
        <v>4</v>
      </c>
      <c r="E276" s="7">
        <f>YEAR(SalesData[[#This Row],[Order Date]])</f>
        <v>2024</v>
      </c>
      <c r="F276" t="s">
        <v>608</v>
      </c>
      <c r="G276" t="str">
        <f>PROPER(SalesData[[#This Row],[Product Name]])</f>
        <v>Compostable Plant Pots</v>
      </c>
      <c r="H276" t="s">
        <v>1011</v>
      </c>
      <c r="I276" t="str">
        <f>UPPER(SalesData[[#This Row],[Product Category]])</f>
        <v>GARDENING</v>
      </c>
      <c r="J276">
        <v>10</v>
      </c>
      <c r="K276">
        <v>12</v>
      </c>
      <c r="L276" s="15">
        <f>IF(SalesData[[#This Row],[Unit Price]]="",
    AVERAGEIFS(SalesData[Unit Price],
               SalesData[Product Name],SalesData[[#This Row],[Product Name]]),
    SalesData[[#This Row],[Unit Price]])</f>
        <v>12</v>
      </c>
      <c r="M276" s="15">
        <v>3.9</v>
      </c>
      <c r="N276" s="15">
        <f>SalesData[[#This Row],[Quantity Sold]] * SalesData[[#This Row],[Cleaned Unit Price]]</f>
        <v>120</v>
      </c>
      <c r="O276" s="15">
        <f>SalesData[[#This Row],[Quantity Sold]] * SalesData[[#This Row],[Unit Cost]]</f>
        <v>39</v>
      </c>
      <c r="P276" s="15">
        <f>SalesData[[#This Row],[Revenue]] - SalesData[[#This Row],[Cost]]</f>
        <v>81</v>
      </c>
      <c r="Q276" s="13">
        <f>IF(SalesData[[#This Row],[Revenue]]=0,0,SalesData[[#This Row],[Profit]]/SalesData[[#This Row],[Revenue]])</f>
        <v>0.67500000000000004</v>
      </c>
      <c r="R276" t="s">
        <v>1111</v>
      </c>
      <c r="S276" t="s">
        <v>1310</v>
      </c>
      <c r="T276" t="str">
        <f>PROPER(SalesData[[#This Row],[Customer Name]])</f>
        <v>Charlotte Garcia</v>
      </c>
      <c r="U276" t="s">
        <v>1414</v>
      </c>
      <c r="V276" t="s">
        <v>1427</v>
      </c>
    </row>
    <row r="277" spans="1:22" x14ac:dyDescent="0.25">
      <c r="A277" t="s">
        <v>1703</v>
      </c>
      <c r="B277" s="5">
        <v>45384</v>
      </c>
      <c r="C277" s="2" t="str">
        <f>TEXT(SalesData[[#This Row],[Order Date]],"mmm")</f>
        <v>Apr</v>
      </c>
      <c r="D277" s="7">
        <f>MONTH(SalesData[[#This Row],[Order Date]])</f>
        <v>4</v>
      </c>
      <c r="E277" s="7">
        <f>YEAR(SalesData[[#This Row],[Order Date]])</f>
        <v>2024</v>
      </c>
      <c r="F277" t="s">
        <v>617</v>
      </c>
      <c r="G277" t="str">
        <f>PROPER(SalesData[[#This Row],[Product Name]])</f>
        <v>Reusable Bamboo Utensil Set</v>
      </c>
      <c r="H277" t="s">
        <v>1014</v>
      </c>
      <c r="I277" t="str">
        <f>UPPER(SalesData[[#This Row],[Product Category]])</f>
        <v>KITCHENWARE</v>
      </c>
      <c r="J277">
        <v>8</v>
      </c>
      <c r="K277">
        <v>15</v>
      </c>
      <c r="L277" s="15">
        <f>IF(SalesData[[#This Row],[Unit Price]]="",
    AVERAGEIFS(SalesData[Unit Price],
               SalesData[Product Name],SalesData[[#This Row],[Product Name]]),
    SalesData[[#This Row],[Unit Price]])</f>
        <v>15</v>
      </c>
      <c r="M277" s="15">
        <v>4.9400000000000004</v>
      </c>
      <c r="N277" s="15">
        <f>SalesData[[#This Row],[Quantity Sold]] * SalesData[[#This Row],[Cleaned Unit Price]]</f>
        <v>120</v>
      </c>
      <c r="O277" s="15">
        <f>SalesData[[#This Row],[Quantity Sold]] * SalesData[[#This Row],[Unit Cost]]</f>
        <v>39.520000000000003</v>
      </c>
      <c r="P277" s="15">
        <f>SalesData[[#This Row],[Revenue]] - SalesData[[#This Row],[Cost]]</f>
        <v>80.47999999999999</v>
      </c>
      <c r="Q277" s="13">
        <f>IF(SalesData[[#This Row],[Revenue]]=0,0,SalesData[[#This Row],[Profit]]/SalesData[[#This Row],[Revenue]])</f>
        <v>0.67066666666666663</v>
      </c>
      <c r="R277" t="s">
        <v>1091</v>
      </c>
      <c r="S277" t="s">
        <v>1290</v>
      </c>
      <c r="T277" t="str">
        <f>PROPER(SalesData[[#This Row],[Customer Name]])</f>
        <v>Elijah Garcia</v>
      </c>
      <c r="U277" t="s">
        <v>1414</v>
      </c>
      <c r="V277" t="s">
        <v>1420</v>
      </c>
    </row>
    <row r="278" spans="1:22" x14ac:dyDescent="0.25">
      <c r="A278" t="s">
        <v>1704</v>
      </c>
      <c r="B278" s="5">
        <v>45384</v>
      </c>
      <c r="C278" s="2" t="str">
        <f>TEXT(SalesData[[#This Row],[Order Date]],"mmm")</f>
        <v>Apr</v>
      </c>
      <c r="D278" s="7">
        <f>MONTH(SalesData[[#This Row],[Order Date]])</f>
        <v>4</v>
      </c>
      <c r="E278" s="7">
        <f>YEAR(SalesData[[#This Row],[Order Date]])</f>
        <v>2024</v>
      </c>
      <c r="F278" t="s">
        <v>962</v>
      </c>
      <c r="G278" t="str">
        <f>PROPER(SalesData[[#This Row],[Product Name]])</f>
        <v>Reusable Bamboo Utensil Set</v>
      </c>
      <c r="H278" t="s">
        <v>1014</v>
      </c>
      <c r="I278" t="str">
        <f>UPPER(SalesData[[#This Row],[Product Category]])</f>
        <v>KITCHENWARE</v>
      </c>
      <c r="J278">
        <v>1</v>
      </c>
      <c r="K278">
        <v>15</v>
      </c>
      <c r="L278" s="15">
        <f>IF(SalesData[[#This Row],[Unit Price]]="",
    AVERAGEIFS(SalesData[Unit Price],
               SalesData[Product Name],SalesData[[#This Row],[Product Name]]),
    SalesData[[#This Row],[Unit Price]])</f>
        <v>15</v>
      </c>
      <c r="M278" s="15">
        <v>5.04</v>
      </c>
      <c r="N278" s="15">
        <f>SalesData[[#This Row],[Quantity Sold]] * SalesData[[#This Row],[Cleaned Unit Price]]</f>
        <v>15</v>
      </c>
      <c r="O278" s="15">
        <f>SalesData[[#This Row],[Quantity Sold]] * SalesData[[#This Row],[Unit Cost]]</f>
        <v>5.04</v>
      </c>
      <c r="P278" s="15">
        <f>SalesData[[#This Row],[Revenue]] - SalesData[[#This Row],[Cost]]</f>
        <v>9.9600000000000009</v>
      </c>
      <c r="Q278" s="13">
        <f>IF(SalesData[[#This Row],[Revenue]]=0,0,SalesData[[#This Row],[Profit]]/SalesData[[#This Row],[Revenue]])</f>
        <v>0.66400000000000003</v>
      </c>
      <c r="R278" t="s">
        <v>1179</v>
      </c>
      <c r="S278" t="s">
        <v>1378</v>
      </c>
      <c r="T278" t="str">
        <f>PROPER(SalesData[[#This Row],[Customer Name]])</f>
        <v>Olivia Williams</v>
      </c>
      <c r="U278" t="s">
        <v>1414</v>
      </c>
      <c r="V278" t="s">
        <v>1423</v>
      </c>
    </row>
    <row r="279" spans="1:22" x14ac:dyDescent="0.25">
      <c r="A279" t="s">
        <v>1705</v>
      </c>
      <c r="B279" s="5">
        <v>45385</v>
      </c>
      <c r="C279" s="2" t="str">
        <f>TEXT(SalesData[[#This Row],[Order Date]],"mmm")</f>
        <v>Apr</v>
      </c>
      <c r="D279" s="7">
        <f>MONTH(SalesData[[#This Row],[Order Date]])</f>
        <v>4</v>
      </c>
      <c r="E279" s="7">
        <f>YEAR(SalesData[[#This Row],[Order Date]])</f>
        <v>2024</v>
      </c>
      <c r="F279" t="s">
        <v>323</v>
      </c>
      <c r="G279" t="str">
        <f>PROPER(SalesData[[#This Row],[Product Name]])</f>
        <v>Solar Led Lantern</v>
      </c>
      <c r="H279" t="s">
        <v>1012</v>
      </c>
      <c r="I279" t="str">
        <f>UPPER(SalesData[[#This Row],[Product Category]])</f>
        <v>LIGHTING</v>
      </c>
      <c r="J279">
        <v>9</v>
      </c>
      <c r="K279">
        <v>40</v>
      </c>
      <c r="L279" s="15">
        <f>IF(SalesData[[#This Row],[Unit Price]]="",
    AVERAGEIFS(SalesData[Unit Price],
               SalesData[Product Name],SalesData[[#This Row],[Product Name]]),
    SalesData[[#This Row],[Unit Price]])</f>
        <v>40</v>
      </c>
      <c r="M279" s="15">
        <v>12.88</v>
      </c>
      <c r="N279" s="15">
        <f>SalesData[[#This Row],[Quantity Sold]] * SalesData[[#This Row],[Cleaned Unit Price]]</f>
        <v>360</v>
      </c>
      <c r="O279" s="15">
        <f>SalesData[[#This Row],[Quantity Sold]] * SalesData[[#This Row],[Unit Cost]]</f>
        <v>115.92</v>
      </c>
      <c r="P279" s="15">
        <f>SalesData[[#This Row],[Revenue]] - SalesData[[#This Row],[Cost]]</f>
        <v>244.07999999999998</v>
      </c>
      <c r="Q279" s="13">
        <f>IF(SalesData[[#This Row],[Revenue]]=0,0,SalesData[[#This Row],[Profit]]/SalesData[[#This Row],[Revenue]])</f>
        <v>0.67799999999999994</v>
      </c>
      <c r="R279" t="s">
        <v>1047</v>
      </c>
      <c r="S279" t="s">
        <v>1246</v>
      </c>
      <c r="T279" t="str">
        <f>PROPER(SalesData[[#This Row],[Customer Name]])</f>
        <v>Mia Johnson</v>
      </c>
      <c r="U279" t="s">
        <v>1416</v>
      </c>
      <c r="V279" t="s">
        <v>1422</v>
      </c>
    </row>
    <row r="280" spans="1:22" x14ac:dyDescent="0.25">
      <c r="A280" t="s">
        <v>1706</v>
      </c>
      <c r="B280" s="5">
        <v>45385</v>
      </c>
      <c r="C280" s="2" t="str">
        <f>TEXT(SalesData[[#This Row],[Order Date]],"mmm")</f>
        <v>Apr</v>
      </c>
      <c r="D280" s="7">
        <f>MONTH(SalesData[[#This Row],[Order Date]])</f>
        <v>4</v>
      </c>
      <c r="E280" s="7">
        <f>YEAR(SalesData[[#This Row],[Order Date]])</f>
        <v>2024</v>
      </c>
      <c r="F280" t="s">
        <v>487</v>
      </c>
      <c r="G280" t="str">
        <f>PROPER(SalesData[[#This Row],[Product Name]])</f>
        <v>Reusable Bamboo Utensil Set</v>
      </c>
      <c r="H280" t="s">
        <v>1014</v>
      </c>
      <c r="I280" t="str">
        <f>UPPER(SalesData[[#This Row],[Product Category]])</f>
        <v>KITCHENWARE</v>
      </c>
      <c r="J280">
        <v>2</v>
      </c>
      <c r="K280">
        <v>15</v>
      </c>
      <c r="L280" s="15">
        <f>IF(SalesData[[#This Row],[Unit Price]]="",
    AVERAGEIFS(SalesData[Unit Price],
               SalesData[Product Name],SalesData[[#This Row],[Product Name]]),
    SalesData[[#This Row],[Unit Price]])</f>
        <v>15</v>
      </c>
      <c r="M280" s="15">
        <v>5.45</v>
      </c>
      <c r="N280" s="15">
        <f>SalesData[[#This Row],[Quantity Sold]] * SalesData[[#This Row],[Cleaned Unit Price]]</f>
        <v>30</v>
      </c>
      <c r="O280" s="15">
        <f>SalesData[[#This Row],[Quantity Sold]] * SalesData[[#This Row],[Unit Cost]]</f>
        <v>10.9</v>
      </c>
      <c r="P280" s="15">
        <f>SalesData[[#This Row],[Revenue]] - SalesData[[#This Row],[Cost]]</f>
        <v>19.100000000000001</v>
      </c>
      <c r="Q280" s="13">
        <f>IF(SalesData[[#This Row],[Revenue]]=0,0,SalesData[[#This Row],[Profit]]/SalesData[[#This Row],[Revenue]])</f>
        <v>0.63666666666666671</v>
      </c>
      <c r="R280" t="s">
        <v>1072</v>
      </c>
      <c r="S280" t="s">
        <v>1271</v>
      </c>
      <c r="T280" t="str">
        <f>PROPER(SalesData[[#This Row],[Customer Name]])</f>
        <v>Ethan Garcia</v>
      </c>
      <c r="U280" t="s">
        <v>1416</v>
      </c>
      <c r="V280" t="s">
        <v>1420</v>
      </c>
    </row>
    <row r="281" spans="1:22" x14ac:dyDescent="0.25">
      <c r="A281" t="s">
        <v>1707</v>
      </c>
      <c r="B281" s="5">
        <v>45385</v>
      </c>
      <c r="C281" s="2" t="str">
        <f>TEXT(SalesData[[#This Row],[Order Date]],"mmm")</f>
        <v>Apr</v>
      </c>
      <c r="D281" s="7">
        <f>MONTH(SalesData[[#This Row],[Order Date]])</f>
        <v>4</v>
      </c>
      <c r="E281" s="7">
        <f>YEAR(SalesData[[#This Row],[Order Date]])</f>
        <v>2024</v>
      </c>
      <c r="F281" t="s">
        <v>821</v>
      </c>
      <c r="G281" t="str">
        <f>PROPER(SalesData[[#This Row],[Product Name]])</f>
        <v>Compostable Plant Pots</v>
      </c>
      <c r="H281" t="s">
        <v>1011</v>
      </c>
      <c r="I281" t="str">
        <f>UPPER(SalesData[[#This Row],[Product Category]])</f>
        <v>GARDENING</v>
      </c>
      <c r="J281">
        <v>5</v>
      </c>
      <c r="K281">
        <v>12</v>
      </c>
      <c r="L281" s="15">
        <f>IF(SalesData[[#This Row],[Unit Price]]="",
    AVERAGEIFS(SalesData[Unit Price],
               SalesData[Product Name],SalesData[[#This Row],[Product Name]]),
    SalesData[[#This Row],[Unit Price]])</f>
        <v>12</v>
      </c>
      <c r="M281" s="15">
        <v>3.06</v>
      </c>
      <c r="N281" s="15">
        <f>SalesData[[#This Row],[Quantity Sold]] * SalesData[[#This Row],[Cleaned Unit Price]]</f>
        <v>60</v>
      </c>
      <c r="O281" s="15">
        <f>SalesData[[#This Row],[Quantity Sold]] * SalesData[[#This Row],[Unit Cost]]</f>
        <v>15.3</v>
      </c>
      <c r="P281" s="15">
        <f>SalesData[[#This Row],[Revenue]] - SalesData[[#This Row],[Cost]]</f>
        <v>44.7</v>
      </c>
      <c r="Q281" s="13">
        <f>IF(SalesData[[#This Row],[Revenue]]=0,0,SalesData[[#This Row],[Profit]]/SalesData[[#This Row],[Revenue]])</f>
        <v>0.745</v>
      </c>
      <c r="R281" t="s">
        <v>1114</v>
      </c>
      <c r="S281" t="s">
        <v>1313</v>
      </c>
      <c r="T281" t="str">
        <f>PROPER(SalesData[[#This Row],[Customer Name]])</f>
        <v>James Williams</v>
      </c>
      <c r="U281" t="s">
        <v>1414</v>
      </c>
      <c r="V281" t="s">
        <v>1423</v>
      </c>
    </row>
    <row r="282" spans="1:22" x14ac:dyDescent="0.25">
      <c r="A282" t="s">
        <v>1708</v>
      </c>
      <c r="B282" s="5">
        <v>45386</v>
      </c>
      <c r="C282" s="2" t="str">
        <f>TEXT(SalesData[[#This Row],[Order Date]],"mmm")</f>
        <v>Apr</v>
      </c>
      <c r="D282" s="7">
        <f>MONTH(SalesData[[#This Row],[Order Date]])</f>
        <v>4</v>
      </c>
      <c r="E282" s="7">
        <f>YEAR(SalesData[[#This Row],[Order Date]])</f>
        <v>2024</v>
      </c>
      <c r="F282" t="s">
        <v>122</v>
      </c>
      <c r="G282" t="str">
        <f>PROPER(SalesData[[#This Row],[Product Name]])</f>
        <v>Biodegradable Cleaning Cloth</v>
      </c>
      <c r="H282" t="s">
        <v>1015</v>
      </c>
      <c r="I282" t="str">
        <f>UPPER(SalesData[[#This Row],[Product Category]])</f>
        <v>CLEANING</v>
      </c>
      <c r="J282">
        <v>9</v>
      </c>
      <c r="K282">
        <v>10</v>
      </c>
      <c r="L282" s="15">
        <f>IF(SalesData[[#This Row],[Unit Price]]="",
    AVERAGEIFS(SalesData[Unit Price],
               SalesData[Product Name],SalesData[[#This Row],[Product Name]]),
    SalesData[[#This Row],[Unit Price]])</f>
        <v>10</v>
      </c>
      <c r="M282" s="15">
        <v>2.23</v>
      </c>
      <c r="N282" s="15">
        <f>SalesData[[#This Row],[Quantity Sold]] * SalesData[[#This Row],[Cleaned Unit Price]]</f>
        <v>90</v>
      </c>
      <c r="O282" s="15">
        <f>SalesData[[#This Row],[Quantity Sold]] * SalesData[[#This Row],[Unit Cost]]</f>
        <v>20.07</v>
      </c>
      <c r="P282" s="15">
        <f>SalesData[[#This Row],[Revenue]] - SalesData[[#This Row],[Cost]]</f>
        <v>69.930000000000007</v>
      </c>
      <c r="Q282" s="13">
        <f>IF(SalesData[[#This Row],[Revenue]]=0,0,SalesData[[#This Row],[Profit]]/SalesData[[#This Row],[Revenue]])</f>
        <v>0.77700000000000002</v>
      </c>
      <c r="R282" t="s">
        <v>1099</v>
      </c>
      <c r="S282" t="s">
        <v>1298</v>
      </c>
      <c r="T282" t="str">
        <f>PROPER(SalesData[[#This Row],[Customer Name]])</f>
        <v>Mason Miller</v>
      </c>
      <c r="U282" t="s">
        <v>1416</v>
      </c>
      <c r="V282" t="s">
        <v>1423</v>
      </c>
    </row>
    <row r="283" spans="1:22" x14ac:dyDescent="0.25">
      <c r="A283" t="s">
        <v>1709</v>
      </c>
      <c r="B283" s="5">
        <v>45386</v>
      </c>
      <c r="C283" s="2" t="str">
        <f>TEXT(SalesData[[#This Row],[Order Date]],"mmm")</f>
        <v>Apr</v>
      </c>
      <c r="D283" s="7">
        <f>MONTH(SalesData[[#This Row],[Order Date]])</f>
        <v>4</v>
      </c>
      <c r="E283" s="7">
        <f>YEAR(SalesData[[#This Row],[Order Date]])</f>
        <v>2024</v>
      </c>
      <c r="F283" t="s">
        <v>343</v>
      </c>
      <c r="G283" t="str">
        <f>PROPER(SalesData[[#This Row],[Product Name]])</f>
        <v>Eco Canvas Tote Bag</v>
      </c>
      <c r="H283" t="s">
        <v>1013</v>
      </c>
      <c r="I283" t="str">
        <f>UPPER(SalesData[[#This Row],[Product Category]])</f>
        <v>BAGS</v>
      </c>
      <c r="J283">
        <v>3</v>
      </c>
      <c r="K283">
        <v>25</v>
      </c>
      <c r="L283" s="15">
        <f>IF(SalesData[[#This Row],[Unit Price]]="",
    AVERAGEIFS(SalesData[Unit Price],
               SalesData[Product Name],SalesData[[#This Row],[Product Name]]),
    SalesData[[#This Row],[Unit Price]])</f>
        <v>25</v>
      </c>
      <c r="M283" s="15">
        <v>8.42</v>
      </c>
      <c r="N283" s="15">
        <f>SalesData[[#This Row],[Quantity Sold]] * SalesData[[#This Row],[Cleaned Unit Price]]</f>
        <v>75</v>
      </c>
      <c r="O283" s="15">
        <f>SalesData[[#This Row],[Quantity Sold]] * SalesData[[#This Row],[Unit Cost]]</f>
        <v>25.259999999999998</v>
      </c>
      <c r="P283" s="15">
        <f>SalesData[[#This Row],[Revenue]] - SalesData[[#This Row],[Cost]]</f>
        <v>49.74</v>
      </c>
      <c r="Q283" s="13">
        <f>IF(SalesData[[#This Row],[Revenue]]=0,0,SalesData[[#This Row],[Profit]]/SalesData[[#This Row],[Revenue]])</f>
        <v>0.66320000000000001</v>
      </c>
      <c r="R283" t="s">
        <v>1176</v>
      </c>
      <c r="S283" t="s">
        <v>1375</v>
      </c>
      <c r="T283" t="str">
        <f>PROPER(SalesData[[#This Row],[Customer Name]])</f>
        <v>Sophia Brown</v>
      </c>
      <c r="U283" t="s">
        <v>1414</v>
      </c>
      <c r="V283" t="s">
        <v>1420</v>
      </c>
    </row>
    <row r="284" spans="1:22" x14ac:dyDescent="0.25">
      <c r="A284" t="s">
        <v>1710</v>
      </c>
      <c r="B284" s="5">
        <v>45386</v>
      </c>
      <c r="C284" s="2" t="str">
        <f>TEXT(SalesData[[#This Row],[Order Date]],"mmm")</f>
        <v>Apr</v>
      </c>
      <c r="D284" s="7">
        <f>MONTH(SalesData[[#This Row],[Order Date]])</f>
        <v>4</v>
      </c>
      <c r="E284" s="7">
        <f>YEAR(SalesData[[#This Row],[Order Date]])</f>
        <v>2024</v>
      </c>
      <c r="F284" t="s">
        <v>474</v>
      </c>
      <c r="G284" t="str">
        <f>PROPER(SalesData[[#This Row],[Product Name]])</f>
        <v>Solar Led Lantern</v>
      </c>
      <c r="H284" t="s">
        <v>1012</v>
      </c>
      <c r="I284" t="str">
        <f>UPPER(SalesData[[#This Row],[Product Category]])</f>
        <v>LIGHTING</v>
      </c>
      <c r="J284">
        <v>10</v>
      </c>
      <c r="K284">
        <v>40</v>
      </c>
      <c r="L284" s="15">
        <f>IF(SalesData[[#This Row],[Unit Price]]="",
    AVERAGEIFS(SalesData[Unit Price],
               SalesData[Product Name],SalesData[[#This Row],[Product Name]]),
    SalesData[[#This Row],[Unit Price]])</f>
        <v>40</v>
      </c>
      <c r="M284" s="15">
        <v>12.79</v>
      </c>
      <c r="N284" s="15">
        <f>SalesData[[#This Row],[Quantity Sold]] * SalesData[[#This Row],[Cleaned Unit Price]]</f>
        <v>400</v>
      </c>
      <c r="O284" s="15">
        <f>SalesData[[#This Row],[Quantity Sold]] * SalesData[[#This Row],[Unit Cost]]</f>
        <v>127.89999999999999</v>
      </c>
      <c r="P284" s="15">
        <f>SalesData[[#This Row],[Revenue]] - SalesData[[#This Row],[Cost]]</f>
        <v>272.10000000000002</v>
      </c>
      <c r="Q284" s="13">
        <f>IF(SalesData[[#This Row],[Revenue]]=0,0,SalesData[[#This Row],[Profit]]/SalesData[[#This Row],[Revenue]])</f>
        <v>0.68025000000000002</v>
      </c>
      <c r="R284" t="s">
        <v>1198</v>
      </c>
      <c r="S284" t="s">
        <v>1397</v>
      </c>
      <c r="T284" t="str">
        <f>PROPER(SalesData[[#This Row],[Customer Name]])</f>
        <v>Oliver Johnson</v>
      </c>
      <c r="U284" t="s">
        <v>1415</v>
      </c>
      <c r="V284" t="s">
        <v>1426</v>
      </c>
    </row>
    <row r="285" spans="1:22" x14ac:dyDescent="0.25">
      <c r="A285" t="s">
        <v>1711</v>
      </c>
      <c r="B285" s="5">
        <v>45386</v>
      </c>
      <c r="C285" s="2" t="str">
        <f>TEXT(SalesData[[#This Row],[Order Date]],"mmm")</f>
        <v>Apr</v>
      </c>
      <c r="D285" s="7">
        <f>MONTH(SalesData[[#This Row],[Order Date]])</f>
        <v>4</v>
      </c>
      <c r="E285" s="7">
        <f>YEAR(SalesData[[#This Row],[Order Date]])</f>
        <v>2024</v>
      </c>
      <c r="F285" t="s">
        <v>841</v>
      </c>
      <c r="G285" t="str">
        <f>PROPER(SalesData[[#This Row],[Product Name]])</f>
        <v>Biodegradable Cleaning Cloth</v>
      </c>
      <c r="H285" t="s">
        <v>1015</v>
      </c>
      <c r="I285" t="str">
        <f>UPPER(SalesData[[#This Row],[Product Category]])</f>
        <v>CLEANING</v>
      </c>
      <c r="J285">
        <v>8</v>
      </c>
      <c r="K285">
        <v>10</v>
      </c>
      <c r="L285" s="15">
        <f>IF(SalesData[[#This Row],[Unit Price]]="",
    AVERAGEIFS(SalesData[Unit Price],
               SalesData[Product Name],SalesData[[#This Row],[Product Name]]),
    SalesData[[#This Row],[Unit Price]])</f>
        <v>10</v>
      </c>
      <c r="M285" s="15">
        <v>2.65</v>
      </c>
      <c r="N285" s="15">
        <f>SalesData[[#This Row],[Quantity Sold]] * SalesData[[#This Row],[Cleaned Unit Price]]</f>
        <v>80</v>
      </c>
      <c r="O285" s="15">
        <f>SalesData[[#This Row],[Quantity Sold]] * SalesData[[#This Row],[Unit Cost]]</f>
        <v>21.2</v>
      </c>
      <c r="P285" s="15">
        <f>SalesData[[#This Row],[Revenue]] - SalesData[[#This Row],[Cost]]</f>
        <v>58.8</v>
      </c>
      <c r="Q285" s="13">
        <f>IF(SalesData[[#This Row],[Revenue]]=0,0,SalesData[[#This Row],[Profit]]/SalesData[[#This Row],[Revenue]])</f>
        <v>0.73499999999999999</v>
      </c>
      <c r="R285" t="s">
        <v>1038</v>
      </c>
      <c r="S285" t="s">
        <v>1237</v>
      </c>
      <c r="T285" t="str">
        <f>PROPER(SalesData[[#This Row],[Customer Name]])</f>
        <v>Harper Garcia</v>
      </c>
      <c r="U285" t="s">
        <v>1414</v>
      </c>
      <c r="V285" t="s">
        <v>1425</v>
      </c>
    </row>
    <row r="286" spans="1:22" x14ac:dyDescent="0.25">
      <c r="A286" t="s">
        <v>1712</v>
      </c>
      <c r="B286" s="5">
        <v>45387</v>
      </c>
      <c r="C286" s="2" t="str">
        <f>TEXT(SalesData[[#This Row],[Order Date]],"mmm")</f>
        <v>Apr</v>
      </c>
      <c r="D286" s="7">
        <f>MONTH(SalesData[[#This Row],[Order Date]])</f>
        <v>4</v>
      </c>
      <c r="E286" s="7">
        <f>YEAR(SalesData[[#This Row],[Order Date]])</f>
        <v>2024</v>
      </c>
      <c r="F286" t="s">
        <v>924</v>
      </c>
      <c r="G286" t="str">
        <f>PROPER(SalesData[[#This Row],[Product Name]])</f>
        <v>Solar Led Lantern</v>
      </c>
      <c r="H286" t="s">
        <v>1012</v>
      </c>
      <c r="I286" t="str">
        <f>UPPER(SalesData[[#This Row],[Product Category]])</f>
        <v>LIGHTING</v>
      </c>
      <c r="J286">
        <v>5</v>
      </c>
      <c r="K286">
        <v>40</v>
      </c>
      <c r="L286" s="15">
        <f>IF(SalesData[[#This Row],[Unit Price]]="",
    AVERAGEIFS(SalesData[Unit Price],
               SalesData[Product Name],SalesData[[#This Row],[Product Name]]),
    SalesData[[#This Row],[Unit Price]])</f>
        <v>40</v>
      </c>
      <c r="M286" s="15">
        <v>8.31</v>
      </c>
      <c r="N286" s="15">
        <f>SalesData[[#This Row],[Quantity Sold]] * SalesData[[#This Row],[Cleaned Unit Price]]</f>
        <v>200</v>
      </c>
      <c r="O286" s="15">
        <f>SalesData[[#This Row],[Quantity Sold]] * SalesData[[#This Row],[Unit Cost]]</f>
        <v>41.550000000000004</v>
      </c>
      <c r="P286" s="15">
        <f>SalesData[[#This Row],[Revenue]] - SalesData[[#This Row],[Cost]]</f>
        <v>158.44999999999999</v>
      </c>
      <c r="Q286" s="13">
        <f>IF(SalesData[[#This Row],[Revenue]]=0,0,SalesData[[#This Row],[Profit]]/SalesData[[#This Row],[Revenue]])</f>
        <v>0.7922499999999999</v>
      </c>
      <c r="R286" t="s">
        <v>1151</v>
      </c>
      <c r="S286" t="s">
        <v>1350</v>
      </c>
      <c r="T286" t="str">
        <f>PROPER(SalesData[[#This Row],[Customer Name]])</f>
        <v>Isabella Brown</v>
      </c>
      <c r="U286" t="s">
        <v>1416</v>
      </c>
      <c r="V286" t="s">
        <v>1423</v>
      </c>
    </row>
    <row r="287" spans="1:22" x14ac:dyDescent="0.25">
      <c r="A287" t="s">
        <v>1713</v>
      </c>
      <c r="B287" s="5">
        <v>45388</v>
      </c>
      <c r="C287" s="2" t="str">
        <f>TEXT(SalesData[[#This Row],[Order Date]],"mmm")</f>
        <v>Apr</v>
      </c>
      <c r="D287" s="7">
        <f>MONTH(SalesData[[#This Row],[Order Date]])</f>
        <v>4</v>
      </c>
      <c r="E287" s="7">
        <f>YEAR(SalesData[[#This Row],[Order Date]])</f>
        <v>2024</v>
      </c>
      <c r="F287" t="s">
        <v>22</v>
      </c>
      <c r="G287" t="str">
        <f>PROPER(SalesData[[#This Row],[Product Name]])</f>
        <v>Solar Led Lantern</v>
      </c>
      <c r="H287" t="s">
        <v>1012</v>
      </c>
      <c r="I287" t="str">
        <f>UPPER(SalesData[[#This Row],[Product Category]])</f>
        <v>LIGHTING</v>
      </c>
      <c r="J287">
        <v>8</v>
      </c>
      <c r="K287">
        <v>40</v>
      </c>
      <c r="L287" s="15">
        <f>IF(SalesData[[#This Row],[Unit Price]]="",
    AVERAGEIFS(SalesData[Unit Price],
               SalesData[Product Name],SalesData[[#This Row],[Product Name]]),
    SalesData[[#This Row],[Unit Price]])</f>
        <v>40</v>
      </c>
      <c r="M287" s="15">
        <v>10.88</v>
      </c>
      <c r="N287" s="15">
        <f>SalesData[[#This Row],[Quantity Sold]] * SalesData[[#This Row],[Cleaned Unit Price]]</f>
        <v>320</v>
      </c>
      <c r="O287" s="15">
        <f>SalesData[[#This Row],[Quantity Sold]] * SalesData[[#This Row],[Unit Cost]]</f>
        <v>87.04</v>
      </c>
      <c r="P287" s="15">
        <f>SalesData[[#This Row],[Revenue]] - SalesData[[#This Row],[Cost]]</f>
        <v>232.95999999999998</v>
      </c>
      <c r="Q287" s="13">
        <f>IF(SalesData[[#This Row],[Revenue]]=0,0,SalesData[[#This Row],[Profit]]/SalesData[[#This Row],[Revenue]])</f>
        <v>0.72799999999999998</v>
      </c>
      <c r="R287" t="s">
        <v>1026</v>
      </c>
      <c r="S287" t="s">
        <v>1225</v>
      </c>
      <c r="T287" t="str">
        <f>PROPER(SalesData[[#This Row],[Customer Name]])</f>
        <v>Evelyn Martinez</v>
      </c>
      <c r="U287" t="s">
        <v>1416</v>
      </c>
      <c r="V287" t="s">
        <v>1426</v>
      </c>
    </row>
    <row r="288" spans="1:22" x14ac:dyDescent="0.25">
      <c r="A288" t="s">
        <v>1714</v>
      </c>
      <c r="B288" s="5">
        <v>45388</v>
      </c>
      <c r="C288" s="2" t="str">
        <f>TEXT(SalesData[[#This Row],[Order Date]],"mmm")</f>
        <v>Apr</v>
      </c>
      <c r="D288" s="7">
        <f>MONTH(SalesData[[#This Row],[Order Date]])</f>
        <v>4</v>
      </c>
      <c r="E288" s="7">
        <f>YEAR(SalesData[[#This Row],[Order Date]])</f>
        <v>2024</v>
      </c>
      <c r="F288" t="s">
        <v>736</v>
      </c>
      <c r="G288" t="str">
        <f>PROPER(SalesData[[#This Row],[Product Name]])</f>
        <v>Compostable Plant Pots</v>
      </c>
      <c r="H288" t="s">
        <v>1011</v>
      </c>
      <c r="I288" t="str">
        <f>UPPER(SalesData[[#This Row],[Product Category]])</f>
        <v>GARDENING</v>
      </c>
      <c r="J288">
        <v>6</v>
      </c>
      <c r="K288">
        <v>12</v>
      </c>
      <c r="L288" s="15">
        <f>IF(SalesData[[#This Row],[Unit Price]]="",
    AVERAGEIFS(SalesData[Unit Price],
               SalesData[Product Name],SalesData[[#This Row],[Product Name]]),
    SalesData[[#This Row],[Unit Price]])</f>
        <v>12</v>
      </c>
      <c r="M288" s="15">
        <v>4.78</v>
      </c>
      <c r="N288" s="15">
        <f>SalesData[[#This Row],[Quantity Sold]] * SalesData[[#This Row],[Cleaned Unit Price]]</f>
        <v>72</v>
      </c>
      <c r="O288" s="15">
        <f>SalesData[[#This Row],[Quantity Sold]] * SalesData[[#This Row],[Unit Cost]]</f>
        <v>28.68</v>
      </c>
      <c r="P288" s="15">
        <f>SalesData[[#This Row],[Revenue]] - SalesData[[#This Row],[Cost]]</f>
        <v>43.32</v>
      </c>
      <c r="Q288" s="13">
        <f>IF(SalesData[[#This Row],[Revenue]]=0,0,SalesData[[#This Row],[Profit]]/SalesData[[#This Row],[Revenue]])</f>
        <v>0.60166666666666668</v>
      </c>
      <c r="R288" t="s">
        <v>1111</v>
      </c>
      <c r="S288" t="s">
        <v>1310</v>
      </c>
      <c r="T288" t="str">
        <f>PROPER(SalesData[[#This Row],[Customer Name]])</f>
        <v>Charlotte Garcia</v>
      </c>
      <c r="U288" t="s">
        <v>1416</v>
      </c>
      <c r="V288" t="s">
        <v>1427</v>
      </c>
    </row>
    <row r="289" spans="1:22" x14ac:dyDescent="0.25">
      <c r="A289" t="s">
        <v>1715</v>
      </c>
      <c r="B289" s="5">
        <v>45388</v>
      </c>
      <c r="C289" s="2" t="str">
        <f>TEXT(SalesData[[#This Row],[Order Date]],"mmm")</f>
        <v>Apr</v>
      </c>
      <c r="D289" s="7">
        <f>MONTH(SalesData[[#This Row],[Order Date]])</f>
        <v>4</v>
      </c>
      <c r="E289" s="7">
        <f>YEAR(SalesData[[#This Row],[Order Date]])</f>
        <v>2024</v>
      </c>
      <c r="F289" t="s">
        <v>997</v>
      </c>
      <c r="G289" t="str">
        <f>PROPER(SalesData[[#This Row],[Product Name]])</f>
        <v>Eco Canvas Tote Bag</v>
      </c>
      <c r="H289" t="s">
        <v>1013</v>
      </c>
      <c r="I289" t="str">
        <f>UPPER(SalesData[[#This Row],[Product Category]])</f>
        <v>BAGS</v>
      </c>
      <c r="J289">
        <v>1</v>
      </c>
      <c r="K289">
        <v>25</v>
      </c>
      <c r="L289" s="15">
        <f>IF(SalesData[[#This Row],[Unit Price]]="",
    AVERAGEIFS(SalesData[Unit Price],
               SalesData[Product Name],SalesData[[#This Row],[Product Name]]),
    SalesData[[#This Row],[Unit Price]])</f>
        <v>25</v>
      </c>
      <c r="M289" s="15">
        <v>9.26</v>
      </c>
      <c r="N289" s="15">
        <f>SalesData[[#This Row],[Quantity Sold]] * SalesData[[#This Row],[Cleaned Unit Price]]</f>
        <v>25</v>
      </c>
      <c r="O289" s="15">
        <f>SalesData[[#This Row],[Quantity Sold]] * SalesData[[#This Row],[Unit Cost]]</f>
        <v>9.26</v>
      </c>
      <c r="P289" s="15">
        <f>SalesData[[#This Row],[Revenue]] - SalesData[[#This Row],[Cost]]</f>
        <v>15.74</v>
      </c>
      <c r="Q289" s="13">
        <f>IF(SalesData[[#This Row],[Revenue]]=0,0,SalesData[[#This Row],[Profit]]/SalesData[[#This Row],[Revenue]])</f>
        <v>0.62960000000000005</v>
      </c>
      <c r="R289" t="s">
        <v>1151</v>
      </c>
      <c r="S289" t="s">
        <v>1350</v>
      </c>
      <c r="T289" t="str">
        <f>PROPER(SalesData[[#This Row],[Customer Name]])</f>
        <v>Isabella Brown</v>
      </c>
      <c r="U289" t="s">
        <v>1414</v>
      </c>
      <c r="V289" t="s">
        <v>1427</v>
      </c>
    </row>
    <row r="290" spans="1:22" x14ac:dyDescent="0.25">
      <c r="A290" t="s">
        <v>1716</v>
      </c>
      <c r="B290" s="5">
        <v>45389</v>
      </c>
      <c r="C290" s="2" t="str">
        <f>TEXT(SalesData[[#This Row],[Order Date]],"mmm")</f>
        <v>Apr</v>
      </c>
      <c r="D290" s="7">
        <f>MONTH(SalesData[[#This Row],[Order Date]])</f>
        <v>4</v>
      </c>
      <c r="E290" s="7">
        <f>YEAR(SalesData[[#This Row],[Order Date]])</f>
        <v>2024</v>
      </c>
      <c r="F290" t="s">
        <v>102</v>
      </c>
      <c r="G290" t="str">
        <f>PROPER(SalesData[[#This Row],[Product Name]])</f>
        <v>Eco Canvas Tote Bag</v>
      </c>
      <c r="H290" t="s">
        <v>1013</v>
      </c>
      <c r="I290" t="str">
        <f>UPPER(SalesData[[#This Row],[Product Category]])</f>
        <v>BAGS</v>
      </c>
      <c r="J290">
        <v>9</v>
      </c>
      <c r="K290">
        <v>25</v>
      </c>
      <c r="L290" s="15">
        <f>IF(SalesData[[#This Row],[Unit Price]]="",
    AVERAGEIFS(SalesData[Unit Price],
               SalesData[Product Name],SalesData[[#This Row],[Product Name]]),
    SalesData[[#This Row],[Unit Price]])</f>
        <v>25</v>
      </c>
      <c r="M290" s="15">
        <v>8.39</v>
      </c>
      <c r="N290" s="15">
        <f>SalesData[[#This Row],[Quantity Sold]] * SalesData[[#This Row],[Cleaned Unit Price]]</f>
        <v>225</v>
      </c>
      <c r="O290" s="15">
        <f>SalesData[[#This Row],[Quantity Sold]] * SalesData[[#This Row],[Unit Cost]]</f>
        <v>75.510000000000005</v>
      </c>
      <c r="P290" s="15">
        <f>SalesData[[#This Row],[Revenue]] - SalesData[[#This Row],[Cost]]</f>
        <v>149.49</v>
      </c>
      <c r="Q290" s="13">
        <f>IF(SalesData[[#This Row],[Revenue]]=0,0,SalesData[[#This Row],[Profit]]/SalesData[[#This Row],[Revenue]])</f>
        <v>0.66439999999999999</v>
      </c>
      <c r="R290" t="s">
        <v>1086</v>
      </c>
      <c r="S290" t="s">
        <v>1285</v>
      </c>
      <c r="T290" t="str">
        <f>PROPER(SalesData[[#This Row],[Customer Name]])</f>
        <v>James Williams</v>
      </c>
      <c r="U290" t="s">
        <v>1416</v>
      </c>
      <c r="V290" t="s">
        <v>1420</v>
      </c>
    </row>
    <row r="291" spans="1:22" x14ac:dyDescent="0.25">
      <c r="A291" t="s">
        <v>1717</v>
      </c>
      <c r="B291" s="5">
        <v>45389</v>
      </c>
      <c r="C291" s="2" t="str">
        <f>TEXT(SalesData[[#This Row],[Order Date]],"mmm")</f>
        <v>Apr</v>
      </c>
      <c r="D291" s="7">
        <f>MONTH(SalesData[[#This Row],[Order Date]])</f>
        <v>4</v>
      </c>
      <c r="E291" s="7">
        <f>YEAR(SalesData[[#This Row],[Order Date]])</f>
        <v>2024</v>
      </c>
      <c r="F291" t="s">
        <v>256</v>
      </c>
      <c r="G291" t="str">
        <f>PROPER(SalesData[[#This Row],[Product Name]])</f>
        <v>Eco Canvas Tote Bag</v>
      </c>
      <c r="H291" t="s">
        <v>1013</v>
      </c>
      <c r="I291" t="str">
        <f>UPPER(SalesData[[#This Row],[Product Category]])</f>
        <v>BAGS</v>
      </c>
      <c r="J291">
        <v>4</v>
      </c>
      <c r="K291">
        <v>25</v>
      </c>
      <c r="L291" s="15">
        <f>IF(SalesData[[#This Row],[Unit Price]]="",
    AVERAGEIFS(SalesData[Unit Price],
               SalesData[Product Name],SalesData[[#This Row],[Product Name]]),
    SalesData[[#This Row],[Unit Price]])</f>
        <v>25</v>
      </c>
      <c r="M291" s="15">
        <v>6.45</v>
      </c>
      <c r="N291" s="15">
        <f>SalesData[[#This Row],[Quantity Sold]] * SalesData[[#This Row],[Cleaned Unit Price]]</f>
        <v>100</v>
      </c>
      <c r="O291" s="15">
        <f>SalesData[[#This Row],[Quantity Sold]] * SalesData[[#This Row],[Unit Cost]]</f>
        <v>25.8</v>
      </c>
      <c r="P291" s="15">
        <f>SalesData[[#This Row],[Revenue]] - SalesData[[#This Row],[Cost]]</f>
        <v>74.2</v>
      </c>
      <c r="Q291" s="13">
        <f>IF(SalesData[[#This Row],[Revenue]]=0,0,SalesData[[#This Row],[Profit]]/SalesData[[#This Row],[Revenue]])</f>
        <v>0.74199999999999999</v>
      </c>
      <c r="R291" t="s">
        <v>1103</v>
      </c>
      <c r="S291" t="s">
        <v>1302</v>
      </c>
      <c r="T291" t="str">
        <f>PROPER(SalesData[[#This Row],[Customer Name]])</f>
        <v>Ava Rodriguez</v>
      </c>
      <c r="U291" t="s">
        <v>1414</v>
      </c>
      <c r="V291" t="s">
        <v>1421</v>
      </c>
    </row>
    <row r="292" spans="1:22" x14ac:dyDescent="0.25">
      <c r="A292" t="s">
        <v>1718</v>
      </c>
      <c r="B292" s="5">
        <v>45389</v>
      </c>
      <c r="C292" s="2" t="str">
        <f>TEXT(SalesData[[#This Row],[Order Date]],"mmm")</f>
        <v>Apr</v>
      </c>
      <c r="D292" s="7">
        <f>MONTH(SalesData[[#This Row],[Order Date]])</f>
        <v>4</v>
      </c>
      <c r="E292" s="7">
        <f>YEAR(SalesData[[#This Row],[Order Date]])</f>
        <v>2024</v>
      </c>
      <c r="F292" t="s">
        <v>871</v>
      </c>
      <c r="G292" t="str">
        <f>PROPER(SalesData[[#This Row],[Product Name]])</f>
        <v>Eco Canvas Tote Bag</v>
      </c>
      <c r="H292" t="s">
        <v>1013</v>
      </c>
      <c r="I292" t="str">
        <f>UPPER(SalesData[[#This Row],[Product Category]])</f>
        <v>BAGS</v>
      </c>
      <c r="J292">
        <v>4</v>
      </c>
      <c r="K292">
        <v>25</v>
      </c>
      <c r="L292" s="15">
        <f>IF(SalesData[[#This Row],[Unit Price]]="",
    AVERAGEIFS(SalesData[Unit Price],
               SalesData[Product Name],SalesData[[#This Row],[Product Name]]),
    SalesData[[#This Row],[Unit Price]])</f>
        <v>25</v>
      </c>
      <c r="M292" s="15">
        <v>8.35</v>
      </c>
      <c r="N292" s="15">
        <f>SalesData[[#This Row],[Quantity Sold]] * SalesData[[#This Row],[Cleaned Unit Price]]</f>
        <v>100</v>
      </c>
      <c r="O292" s="15">
        <f>SalesData[[#This Row],[Quantity Sold]] * SalesData[[#This Row],[Unit Cost]]</f>
        <v>33.4</v>
      </c>
      <c r="P292" s="15">
        <f>SalesData[[#This Row],[Revenue]] - SalesData[[#This Row],[Cost]]</f>
        <v>66.599999999999994</v>
      </c>
      <c r="Q292" s="13">
        <f>IF(SalesData[[#This Row],[Revenue]]=0,0,SalesData[[#This Row],[Profit]]/SalesData[[#This Row],[Revenue]])</f>
        <v>0.66599999999999993</v>
      </c>
      <c r="R292" t="s">
        <v>1126</v>
      </c>
      <c r="S292" t="s">
        <v>1325</v>
      </c>
      <c r="T292" t="str">
        <f>PROPER(SalesData[[#This Row],[Customer Name]])</f>
        <v>Ethan Martinez</v>
      </c>
      <c r="U292" t="s">
        <v>1414</v>
      </c>
      <c r="V292" t="s">
        <v>1425</v>
      </c>
    </row>
    <row r="293" spans="1:22" x14ac:dyDescent="0.25">
      <c r="A293" t="s">
        <v>1719</v>
      </c>
      <c r="B293" s="5">
        <v>45390</v>
      </c>
      <c r="C293" s="2" t="str">
        <f>TEXT(SalesData[[#This Row],[Order Date]],"mmm")</f>
        <v>Apr</v>
      </c>
      <c r="D293" s="7">
        <f>MONTH(SalesData[[#This Row],[Order Date]])</f>
        <v>4</v>
      </c>
      <c r="E293" s="7">
        <f>YEAR(SalesData[[#This Row],[Order Date]])</f>
        <v>2024</v>
      </c>
      <c r="F293" t="s">
        <v>162</v>
      </c>
      <c r="G293" t="str">
        <f>PROPER(SalesData[[#This Row],[Product Name]])</f>
        <v>Reusable Bamboo Utensil Set</v>
      </c>
      <c r="H293" t="s">
        <v>1014</v>
      </c>
      <c r="I293" t="str">
        <f>UPPER(SalesData[[#This Row],[Product Category]])</f>
        <v>KITCHENWARE</v>
      </c>
      <c r="J293">
        <v>7</v>
      </c>
      <c r="K293">
        <v>15</v>
      </c>
      <c r="L293" s="15">
        <f>IF(SalesData[[#This Row],[Unit Price]]="",
    AVERAGEIFS(SalesData[Unit Price],
               SalesData[Product Name],SalesData[[#This Row],[Product Name]]),
    SalesData[[#This Row],[Unit Price]])</f>
        <v>15</v>
      </c>
      <c r="M293" s="15">
        <v>5.75</v>
      </c>
      <c r="N293" s="15">
        <f>SalesData[[#This Row],[Quantity Sold]] * SalesData[[#This Row],[Cleaned Unit Price]]</f>
        <v>105</v>
      </c>
      <c r="O293" s="15">
        <f>SalesData[[#This Row],[Quantity Sold]] * SalesData[[#This Row],[Unit Cost]]</f>
        <v>40.25</v>
      </c>
      <c r="P293" s="15">
        <f>SalesData[[#This Row],[Revenue]] - SalesData[[#This Row],[Cost]]</f>
        <v>64.75</v>
      </c>
      <c r="Q293" s="13">
        <f>IF(SalesData[[#This Row],[Revenue]]=0,0,SalesData[[#This Row],[Profit]]/SalesData[[#This Row],[Revenue]])</f>
        <v>0.6166666666666667</v>
      </c>
      <c r="R293" t="s">
        <v>1026</v>
      </c>
      <c r="S293" t="s">
        <v>1225</v>
      </c>
      <c r="T293" t="str">
        <f>PROPER(SalesData[[#This Row],[Customer Name]])</f>
        <v>Evelyn Martinez</v>
      </c>
      <c r="U293" t="s">
        <v>1416</v>
      </c>
      <c r="V293" t="s">
        <v>1425</v>
      </c>
    </row>
    <row r="294" spans="1:22" x14ac:dyDescent="0.25">
      <c r="A294" t="s">
        <v>1720</v>
      </c>
      <c r="B294" s="5">
        <v>45390</v>
      </c>
      <c r="C294" s="2" t="str">
        <f>TEXT(SalesData[[#This Row],[Order Date]],"mmm")</f>
        <v>Apr</v>
      </c>
      <c r="D294" s="7">
        <f>MONTH(SalesData[[#This Row],[Order Date]])</f>
        <v>4</v>
      </c>
      <c r="E294" s="7">
        <f>YEAR(SalesData[[#This Row],[Order Date]])</f>
        <v>2024</v>
      </c>
      <c r="F294" t="s">
        <v>350</v>
      </c>
      <c r="G294" t="str">
        <f>PROPER(SalesData[[#This Row],[Product Name]])</f>
        <v>Compostable Plant Pots</v>
      </c>
      <c r="H294" t="s">
        <v>1011</v>
      </c>
      <c r="I294" t="str">
        <f>UPPER(SalesData[[#This Row],[Product Category]])</f>
        <v>GARDENING</v>
      </c>
      <c r="J294">
        <v>7</v>
      </c>
      <c r="K294">
        <v>12</v>
      </c>
      <c r="L294" s="15">
        <f>IF(SalesData[[#This Row],[Unit Price]]="",
    AVERAGEIFS(SalesData[Unit Price],
               SalesData[Product Name],SalesData[[#This Row],[Product Name]]),
    SalesData[[#This Row],[Unit Price]])</f>
        <v>12</v>
      </c>
      <c r="M294" s="15">
        <v>3.53</v>
      </c>
      <c r="N294" s="15">
        <f>SalesData[[#This Row],[Quantity Sold]] * SalesData[[#This Row],[Cleaned Unit Price]]</f>
        <v>84</v>
      </c>
      <c r="O294" s="15">
        <f>SalesData[[#This Row],[Quantity Sold]] * SalesData[[#This Row],[Unit Cost]]</f>
        <v>24.709999999999997</v>
      </c>
      <c r="P294" s="15">
        <f>SalesData[[#This Row],[Revenue]] - SalesData[[#This Row],[Cost]]</f>
        <v>59.290000000000006</v>
      </c>
      <c r="Q294" s="13">
        <f>IF(SalesData[[#This Row],[Revenue]]=0,0,SalesData[[#This Row],[Profit]]/SalesData[[#This Row],[Revenue]])</f>
        <v>0.70583333333333342</v>
      </c>
      <c r="R294" t="s">
        <v>1136</v>
      </c>
      <c r="S294" t="s">
        <v>1335</v>
      </c>
      <c r="T294" t="str">
        <f>PROPER(SalesData[[#This Row],[Customer Name]])</f>
        <v>Logan Smith</v>
      </c>
      <c r="U294" t="s">
        <v>1415</v>
      </c>
      <c r="V294" t="s">
        <v>1425</v>
      </c>
    </row>
    <row r="295" spans="1:22" x14ac:dyDescent="0.25">
      <c r="A295" t="s">
        <v>1721</v>
      </c>
      <c r="B295" s="5">
        <v>45390</v>
      </c>
      <c r="C295" s="2" t="str">
        <f>TEXT(SalesData[[#This Row],[Order Date]],"mmm")</f>
        <v>Apr</v>
      </c>
      <c r="D295" s="7">
        <f>MONTH(SalesData[[#This Row],[Order Date]])</f>
        <v>4</v>
      </c>
      <c r="E295" s="7">
        <f>YEAR(SalesData[[#This Row],[Order Date]])</f>
        <v>2024</v>
      </c>
      <c r="F295" t="s">
        <v>541</v>
      </c>
      <c r="G295" t="str">
        <f>PROPER(SalesData[[#This Row],[Product Name]])</f>
        <v>Eco Canvas Tote Bag</v>
      </c>
      <c r="H295" t="s">
        <v>1013</v>
      </c>
      <c r="I295" t="str">
        <f>UPPER(SalesData[[#This Row],[Product Category]])</f>
        <v>BAGS</v>
      </c>
      <c r="J295">
        <v>9</v>
      </c>
      <c r="K295">
        <v>25</v>
      </c>
      <c r="L295" s="15">
        <f>IF(SalesData[[#This Row],[Unit Price]]="",
    AVERAGEIFS(SalesData[Unit Price],
               SalesData[Product Name],SalesData[[#This Row],[Product Name]]),
    SalesData[[#This Row],[Unit Price]])</f>
        <v>25</v>
      </c>
      <c r="M295" s="15">
        <v>5.36</v>
      </c>
      <c r="N295" s="15">
        <f>SalesData[[#This Row],[Quantity Sold]] * SalesData[[#This Row],[Cleaned Unit Price]]</f>
        <v>225</v>
      </c>
      <c r="O295" s="15">
        <f>SalesData[[#This Row],[Quantity Sold]] * SalesData[[#This Row],[Unit Cost]]</f>
        <v>48.24</v>
      </c>
      <c r="P295" s="15">
        <f>SalesData[[#This Row],[Revenue]] - SalesData[[#This Row],[Cost]]</f>
        <v>176.76</v>
      </c>
      <c r="Q295" s="13">
        <f>IF(SalesData[[#This Row],[Revenue]]=0,0,SalesData[[#This Row],[Profit]]/SalesData[[#This Row],[Revenue]])</f>
        <v>0.78559999999999997</v>
      </c>
      <c r="R295" t="s">
        <v>1077</v>
      </c>
      <c r="S295" t="s">
        <v>1276</v>
      </c>
      <c r="T295" t="str">
        <f>PROPER(SalesData[[#This Row],[Customer Name]])</f>
        <v>Noah Williams</v>
      </c>
      <c r="U295" t="s">
        <v>1414</v>
      </c>
      <c r="V295" t="s">
        <v>1419</v>
      </c>
    </row>
    <row r="296" spans="1:22" x14ac:dyDescent="0.25">
      <c r="A296" t="s">
        <v>1722</v>
      </c>
      <c r="B296" s="5">
        <v>45390</v>
      </c>
      <c r="C296" s="2" t="str">
        <f>TEXT(SalesData[[#This Row],[Order Date]],"mmm")</f>
        <v>Apr</v>
      </c>
      <c r="D296" s="7">
        <f>MONTH(SalesData[[#This Row],[Order Date]])</f>
        <v>4</v>
      </c>
      <c r="E296" s="7">
        <f>YEAR(SalesData[[#This Row],[Order Date]])</f>
        <v>2024</v>
      </c>
      <c r="F296" t="s">
        <v>604</v>
      </c>
      <c r="G296" t="str">
        <f>PROPER(SalesData[[#This Row],[Product Name]])</f>
        <v>Biodegradable Cleaning Cloth</v>
      </c>
      <c r="H296" t="s">
        <v>1015</v>
      </c>
      <c r="I296" t="str">
        <f>UPPER(SalesData[[#This Row],[Product Category]])</f>
        <v>CLEANING</v>
      </c>
      <c r="J296">
        <v>8</v>
      </c>
      <c r="K296">
        <v>10</v>
      </c>
      <c r="L296" s="15">
        <f>IF(SalesData[[#This Row],[Unit Price]]="",
    AVERAGEIFS(SalesData[Unit Price],
               SalesData[Product Name],SalesData[[#This Row],[Product Name]]),
    SalesData[[#This Row],[Unit Price]])</f>
        <v>10</v>
      </c>
      <c r="M296" s="15">
        <v>3.52</v>
      </c>
      <c r="N296" s="15">
        <f>SalesData[[#This Row],[Quantity Sold]] * SalesData[[#This Row],[Cleaned Unit Price]]</f>
        <v>80</v>
      </c>
      <c r="O296" s="15">
        <f>SalesData[[#This Row],[Quantity Sold]] * SalesData[[#This Row],[Unit Cost]]</f>
        <v>28.16</v>
      </c>
      <c r="P296" s="15">
        <f>SalesData[[#This Row],[Revenue]] - SalesData[[#This Row],[Cost]]</f>
        <v>51.84</v>
      </c>
      <c r="Q296" s="13">
        <f>IF(SalesData[[#This Row],[Revenue]]=0,0,SalesData[[#This Row],[Profit]]/SalesData[[#This Row],[Revenue]])</f>
        <v>0.64800000000000002</v>
      </c>
      <c r="R296" t="s">
        <v>1157</v>
      </c>
      <c r="S296" t="s">
        <v>1356</v>
      </c>
      <c r="T296" t="str">
        <f>PROPER(SalesData[[#This Row],[Customer Name]])</f>
        <v>Mason Rodriguez</v>
      </c>
      <c r="U296" t="s">
        <v>1414</v>
      </c>
      <c r="V296" t="s">
        <v>1426</v>
      </c>
    </row>
    <row r="297" spans="1:22" x14ac:dyDescent="0.25">
      <c r="A297" t="s">
        <v>1723</v>
      </c>
      <c r="B297" s="5">
        <v>45391</v>
      </c>
      <c r="C297" s="2" t="str">
        <f>TEXT(SalesData[[#This Row],[Order Date]],"mmm")</f>
        <v>Apr</v>
      </c>
      <c r="D297" s="7">
        <f>MONTH(SalesData[[#This Row],[Order Date]])</f>
        <v>4</v>
      </c>
      <c r="E297" s="7">
        <f>YEAR(SalesData[[#This Row],[Order Date]])</f>
        <v>2024</v>
      </c>
      <c r="F297" t="s">
        <v>221</v>
      </c>
      <c r="G297" t="str">
        <f>PROPER(SalesData[[#This Row],[Product Name]])</f>
        <v>Biodegradable Cleaning Cloth</v>
      </c>
      <c r="H297" t="s">
        <v>1015</v>
      </c>
      <c r="I297" t="str">
        <f>UPPER(SalesData[[#This Row],[Product Category]])</f>
        <v>CLEANING</v>
      </c>
      <c r="J297">
        <v>10</v>
      </c>
      <c r="K297">
        <v>10</v>
      </c>
      <c r="L297" s="15">
        <f>IF(SalesData[[#This Row],[Unit Price]]="",
    AVERAGEIFS(SalesData[Unit Price],
               SalesData[Product Name],SalesData[[#This Row],[Product Name]]),
    SalesData[[#This Row],[Unit Price]])</f>
        <v>10</v>
      </c>
      <c r="M297" s="15">
        <v>2.86</v>
      </c>
      <c r="N297" s="15">
        <f>SalesData[[#This Row],[Quantity Sold]] * SalesData[[#This Row],[Cleaned Unit Price]]</f>
        <v>100</v>
      </c>
      <c r="O297" s="15">
        <f>SalesData[[#This Row],[Quantity Sold]] * SalesData[[#This Row],[Unit Cost]]</f>
        <v>28.599999999999998</v>
      </c>
      <c r="P297" s="15">
        <f>SalesData[[#This Row],[Revenue]] - SalesData[[#This Row],[Cost]]</f>
        <v>71.400000000000006</v>
      </c>
      <c r="Q297" s="13">
        <f>IF(SalesData[[#This Row],[Revenue]]=0,0,SalesData[[#This Row],[Profit]]/SalesData[[#This Row],[Revenue]])</f>
        <v>0.71400000000000008</v>
      </c>
      <c r="R297" t="s">
        <v>1069</v>
      </c>
      <c r="S297" t="s">
        <v>1268</v>
      </c>
      <c r="T297" t="str">
        <f>PROPER(SalesData[[#This Row],[Customer Name]])</f>
        <v>Aiden Davis</v>
      </c>
      <c r="U297" t="s">
        <v>1414</v>
      </c>
      <c r="V297" t="s">
        <v>1422</v>
      </c>
    </row>
    <row r="298" spans="1:22" x14ac:dyDescent="0.25">
      <c r="A298" t="s">
        <v>1724</v>
      </c>
      <c r="B298" s="5">
        <v>45391</v>
      </c>
      <c r="C298" s="2" t="str">
        <f>TEXT(SalesData[[#This Row],[Order Date]],"mmm")</f>
        <v>Apr</v>
      </c>
      <c r="D298" s="7">
        <f>MONTH(SalesData[[#This Row],[Order Date]])</f>
        <v>4</v>
      </c>
      <c r="E298" s="7">
        <f>YEAR(SalesData[[#This Row],[Order Date]])</f>
        <v>2024</v>
      </c>
      <c r="F298" t="s">
        <v>632</v>
      </c>
      <c r="G298" t="str">
        <f>PROPER(SalesData[[#This Row],[Product Name]])</f>
        <v>Biodegradable Cleaning Cloth</v>
      </c>
      <c r="H298" t="s">
        <v>1015</v>
      </c>
      <c r="I298" t="str">
        <f>UPPER(SalesData[[#This Row],[Product Category]])</f>
        <v>CLEANING</v>
      </c>
      <c r="J298">
        <v>3</v>
      </c>
      <c r="K298">
        <v>10</v>
      </c>
      <c r="L298" s="15">
        <f>IF(SalesData[[#This Row],[Unit Price]]="",
    AVERAGEIFS(SalesData[Unit Price],
               SalesData[Product Name],SalesData[[#This Row],[Product Name]]),
    SalesData[[#This Row],[Unit Price]])</f>
        <v>10</v>
      </c>
      <c r="M298" s="15">
        <v>2.5299999999999998</v>
      </c>
      <c r="N298" s="15">
        <f>SalesData[[#This Row],[Quantity Sold]] * SalesData[[#This Row],[Cleaned Unit Price]]</f>
        <v>30</v>
      </c>
      <c r="O298" s="15">
        <f>SalesData[[#This Row],[Quantity Sold]] * SalesData[[#This Row],[Unit Cost]]</f>
        <v>7.59</v>
      </c>
      <c r="P298" s="15">
        <f>SalesData[[#This Row],[Revenue]] - SalesData[[#This Row],[Cost]]</f>
        <v>22.41</v>
      </c>
      <c r="Q298" s="13">
        <f>IF(SalesData[[#This Row],[Revenue]]=0,0,SalesData[[#This Row],[Profit]]/SalesData[[#This Row],[Revenue]])</f>
        <v>0.747</v>
      </c>
      <c r="R298" t="s">
        <v>1059</v>
      </c>
      <c r="S298" t="s">
        <v>1258</v>
      </c>
      <c r="T298" t="str">
        <f>PROPER(SalesData[[#This Row],[Customer Name]])</f>
        <v>Liam Jones</v>
      </c>
      <c r="U298" t="s">
        <v>1414</v>
      </c>
      <c r="V298" t="s">
        <v>1427</v>
      </c>
    </row>
    <row r="299" spans="1:22" x14ac:dyDescent="0.25">
      <c r="A299" t="s">
        <v>1725</v>
      </c>
      <c r="B299" s="5">
        <v>45391</v>
      </c>
      <c r="C299" s="2" t="str">
        <f>TEXT(SalesData[[#This Row],[Order Date]],"mmm")</f>
        <v>Apr</v>
      </c>
      <c r="D299" s="7">
        <f>MONTH(SalesData[[#This Row],[Order Date]])</f>
        <v>4</v>
      </c>
      <c r="E299" s="7">
        <f>YEAR(SalesData[[#This Row],[Order Date]])</f>
        <v>2024</v>
      </c>
      <c r="F299" t="s">
        <v>727</v>
      </c>
      <c r="G299" t="str">
        <f>PROPER(SalesData[[#This Row],[Product Name]])</f>
        <v>Biodegradable Cleaning Cloth</v>
      </c>
      <c r="H299" t="s">
        <v>1015</v>
      </c>
      <c r="I299" t="str">
        <f>UPPER(SalesData[[#This Row],[Product Category]])</f>
        <v>CLEANING</v>
      </c>
      <c r="J299">
        <v>2</v>
      </c>
      <c r="K299">
        <v>10</v>
      </c>
      <c r="L299" s="15">
        <f>IF(SalesData[[#This Row],[Unit Price]]="",
    AVERAGEIFS(SalesData[Unit Price],
               SalesData[Product Name],SalesData[[#This Row],[Product Name]]),
    SalesData[[#This Row],[Unit Price]])</f>
        <v>10</v>
      </c>
      <c r="M299" s="15">
        <v>3.58</v>
      </c>
      <c r="N299" s="15">
        <f>SalesData[[#This Row],[Quantity Sold]] * SalesData[[#This Row],[Cleaned Unit Price]]</f>
        <v>20</v>
      </c>
      <c r="O299" s="15">
        <f>SalesData[[#This Row],[Quantity Sold]] * SalesData[[#This Row],[Unit Cost]]</f>
        <v>7.16</v>
      </c>
      <c r="P299" s="15">
        <f>SalesData[[#This Row],[Revenue]] - SalesData[[#This Row],[Cost]]</f>
        <v>12.84</v>
      </c>
      <c r="Q299" s="13">
        <f>IF(SalesData[[#This Row],[Revenue]]=0,0,SalesData[[#This Row],[Profit]]/SalesData[[#This Row],[Revenue]])</f>
        <v>0.64200000000000002</v>
      </c>
      <c r="R299" t="s">
        <v>1177</v>
      </c>
      <c r="S299" t="s">
        <v>1376</v>
      </c>
      <c r="T299" t="str">
        <f>PROPER(SalesData[[#This Row],[Customer Name]])</f>
        <v>Emma Smith</v>
      </c>
      <c r="U299" t="s">
        <v>1416</v>
      </c>
      <c r="V299" t="s">
        <v>1421</v>
      </c>
    </row>
    <row r="300" spans="1:22" x14ac:dyDescent="0.25">
      <c r="A300" t="s">
        <v>1726</v>
      </c>
      <c r="B300" s="5">
        <v>45392</v>
      </c>
      <c r="C300" s="2" t="str">
        <f>TEXT(SalesData[[#This Row],[Order Date]],"mmm")</f>
        <v>Apr</v>
      </c>
      <c r="D300" s="7">
        <f>MONTH(SalesData[[#This Row],[Order Date]])</f>
        <v>4</v>
      </c>
      <c r="E300" s="7">
        <f>YEAR(SalesData[[#This Row],[Order Date]])</f>
        <v>2024</v>
      </c>
      <c r="F300" t="s">
        <v>481</v>
      </c>
      <c r="G300" t="str">
        <f>PROPER(SalesData[[#This Row],[Product Name]])</f>
        <v>Reusable Bamboo Utensil Set</v>
      </c>
      <c r="H300" t="s">
        <v>1014</v>
      </c>
      <c r="I300" t="str">
        <f>UPPER(SalesData[[#This Row],[Product Category]])</f>
        <v>KITCHENWARE</v>
      </c>
      <c r="J300">
        <v>10</v>
      </c>
      <c r="K300">
        <v>15</v>
      </c>
      <c r="L300" s="15">
        <f>IF(SalesData[[#This Row],[Unit Price]]="",
    AVERAGEIFS(SalesData[Unit Price],
               SalesData[Product Name],SalesData[[#This Row],[Product Name]]),
    SalesData[[#This Row],[Unit Price]])</f>
        <v>15</v>
      </c>
      <c r="M300" s="15">
        <v>5.89</v>
      </c>
      <c r="N300" s="15">
        <f>SalesData[[#This Row],[Quantity Sold]] * SalesData[[#This Row],[Cleaned Unit Price]]</f>
        <v>150</v>
      </c>
      <c r="O300" s="15">
        <f>SalesData[[#This Row],[Quantity Sold]] * SalesData[[#This Row],[Unit Cost]]</f>
        <v>58.9</v>
      </c>
      <c r="P300" s="15">
        <f>SalesData[[#This Row],[Revenue]] - SalesData[[#This Row],[Cost]]</f>
        <v>91.1</v>
      </c>
      <c r="Q300" s="13">
        <f>IF(SalesData[[#This Row],[Revenue]]=0,0,SalesData[[#This Row],[Profit]]/SalesData[[#This Row],[Revenue]])</f>
        <v>0.60733333333333328</v>
      </c>
      <c r="R300" t="s">
        <v>1194</v>
      </c>
      <c r="S300" t="s">
        <v>1393</v>
      </c>
      <c r="T300" t="str">
        <f>PROPER(SalesData[[#This Row],[Customer Name]])</f>
        <v>James Williams</v>
      </c>
      <c r="U300" t="s">
        <v>1416</v>
      </c>
      <c r="V300" t="s">
        <v>1419</v>
      </c>
    </row>
    <row r="301" spans="1:22" x14ac:dyDescent="0.25">
      <c r="A301" t="s">
        <v>1727</v>
      </c>
      <c r="B301" s="5">
        <v>45392</v>
      </c>
      <c r="C301" s="2" t="str">
        <f>TEXT(SalesData[[#This Row],[Order Date]],"mmm")</f>
        <v>Apr</v>
      </c>
      <c r="D301" s="7">
        <f>MONTH(SalesData[[#This Row],[Order Date]])</f>
        <v>4</v>
      </c>
      <c r="E301" s="7">
        <f>YEAR(SalesData[[#This Row],[Order Date]])</f>
        <v>2024</v>
      </c>
      <c r="F301" t="s">
        <v>515</v>
      </c>
      <c r="G301" t="str">
        <f>PROPER(SalesData[[#This Row],[Product Name]])</f>
        <v>Eco Canvas Tote Bag</v>
      </c>
      <c r="H301" t="s">
        <v>1013</v>
      </c>
      <c r="I301" t="str">
        <f>UPPER(SalesData[[#This Row],[Product Category]])</f>
        <v>BAGS</v>
      </c>
      <c r="J301">
        <v>3</v>
      </c>
      <c r="K301">
        <v>25</v>
      </c>
      <c r="L301" s="15">
        <f>IF(SalesData[[#This Row],[Unit Price]]="",
    AVERAGEIFS(SalesData[Unit Price],
               SalesData[Product Name],SalesData[[#This Row],[Product Name]]),
    SalesData[[#This Row],[Unit Price]])</f>
        <v>25</v>
      </c>
      <c r="M301" s="15">
        <v>5.6</v>
      </c>
      <c r="N301" s="15">
        <f>SalesData[[#This Row],[Quantity Sold]] * SalesData[[#This Row],[Cleaned Unit Price]]</f>
        <v>75</v>
      </c>
      <c r="O301" s="15">
        <f>SalesData[[#This Row],[Quantity Sold]] * SalesData[[#This Row],[Unit Cost]]</f>
        <v>16.799999999999997</v>
      </c>
      <c r="P301" s="15">
        <f>SalesData[[#This Row],[Revenue]] - SalesData[[#This Row],[Cost]]</f>
        <v>58.2</v>
      </c>
      <c r="Q301" s="13">
        <f>IF(SalesData[[#This Row],[Revenue]]=0,0,SalesData[[#This Row],[Profit]]/SalesData[[#This Row],[Revenue]])</f>
        <v>0.77600000000000002</v>
      </c>
      <c r="R301" t="s">
        <v>1204</v>
      </c>
      <c r="S301" t="s">
        <v>1403</v>
      </c>
      <c r="T301" t="str">
        <f>PROPER(SalesData[[#This Row],[Customer Name]])</f>
        <v>Harper Rodriguez</v>
      </c>
      <c r="U301" t="s">
        <v>1414</v>
      </c>
      <c r="V301" t="s">
        <v>1426</v>
      </c>
    </row>
    <row r="302" spans="1:22" x14ac:dyDescent="0.25">
      <c r="A302" t="s">
        <v>1728</v>
      </c>
      <c r="B302" s="5">
        <v>45392</v>
      </c>
      <c r="C302" s="2" t="str">
        <f>TEXT(SalesData[[#This Row],[Order Date]],"mmm")</f>
        <v>Apr</v>
      </c>
      <c r="D302" s="7">
        <f>MONTH(SalesData[[#This Row],[Order Date]])</f>
        <v>4</v>
      </c>
      <c r="E302" s="7">
        <f>YEAR(SalesData[[#This Row],[Order Date]])</f>
        <v>2024</v>
      </c>
      <c r="F302" t="s">
        <v>773</v>
      </c>
      <c r="G302" t="str">
        <f>PROPER(SalesData[[#This Row],[Product Name]])</f>
        <v>Biodegradable Cleaning Cloth</v>
      </c>
      <c r="H302" t="s">
        <v>1015</v>
      </c>
      <c r="I302" t="str">
        <f>UPPER(SalesData[[#This Row],[Product Category]])</f>
        <v>CLEANING</v>
      </c>
      <c r="J302">
        <v>4</v>
      </c>
      <c r="K302">
        <v>10</v>
      </c>
      <c r="L302" s="15">
        <f>IF(SalesData[[#This Row],[Unit Price]]="",
    AVERAGEIFS(SalesData[Unit Price],
               SalesData[Product Name],SalesData[[#This Row],[Product Name]]),
    SalesData[[#This Row],[Unit Price]])</f>
        <v>10</v>
      </c>
      <c r="M302" s="15">
        <v>2.4300000000000002</v>
      </c>
      <c r="N302" s="15">
        <f>SalesData[[#This Row],[Quantity Sold]] * SalesData[[#This Row],[Cleaned Unit Price]]</f>
        <v>40</v>
      </c>
      <c r="O302" s="15">
        <f>SalesData[[#This Row],[Quantity Sold]] * SalesData[[#This Row],[Unit Cost]]</f>
        <v>9.7200000000000006</v>
      </c>
      <c r="P302" s="15">
        <f>SalesData[[#This Row],[Revenue]] - SalesData[[#This Row],[Cost]]</f>
        <v>30.28</v>
      </c>
      <c r="Q302" s="13">
        <f>IF(SalesData[[#This Row],[Revenue]]=0,0,SalesData[[#This Row],[Profit]]/SalesData[[#This Row],[Revenue]])</f>
        <v>0.75700000000000001</v>
      </c>
      <c r="R302" t="s">
        <v>1075</v>
      </c>
      <c r="S302" t="s">
        <v>1274</v>
      </c>
      <c r="T302" t="str">
        <f>PROPER(SalesData[[#This Row],[Customer Name]])</f>
        <v>Oliver Johnson</v>
      </c>
      <c r="U302" t="s">
        <v>1414</v>
      </c>
      <c r="V302" t="s">
        <v>1419</v>
      </c>
    </row>
    <row r="303" spans="1:22" x14ac:dyDescent="0.25">
      <c r="A303" t="s">
        <v>1729</v>
      </c>
      <c r="B303" s="5">
        <v>45393</v>
      </c>
      <c r="C303" s="2" t="str">
        <f>TEXT(SalesData[[#This Row],[Order Date]],"mmm")</f>
        <v>Apr</v>
      </c>
      <c r="D303" s="7">
        <f>MONTH(SalesData[[#This Row],[Order Date]])</f>
        <v>4</v>
      </c>
      <c r="E303" s="7">
        <f>YEAR(SalesData[[#This Row],[Order Date]])</f>
        <v>2024</v>
      </c>
      <c r="F303" t="s">
        <v>374</v>
      </c>
      <c r="G303" t="str">
        <f>PROPER(SalesData[[#This Row],[Product Name]])</f>
        <v>Solar Led Lantern</v>
      </c>
      <c r="H303" t="s">
        <v>1012</v>
      </c>
      <c r="I303" t="str">
        <f>UPPER(SalesData[[#This Row],[Product Category]])</f>
        <v>LIGHTING</v>
      </c>
      <c r="J303">
        <v>3</v>
      </c>
      <c r="K303">
        <v>40</v>
      </c>
      <c r="L303" s="15">
        <f>IF(SalesData[[#This Row],[Unit Price]]="",
    AVERAGEIFS(SalesData[Unit Price],
               SalesData[Product Name],SalesData[[#This Row],[Product Name]]),
    SalesData[[#This Row],[Unit Price]])</f>
        <v>40</v>
      </c>
      <c r="M303" s="15">
        <v>15.83</v>
      </c>
      <c r="N303" s="15">
        <f>SalesData[[#This Row],[Quantity Sold]] * SalesData[[#This Row],[Cleaned Unit Price]]</f>
        <v>120</v>
      </c>
      <c r="O303" s="15">
        <f>SalesData[[#This Row],[Quantity Sold]] * SalesData[[#This Row],[Unit Cost]]</f>
        <v>47.49</v>
      </c>
      <c r="P303" s="15">
        <f>SalesData[[#This Row],[Revenue]] - SalesData[[#This Row],[Cost]]</f>
        <v>72.509999999999991</v>
      </c>
      <c r="Q303" s="13">
        <f>IF(SalesData[[#This Row],[Revenue]]=0,0,SalesData[[#This Row],[Profit]]/SalesData[[#This Row],[Revenue]])</f>
        <v>0.60424999999999995</v>
      </c>
      <c r="R303" t="s">
        <v>1101</v>
      </c>
      <c r="S303" t="s">
        <v>1300</v>
      </c>
      <c r="T303" t="str">
        <f>PROPER(SalesData[[#This Row],[Customer Name]])</f>
        <v>James Miller</v>
      </c>
      <c r="U303" t="s">
        <v>1414</v>
      </c>
      <c r="V303" t="s">
        <v>1426</v>
      </c>
    </row>
    <row r="304" spans="1:22" x14ac:dyDescent="0.25">
      <c r="A304" t="s">
        <v>1730</v>
      </c>
      <c r="B304" s="5">
        <v>45394</v>
      </c>
      <c r="C304" s="2" t="str">
        <f>TEXT(SalesData[[#This Row],[Order Date]],"mmm")</f>
        <v>Apr</v>
      </c>
      <c r="D304" s="7">
        <f>MONTH(SalesData[[#This Row],[Order Date]])</f>
        <v>4</v>
      </c>
      <c r="E304" s="7">
        <f>YEAR(SalesData[[#This Row],[Order Date]])</f>
        <v>2024</v>
      </c>
      <c r="F304" t="s">
        <v>107</v>
      </c>
      <c r="G304" t="str">
        <f>PROPER(SalesData[[#This Row],[Product Name]])</f>
        <v>Solar Led Lantern</v>
      </c>
      <c r="H304" t="s">
        <v>1012</v>
      </c>
      <c r="I304" t="str">
        <f>UPPER(SalesData[[#This Row],[Product Category]])</f>
        <v>LIGHTING</v>
      </c>
      <c r="J304">
        <v>4</v>
      </c>
      <c r="K304">
        <v>40</v>
      </c>
      <c r="L304" s="15">
        <f>IF(SalesData[[#This Row],[Unit Price]]="",
    AVERAGEIFS(SalesData[Unit Price],
               SalesData[Product Name],SalesData[[#This Row],[Product Name]]),
    SalesData[[#This Row],[Unit Price]])</f>
        <v>40</v>
      </c>
      <c r="M304" s="15">
        <v>8.26</v>
      </c>
      <c r="N304" s="15">
        <f>SalesData[[#This Row],[Quantity Sold]] * SalesData[[#This Row],[Cleaned Unit Price]]</f>
        <v>160</v>
      </c>
      <c r="O304" s="15">
        <f>SalesData[[#This Row],[Quantity Sold]] * SalesData[[#This Row],[Unit Cost]]</f>
        <v>33.04</v>
      </c>
      <c r="P304" s="15">
        <f>SalesData[[#This Row],[Revenue]] - SalesData[[#This Row],[Cost]]</f>
        <v>126.96000000000001</v>
      </c>
      <c r="Q304" s="13">
        <f>IF(SalesData[[#This Row],[Revenue]]=0,0,SalesData[[#This Row],[Profit]]/SalesData[[#This Row],[Revenue]])</f>
        <v>0.79350000000000009</v>
      </c>
      <c r="R304" t="s">
        <v>1089</v>
      </c>
      <c r="S304" t="s">
        <v>1288</v>
      </c>
      <c r="T304" t="str">
        <f>PROPER(SalesData[[#This Row],[Customer Name]])</f>
        <v>Isabella Garcia</v>
      </c>
      <c r="U304" t="s">
        <v>1415</v>
      </c>
      <c r="V304" t="s">
        <v>1424</v>
      </c>
    </row>
    <row r="305" spans="1:22" x14ac:dyDescent="0.25">
      <c r="A305" t="s">
        <v>1731</v>
      </c>
      <c r="B305" s="5">
        <v>45394</v>
      </c>
      <c r="C305" s="2" t="str">
        <f>TEXT(SalesData[[#This Row],[Order Date]],"mmm")</f>
        <v>Apr</v>
      </c>
      <c r="D305" s="7">
        <f>MONTH(SalesData[[#This Row],[Order Date]])</f>
        <v>4</v>
      </c>
      <c r="E305" s="7">
        <f>YEAR(SalesData[[#This Row],[Order Date]])</f>
        <v>2024</v>
      </c>
      <c r="F305" t="s">
        <v>252</v>
      </c>
      <c r="G305" t="str">
        <f>PROPER(SalesData[[#This Row],[Product Name]])</f>
        <v>Solar Led Lantern</v>
      </c>
      <c r="H305" t="s">
        <v>1012</v>
      </c>
      <c r="I305" t="str">
        <f>UPPER(SalesData[[#This Row],[Product Category]])</f>
        <v>LIGHTING</v>
      </c>
      <c r="J305">
        <v>2</v>
      </c>
      <c r="K305">
        <v>40</v>
      </c>
      <c r="L305" s="15">
        <f>IF(SalesData[[#This Row],[Unit Price]]="",
    AVERAGEIFS(SalesData[Unit Price],
               SalesData[Product Name],SalesData[[#This Row],[Product Name]]),
    SalesData[[#This Row],[Unit Price]])</f>
        <v>40</v>
      </c>
      <c r="M305" s="15">
        <v>8.09</v>
      </c>
      <c r="N305" s="15">
        <f>SalesData[[#This Row],[Quantity Sold]] * SalesData[[#This Row],[Cleaned Unit Price]]</f>
        <v>80</v>
      </c>
      <c r="O305" s="15">
        <f>SalesData[[#This Row],[Quantity Sold]] * SalesData[[#This Row],[Unit Cost]]</f>
        <v>16.18</v>
      </c>
      <c r="P305" s="15">
        <f>SalesData[[#This Row],[Revenue]] - SalesData[[#This Row],[Cost]]</f>
        <v>63.82</v>
      </c>
      <c r="Q305" s="13">
        <f>IF(SalesData[[#This Row],[Revenue]]=0,0,SalesData[[#This Row],[Profit]]/SalesData[[#This Row],[Revenue]])</f>
        <v>0.79774999999999996</v>
      </c>
      <c r="R305" t="s">
        <v>1075</v>
      </c>
      <c r="S305" t="s">
        <v>1274</v>
      </c>
      <c r="T305" t="str">
        <f>PROPER(SalesData[[#This Row],[Customer Name]])</f>
        <v>Oliver Johnson</v>
      </c>
      <c r="U305" t="s">
        <v>1415</v>
      </c>
      <c r="V305" t="s">
        <v>1420</v>
      </c>
    </row>
    <row r="306" spans="1:22" x14ac:dyDescent="0.25">
      <c r="A306" t="s">
        <v>1732</v>
      </c>
      <c r="B306" s="5">
        <v>45394</v>
      </c>
      <c r="C306" s="2" t="str">
        <f>TEXT(SalesData[[#This Row],[Order Date]],"mmm")</f>
        <v>Apr</v>
      </c>
      <c r="D306" s="7">
        <f>MONTH(SalesData[[#This Row],[Order Date]])</f>
        <v>4</v>
      </c>
      <c r="E306" s="7">
        <f>YEAR(SalesData[[#This Row],[Order Date]])</f>
        <v>2024</v>
      </c>
      <c r="F306" t="s">
        <v>582</v>
      </c>
      <c r="G306" t="str">
        <f>PROPER(SalesData[[#This Row],[Product Name]])</f>
        <v>Solar Led Lantern</v>
      </c>
      <c r="H306" t="s">
        <v>1012</v>
      </c>
      <c r="I306" t="str">
        <f>UPPER(SalesData[[#This Row],[Product Category]])</f>
        <v>LIGHTING</v>
      </c>
      <c r="J306">
        <v>10</v>
      </c>
      <c r="K306">
        <v>40</v>
      </c>
      <c r="L306" s="15">
        <f>IF(SalesData[[#This Row],[Unit Price]]="",
    AVERAGEIFS(SalesData[Unit Price],
               SalesData[Product Name],SalesData[[#This Row],[Product Name]]),
    SalesData[[#This Row],[Unit Price]])</f>
        <v>40</v>
      </c>
      <c r="M306" s="15">
        <v>8.0399999999999991</v>
      </c>
      <c r="N306" s="15">
        <f>SalesData[[#This Row],[Quantity Sold]] * SalesData[[#This Row],[Cleaned Unit Price]]</f>
        <v>400</v>
      </c>
      <c r="O306" s="15">
        <f>SalesData[[#This Row],[Quantity Sold]] * SalesData[[#This Row],[Unit Cost]]</f>
        <v>80.399999999999991</v>
      </c>
      <c r="P306" s="15">
        <f>SalesData[[#This Row],[Revenue]] - SalesData[[#This Row],[Cost]]</f>
        <v>319.60000000000002</v>
      </c>
      <c r="Q306" s="13">
        <f>IF(SalesData[[#This Row],[Revenue]]=0,0,SalesData[[#This Row],[Profit]]/SalesData[[#This Row],[Revenue]])</f>
        <v>0.79900000000000004</v>
      </c>
      <c r="R306" t="s">
        <v>1051</v>
      </c>
      <c r="S306" t="s">
        <v>1250</v>
      </c>
      <c r="T306" t="str">
        <f>PROPER(SalesData[[#This Row],[Customer Name]])</f>
        <v>Harper Jones</v>
      </c>
      <c r="U306" t="s">
        <v>1414</v>
      </c>
      <c r="V306" t="s">
        <v>1420</v>
      </c>
    </row>
    <row r="307" spans="1:22" x14ac:dyDescent="0.25">
      <c r="A307" t="s">
        <v>1733</v>
      </c>
      <c r="B307" s="5">
        <v>45395</v>
      </c>
      <c r="C307" s="2" t="str">
        <f>TEXT(SalesData[[#This Row],[Order Date]],"mmm")</f>
        <v>Apr</v>
      </c>
      <c r="D307" s="7">
        <f>MONTH(SalesData[[#This Row],[Order Date]])</f>
        <v>4</v>
      </c>
      <c r="E307" s="7">
        <f>YEAR(SalesData[[#This Row],[Order Date]])</f>
        <v>2024</v>
      </c>
      <c r="F307" t="s">
        <v>14</v>
      </c>
      <c r="G307" t="str">
        <f>PROPER(SalesData[[#This Row],[Product Name]])</f>
        <v>Eco Canvas Tote Bag</v>
      </c>
      <c r="H307" t="s">
        <v>1013</v>
      </c>
      <c r="I307" t="str">
        <f>UPPER(SalesData[[#This Row],[Product Category]])</f>
        <v>BAGS</v>
      </c>
      <c r="J307">
        <v>8</v>
      </c>
      <c r="K307">
        <v>25</v>
      </c>
      <c r="L307" s="15">
        <f>IF(SalesData[[#This Row],[Unit Price]]="",
    AVERAGEIFS(SalesData[Unit Price],
               SalesData[Product Name],SalesData[[#This Row],[Product Name]]),
    SalesData[[#This Row],[Unit Price]])</f>
        <v>25</v>
      </c>
      <c r="M307" s="15">
        <v>5.87</v>
      </c>
      <c r="N307" s="15">
        <f>SalesData[[#This Row],[Quantity Sold]] * SalesData[[#This Row],[Cleaned Unit Price]]</f>
        <v>200</v>
      </c>
      <c r="O307" s="15">
        <f>SalesData[[#This Row],[Quantity Sold]] * SalesData[[#This Row],[Unit Cost]]</f>
        <v>46.96</v>
      </c>
      <c r="P307" s="15">
        <f>SalesData[[#This Row],[Revenue]] - SalesData[[#This Row],[Cost]]</f>
        <v>153.04</v>
      </c>
      <c r="Q307" s="13">
        <f>IF(SalesData[[#This Row],[Revenue]]=0,0,SalesData[[#This Row],[Profit]]/SalesData[[#This Row],[Revenue]])</f>
        <v>0.76519999999999999</v>
      </c>
      <c r="R307" t="s">
        <v>1019</v>
      </c>
      <c r="S307" t="s">
        <v>1218</v>
      </c>
      <c r="T307" t="str">
        <f>PROPER(SalesData[[#This Row],[Customer Name]])</f>
        <v>Liam Jones</v>
      </c>
      <c r="U307" t="s">
        <v>1414</v>
      </c>
      <c r="V307" t="s">
        <v>1420</v>
      </c>
    </row>
    <row r="308" spans="1:22" x14ac:dyDescent="0.25">
      <c r="A308" t="s">
        <v>1734</v>
      </c>
      <c r="B308" s="5">
        <v>45395</v>
      </c>
      <c r="C308" s="2" t="str">
        <f>TEXT(SalesData[[#This Row],[Order Date]],"mmm")</f>
        <v>Apr</v>
      </c>
      <c r="D308" s="7">
        <f>MONTH(SalesData[[#This Row],[Order Date]])</f>
        <v>4</v>
      </c>
      <c r="E308" s="7">
        <f>YEAR(SalesData[[#This Row],[Order Date]])</f>
        <v>2024</v>
      </c>
      <c r="F308" t="s">
        <v>526</v>
      </c>
      <c r="G308" t="str">
        <f>PROPER(SalesData[[#This Row],[Product Name]])</f>
        <v>Reusable Bamboo Utensil Set</v>
      </c>
      <c r="H308" t="s">
        <v>1014</v>
      </c>
      <c r="I308" t="str">
        <f>UPPER(SalesData[[#This Row],[Product Category]])</f>
        <v>KITCHENWARE</v>
      </c>
      <c r="J308">
        <v>1</v>
      </c>
      <c r="K308">
        <v>15</v>
      </c>
      <c r="L308" s="15">
        <f>IF(SalesData[[#This Row],[Unit Price]]="",
    AVERAGEIFS(SalesData[Unit Price],
               SalesData[Product Name],SalesData[[#This Row],[Product Name]]),
    SalesData[[#This Row],[Unit Price]])</f>
        <v>15</v>
      </c>
      <c r="M308" s="15">
        <v>5.9</v>
      </c>
      <c r="N308" s="15">
        <f>SalesData[[#This Row],[Quantity Sold]] * SalesData[[#This Row],[Cleaned Unit Price]]</f>
        <v>15</v>
      </c>
      <c r="O308" s="15">
        <f>SalesData[[#This Row],[Quantity Sold]] * SalesData[[#This Row],[Unit Cost]]</f>
        <v>5.9</v>
      </c>
      <c r="P308" s="15">
        <f>SalesData[[#This Row],[Revenue]] - SalesData[[#This Row],[Cost]]</f>
        <v>9.1</v>
      </c>
      <c r="Q308" s="13">
        <f>IF(SalesData[[#This Row],[Revenue]]=0,0,SalesData[[#This Row],[Profit]]/SalesData[[#This Row],[Revenue]])</f>
        <v>0.60666666666666669</v>
      </c>
      <c r="R308" t="s">
        <v>1157</v>
      </c>
      <c r="S308" t="s">
        <v>1356</v>
      </c>
      <c r="T308" t="str">
        <f>PROPER(SalesData[[#This Row],[Customer Name]])</f>
        <v>Mason Rodriguez</v>
      </c>
      <c r="U308" t="s">
        <v>1414</v>
      </c>
      <c r="V308" t="s">
        <v>1425</v>
      </c>
    </row>
    <row r="309" spans="1:22" x14ac:dyDescent="0.25">
      <c r="A309" t="s">
        <v>1735</v>
      </c>
      <c r="B309" s="5">
        <v>45395</v>
      </c>
      <c r="C309" s="2" t="str">
        <f>TEXT(SalesData[[#This Row],[Order Date]],"mmm")</f>
        <v>Apr</v>
      </c>
      <c r="D309" s="7">
        <f>MONTH(SalesData[[#This Row],[Order Date]])</f>
        <v>4</v>
      </c>
      <c r="E309" s="7">
        <f>YEAR(SalesData[[#This Row],[Order Date]])</f>
        <v>2024</v>
      </c>
      <c r="F309" t="s">
        <v>581</v>
      </c>
      <c r="G309" t="str">
        <f>PROPER(SalesData[[#This Row],[Product Name]])</f>
        <v>Solar Led Lantern</v>
      </c>
      <c r="H309" t="s">
        <v>1012</v>
      </c>
      <c r="I309" t="str">
        <f>UPPER(SalesData[[#This Row],[Product Category]])</f>
        <v>LIGHTING</v>
      </c>
      <c r="J309">
        <v>3</v>
      </c>
      <c r="K309">
        <v>40</v>
      </c>
      <c r="L309" s="15">
        <f>IF(SalesData[[#This Row],[Unit Price]]="",
    AVERAGEIFS(SalesData[Unit Price],
               SalesData[Product Name],SalesData[[#This Row],[Product Name]]),
    SalesData[[#This Row],[Unit Price]])</f>
        <v>40</v>
      </c>
      <c r="M309" s="15">
        <v>14.85</v>
      </c>
      <c r="N309" s="15">
        <f>SalesData[[#This Row],[Quantity Sold]] * SalesData[[#This Row],[Cleaned Unit Price]]</f>
        <v>120</v>
      </c>
      <c r="O309" s="15">
        <f>SalesData[[#This Row],[Quantity Sold]] * SalesData[[#This Row],[Unit Cost]]</f>
        <v>44.55</v>
      </c>
      <c r="P309" s="15">
        <f>SalesData[[#This Row],[Revenue]] - SalesData[[#This Row],[Cost]]</f>
        <v>75.45</v>
      </c>
      <c r="Q309" s="13">
        <f>IF(SalesData[[#This Row],[Revenue]]=0,0,SalesData[[#This Row],[Profit]]/SalesData[[#This Row],[Revenue]])</f>
        <v>0.62875000000000003</v>
      </c>
      <c r="R309" t="s">
        <v>1094</v>
      </c>
      <c r="S309" t="s">
        <v>1293</v>
      </c>
      <c r="T309" t="str">
        <f>PROPER(SalesData[[#This Row],[Customer Name]])</f>
        <v>Sophia Davis</v>
      </c>
      <c r="U309" t="s">
        <v>1415</v>
      </c>
      <c r="V309" t="s">
        <v>1424</v>
      </c>
    </row>
    <row r="310" spans="1:22" x14ac:dyDescent="0.25">
      <c r="A310" t="s">
        <v>1736</v>
      </c>
      <c r="B310" s="5">
        <v>45396</v>
      </c>
      <c r="C310" s="2" t="str">
        <f>TEXT(SalesData[[#This Row],[Order Date]],"mmm")</f>
        <v>Apr</v>
      </c>
      <c r="D310" s="7">
        <f>MONTH(SalesData[[#This Row],[Order Date]])</f>
        <v>4</v>
      </c>
      <c r="E310" s="7">
        <f>YEAR(SalesData[[#This Row],[Order Date]])</f>
        <v>2024</v>
      </c>
      <c r="F310" t="s">
        <v>413</v>
      </c>
      <c r="G310" t="str">
        <f>PROPER(SalesData[[#This Row],[Product Name]])</f>
        <v>Solar Led Lantern</v>
      </c>
      <c r="H310" t="s">
        <v>1012</v>
      </c>
      <c r="I310" t="str">
        <f>UPPER(SalesData[[#This Row],[Product Category]])</f>
        <v>LIGHTING</v>
      </c>
      <c r="J310">
        <v>4</v>
      </c>
      <c r="K310">
        <v>40</v>
      </c>
      <c r="L310" s="15">
        <f>IF(SalesData[[#This Row],[Unit Price]]="",
    AVERAGEIFS(SalesData[Unit Price],
               SalesData[Product Name],SalesData[[#This Row],[Product Name]]),
    SalesData[[#This Row],[Unit Price]])</f>
        <v>40</v>
      </c>
      <c r="M310" s="15">
        <v>15.39</v>
      </c>
      <c r="N310" s="15">
        <f>SalesData[[#This Row],[Quantity Sold]] * SalesData[[#This Row],[Cleaned Unit Price]]</f>
        <v>160</v>
      </c>
      <c r="O310" s="15">
        <f>SalesData[[#This Row],[Quantity Sold]] * SalesData[[#This Row],[Unit Cost]]</f>
        <v>61.56</v>
      </c>
      <c r="P310" s="15">
        <f>SalesData[[#This Row],[Revenue]] - SalesData[[#This Row],[Cost]]</f>
        <v>98.44</v>
      </c>
      <c r="Q310" s="13">
        <f>IF(SalesData[[#This Row],[Revenue]]=0,0,SalesData[[#This Row],[Profit]]/SalesData[[#This Row],[Revenue]])</f>
        <v>0.61524999999999996</v>
      </c>
      <c r="R310" t="s">
        <v>1071</v>
      </c>
      <c r="S310" t="s">
        <v>1270</v>
      </c>
      <c r="T310" t="str">
        <f>PROPER(SalesData[[#This Row],[Customer Name]])</f>
        <v>Olivia Johnson</v>
      </c>
      <c r="U310" t="s">
        <v>1416</v>
      </c>
      <c r="V310" t="s">
        <v>1425</v>
      </c>
    </row>
    <row r="311" spans="1:22" x14ac:dyDescent="0.25">
      <c r="A311" t="s">
        <v>1737</v>
      </c>
      <c r="B311" s="5">
        <v>45396</v>
      </c>
      <c r="C311" s="2" t="str">
        <f>TEXT(SalesData[[#This Row],[Order Date]],"mmm")</f>
        <v>Apr</v>
      </c>
      <c r="D311" s="7">
        <f>MONTH(SalesData[[#This Row],[Order Date]])</f>
        <v>4</v>
      </c>
      <c r="E311" s="7">
        <f>YEAR(SalesData[[#This Row],[Order Date]])</f>
        <v>2024</v>
      </c>
      <c r="F311" t="s">
        <v>862</v>
      </c>
      <c r="G311" t="str">
        <f>PROPER(SalesData[[#This Row],[Product Name]])</f>
        <v>Compostable Plant Pots</v>
      </c>
      <c r="H311" t="s">
        <v>1011</v>
      </c>
      <c r="I311" t="str">
        <f>UPPER(SalesData[[#This Row],[Product Category]])</f>
        <v>GARDENING</v>
      </c>
      <c r="J311">
        <v>2</v>
      </c>
      <c r="K311">
        <v>12</v>
      </c>
      <c r="L311" s="15">
        <f>IF(SalesData[[#This Row],[Unit Price]]="",
    AVERAGEIFS(SalesData[Unit Price],
               SalesData[Product Name],SalesData[[#This Row],[Product Name]]),
    SalesData[[#This Row],[Unit Price]])</f>
        <v>12</v>
      </c>
      <c r="M311" s="15">
        <v>3.33</v>
      </c>
      <c r="N311" s="15">
        <f>SalesData[[#This Row],[Quantity Sold]] * SalesData[[#This Row],[Cleaned Unit Price]]</f>
        <v>24</v>
      </c>
      <c r="O311" s="15">
        <f>SalesData[[#This Row],[Quantity Sold]] * SalesData[[#This Row],[Unit Cost]]</f>
        <v>6.66</v>
      </c>
      <c r="P311" s="15">
        <f>SalesData[[#This Row],[Revenue]] - SalesData[[#This Row],[Cost]]</f>
        <v>17.34</v>
      </c>
      <c r="Q311" s="13">
        <f>IF(SalesData[[#This Row],[Revenue]]=0,0,SalesData[[#This Row],[Profit]]/SalesData[[#This Row],[Revenue]])</f>
        <v>0.72250000000000003</v>
      </c>
      <c r="R311" t="s">
        <v>1113</v>
      </c>
      <c r="S311" t="s">
        <v>1312</v>
      </c>
      <c r="T311" t="str">
        <f>PROPER(SalesData[[#This Row],[Customer Name]])</f>
        <v>Elijah Williams</v>
      </c>
      <c r="U311" t="s">
        <v>1414</v>
      </c>
      <c r="V311" t="s">
        <v>1420</v>
      </c>
    </row>
    <row r="312" spans="1:22" x14ac:dyDescent="0.25">
      <c r="A312" t="s">
        <v>1738</v>
      </c>
      <c r="B312" s="5">
        <v>45396</v>
      </c>
      <c r="C312" s="2" t="str">
        <f>TEXT(SalesData[[#This Row],[Order Date]],"mmm")</f>
        <v>Apr</v>
      </c>
      <c r="D312" s="7">
        <f>MONTH(SalesData[[#This Row],[Order Date]])</f>
        <v>4</v>
      </c>
      <c r="E312" s="7">
        <f>YEAR(SalesData[[#This Row],[Order Date]])</f>
        <v>2024</v>
      </c>
      <c r="F312" t="s">
        <v>927</v>
      </c>
      <c r="G312" t="str">
        <f>PROPER(SalesData[[#This Row],[Product Name]])</f>
        <v>Solar Led Lantern</v>
      </c>
      <c r="H312" t="s">
        <v>1012</v>
      </c>
      <c r="I312" t="str">
        <f>UPPER(SalesData[[#This Row],[Product Category]])</f>
        <v>LIGHTING</v>
      </c>
      <c r="J312">
        <v>8</v>
      </c>
      <c r="K312">
        <v>40</v>
      </c>
      <c r="L312" s="15">
        <f>IF(SalesData[[#This Row],[Unit Price]]="",
    AVERAGEIFS(SalesData[Unit Price],
               SalesData[Product Name],SalesData[[#This Row],[Product Name]]),
    SalesData[[#This Row],[Unit Price]])</f>
        <v>40</v>
      </c>
      <c r="M312" s="15">
        <v>8.81</v>
      </c>
      <c r="N312" s="15">
        <f>SalesData[[#This Row],[Quantity Sold]] * SalesData[[#This Row],[Cleaned Unit Price]]</f>
        <v>320</v>
      </c>
      <c r="O312" s="15">
        <f>SalesData[[#This Row],[Quantity Sold]] * SalesData[[#This Row],[Unit Cost]]</f>
        <v>70.48</v>
      </c>
      <c r="P312" s="15">
        <f>SalesData[[#This Row],[Revenue]] - SalesData[[#This Row],[Cost]]</f>
        <v>249.51999999999998</v>
      </c>
      <c r="Q312" s="13">
        <f>IF(SalesData[[#This Row],[Revenue]]=0,0,SalesData[[#This Row],[Profit]]/SalesData[[#This Row],[Revenue]])</f>
        <v>0.77974999999999994</v>
      </c>
      <c r="R312" t="s">
        <v>1193</v>
      </c>
      <c r="S312" t="s">
        <v>1392</v>
      </c>
      <c r="T312" t="str">
        <f>PROPER(SalesData[[#This Row],[Customer Name]])</f>
        <v>Harper Davis</v>
      </c>
      <c r="U312" t="s">
        <v>1414</v>
      </c>
      <c r="V312" t="s">
        <v>1421</v>
      </c>
    </row>
    <row r="313" spans="1:22" x14ac:dyDescent="0.25">
      <c r="A313" t="s">
        <v>1739</v>
      </c>
      <c r="B313" s="5">
        <v>45397</v>
      </c>
      <c r="C313" s="2" t="str">
        <f>TEXT(SalesData[[#This Row],[Order Date]],"mmm")</f>
        <v>Apr</v>
      </c>
      <c r="D313" s="7">
        <f>MONTH(SalesData[[#This Row],[Order Date]])</f>
        <v>4</v>
      </c>
      <c r="E313" s="7">
        <f>YEAR(SalesData[[#This Row],[Order Date]])</f>
        <v>2024</v>
      </c>
      <c r="F313" t="s">
        <v>167</v>
      </c>
      <c r="G313" t="str">
        <f>PROPER(SalesData[[#This Row],[Product Name]])</f>
        <v>Solar Led Lantern</v>
      </c>
      <c r="H313" t="s">
        <v>1012</v>
      </c>
      <c r="I313" t="str">
        <f>UPPER(SalesData[[#This Row],[Product Category]])</f>
        <v>LIGHTING</v>
      </c>
      <c r="J313">
        <v>5</v>
      </c>
      <c r="K313">
        <v>40</v>
      </c>
      <c r="L313" s="15">
        <f>IF(SalesData[[#This Row],[Unit Price]]="",
    AVERAGEIFS(SalesData[Unit Price],
               SalesData[Product Name],SalesData[[#This Row],[Product Name]]),
    SalesData[[#This Row],[Unit Price]])</f>
        <v>40</v>
      </c>
      <c r="M313" s="15">
        <v>15.08</v>
      </c>
      <c r="N313" s="15">
        <f>SalesData[[#This Row],[Quantity Sold]] * SalesData[[#This Row],[Cleaned Unit Price]]</f>
        <v>200</v>
      </c>
      <c r="O313" s="15">
        <f>SalesData[[#This Row],[Quantity Sold]] * SalesData[[#This Row],[Unit Cost]]</f>
        <v>75.400000000000006</v>
      </c>
      <c r="P313" s="15">
        <f>SalesData[[#This Row],[Revenue]] - SalesData[[#This Row],[Cost]]</f>
        <v>124.6</v>
      </c>
      <c r="Q313" s="13">
        <f>IF(SalesData[[#This Row],[Revenue]]=0,0,SalesData[[#This Row],[Profit]]/SalesData[[#This Row],[Revenue]])</f>
        <v>0.623</v>
      </c>
      <c r="R313" t="s">
        <v>1079</v>
      </c>
      <c r="S313" t="s">
        <v>1278</v>
      </c>
      <c r="T313" t="str">
        <f>PROPER(SalesData[[#This Row],[Customer Name]])</f>
        <v>Harper Smith</v>
      </c>
      <c r="U313" t="s">
        <v>1416</v>
      </c>
      <c r="V313" t="s">
        <v>1418</v>
      </c>
    </row>
    <row r="314" spans="1:22" x14ac:dyDescent="0.25">
      <c r="A314" t="s">
        <v>1740</v>
      </c>
      <c r="B314" s="5">
        <v>45397</v>
      </c>
      <c r="C314" s="2" t="str">
        <f>TEXT(SalesData[[#This Row],[Order Date]],"mmm")</f>
        <v>Apr</v>
      </c>
      <c r="D314" s="7">
        <f>MONTH(SalesData[[#This Row],[Order Date]])</f>
        <v>4</v>
      </c>
      <c r="E314" s="7">
        <f>YEAR(SalesData[[#This Row],[Order Date]])</f>
        <v>2024</v>
      </c>
      <c r="F314" t="s">
        <v>409</v>
      </c>
      <c r="G314" t="str">
        <f>PROPER(SalesData[[#This Row],[Product Name]])</f>
        <v>Solar Led Lantern</v>
      </c>
      <c r="H314" t="s">
        <v>1012</v>
      </c>
      <c r="I314" t="str">
        <f>UPPER(SalesData[[#This Row],[Product Category]])</f>
        <v>LIGHTING</v>
      </c>
      <c r="J314">
        <v>8</v>
      </c>
      <c r="K314">
        <v>40</v>
      </c>
      <c r="L314" s="15">
        <f>IF(SalesData[[#This Row],[Unit Price]]="",
    AVERAGEIFS(SalesData[Unit Price],
               SalesData[Product Name],SalesData[[#This Row],[Product Name]]),
    SalesData[[#This Row],[Unit Price]])</f>
        <v>40</v>
      </c>
      <c r="M314" s="15">
        <v>11.5</v>
      </c>
      <c r="N314" s="15">
        <f>SalesData[[#This Row],[Quantity Sold]] * SalesData[[#This Row],[Cleaned Unit Price]]</f>
        <v>320</v>
      </c>
      <c r="O314" s="15">
        <f>SalesData[[#This Row],[Quantity Sold]] * SalesData[[#This Row],[Unit Cost]]</f>
        <v>92</v>
      </c>
      <c r="P314" s="15">
        <f>SalesData[[#This Row],[Revenue]] - SalesData[[#This Row],[Cost]]</f>
        <v>228</v>
      </c>
      <c r="Q314" s="13">
        <f>IF(SalesData[[#This Row],[Revenue]]=0,0,SalesData[[#This Row],[Profit]]/SalesData[[#This Row],[Revenue]])</f>
        <v>0.71250000000000002</v>
      </c>
      <c r="R314" t="s">
        <v>1103</v>
      </c>
      <c r="S314" t="s">
        <v>1302</v>
      </c>
      <c r="T314" t="str">
        <f>PROPER(SalesData[[#This Row],[Customer Name]])</f>
        <v>Ava Rodriguez</v>
      </c>
      <c r="U314" t="s">
        <v>1415</v>
      </c>
      <c r="V314" t="s">
        <v>1426</v>
      </c>
    </row>
    <row r="315" spans="1:22" x14ac:dyDescent="0.25">
      <c r="A315" t="s">
        <v>1741</v>
      </c>
      <c r="B315" s="5">
        <v>45397</v>
      </c>
      <c r="C315" s="2" t="str">
        <f>TEXT(SalesData[[#This Row],[Order Date]],"mmm")</f>
        <v>Apr</v>
      </c>
      <c r="D315" s="7">
        <f>MONTH(SalesData[[#This Row],[Order Date]])</f>
        <v>4</v>
      </c>
      <c r="E315" s="7">
        <f>YEAR(SalesData[[#This Row],[Order Date]])</f>
        <v>2024</v>
      </c>
      <c r="F315" t="s">
        <v>1005</v>
      </c>
      <c r="G315" t="str">
        <f>PROPER(SalesData[[#This Row],[Product Name]])</f>
        <v>Biodegradable Cleaning Cloth</v>
      </c>
      <c r="H315" t="s">
        <v>1015</v>
      </c>
      <c r="I315" t="str">
        <f>UPPER(SalesData[[#This Row],[Product Category]])</f>
        <v>CLEANING</v>
      </c>
      <c r="J315">
        <v>9</v>
      </c>
      <c r="K315">
        <v>10</v>
      </c>
      <c r="L315" s="15">
        <f>IF(SalesData[[#This Row],[Unit Price]]="",
    AVERAGEIFS(SalesData[Unit Price],
               SalesData[Product Name],SalesData[[#This Row],[Product Name]]),
    SalesData[[#This Row],[Unit Price]])</f>
        <v>10</v>
      </c>
      <c r="M315" s="15">
        <v>2.65</v>
      </c>
      <c r="N315" s="15">
        <f>SalesData[[#This Row],[Quantity Sold]] * SalesData[[#This Row],[Cleaned Unit Price]]</f>
        <v>90</v>
      </c>
      <c r="O315" s="15">
        <f>SalesData[[#This Row],[Quantity Sold]] * SalesData[[#This Row],[Unit Cost]]</f>
        <v>23.849999999999998</v>
      </c>
      <c r="P315" s="15">
        <f>SalesData[[#This Row],[Revenue]] - SalesData[[#This Row],[Cost]]</f>
        <v>66.150000000000006</v>
      </c>
      <c r="Q315" s="13">
        <f>IF(SalesData[[#This Row],[Revenue]]=0,0,SalesData[[#This Row],[Profit]]/SalesData[[#This Row],[Revenue]])</f>
        <v>0.7350000000000001</v>
      </c>
      <c r="R315" t="s">
        <v>1034</v>
      </c>
      <c r="S315" t="s">
        <v>1233</v>
      </c>
      <c r="T315" t="str">
        <f>PROPER(SalesData[[#This Row],[Customer Name]])</f>
        <v>Liam Garcia</v>
      </c>
      <c r="U315" t="s">
        <v>1414</v>
      </c>
      <c r="V315" t="s">
        <v>1425</v>
      </c>
    </row>
    <row r="316" spans="1:22" x14ac:dyDescent="0.25">
      <c r="A316" t="s">
        <v>1742</v>
      </c>
      <c r="B316" s="5">
        <v>45398</v>
      </c>
      <c r="C316" s="2" t="str">
        <f>TEXT(SalesData[[#This Row],[Order Date]],"mmm")</f>
        <v>Apr</v>
      </c>
      <c r="D316" s="7">
        <f>MONTH(SalesData[[#This Row],[Order Date]])</f>
        <v>4</v>
      </c>
      <c r="E316" s="7">
        <f>YEAR(SalesData[[#This Row],[Order Date]])</f>
        <v>2024</v>
      </c>
      <c r="F316" t="s">
        <v>424</v>
      </c>
      <c r="G316" t="str">
        <f>PROPER(SalesData[[#This Row],[Product Name]])</f>
        <v>Biodegradable Cleaning Cloth</v>
      </c>
      <c r="H316" t="s">
        <v>1015</v>
      </c>
      <c r="I316" t="str">
        <f>UPPER(SalesData[[#This Row],[Product Category]])</f>
        <v>CLEANING</v>
      </c>
      <c r="J316">
        <v>2</v>
      </c>
      <c r="K316">
        <v>10</v>
      </c>
      <c r="L316" s="15">
        <f>IF(SalesData[[#This Row],[Unit Price]]="",
    AVERAGEIFS(SalesData[Unit Price],
               SalesData[Product Name],SalesData[[#This Row],[Product Name]]),
    SalesData[[#This Row],[Unit Price]])</f>
        <v>10</v>
      </c>
      <c r="M316" s="15">
        <v>3.22</v>
      </c>
      <c r="N316" s="15">
        <f>SalesData[[#This Row],[Quantity Sold]] * SalesData[[#This Row],[Cleaned Unit Price]]</f>
        <v>20</v>
      </c>
      <c r="O316" s="15">
        <f>SalesData[[#This Row],[Quantity Sold]] * SalesData[[#This Row],[Unit Cost]]</f>
        <v>6.44</v>
      </c>
      <c r="P316" s="15">
        <f>SalesData[[#This Row],[Revenue]] - SalesData[[#This Row],[Cost]]</f>
        <v>13.559999999999999</v>
      </c>
      <c r="Q316" s="13">
        <f>IF(SalesData[[#This Row],[Revenue]]=0,0,SalesData[[#This Row],[Profit]]/SalesData[[#This Row],[Revenue]])</f>
        <v>0.67799999999999994</v>
      </c>
      <c r="R316" t="s">
        <v>1163</v>
      </c>
      <c r="S316" t="s">
        <v>1362</v>
      </c>
      <c r="T316" t="str">
        <f>PROPER(SalesData[[#This Row],[Customer Name]])</f>
        <v>Ava Rodriguez</v>
      </c>
      <c r="U316" t="s">
        <v>1414</v>
      </c>
      <c r="V316" t="s">
        <v>1421</v>
      </c>
    </row>
    <row r="317" spans="1:22" x14ac:dyDescent="0.25">
      <c r="A317" t="s">
        <v>1743</v>
      </c>
      <c r="B317" s="5">
        <v>45398</v>
      </c>
      <c r="C317" s="2" t="str">
        <f>TEXT(SalesData[[#This Row],[Order Date]],"mmm")</f>
        <v>Apr</v>
      </c>
      <c r="D317" s="7">
        <f>MONTH(SalesData[[#This Row],[Order Date]])</f>
        <v>4</v>
      </c>
      <c r="E317" s="7">
        <f>YEAR(SalesData[[#This Row],[Order Date]])</f>
        <v>2024</v>
      </c>
      <c r="F317" t="s">
        <v>989</v>
      </c>
      <c r="G317" t="str">
        <f>PROPER(SalesData[[#This Row],[Product Name]])</f>
        <v>Eco Canvas Tote Bag</v>
      </c>
      <c r="H317" t="s">
        <v>1013</v>
      </c>
      <c r="I317" t="str">
        <f>UPPER(SalesData[[#This Row],[Product Category]])</f>
        <v>BAGS</v>
      </c>
      <c r="J317">
        <v>6</v>
      </c>
      <c r="K317">
        <v>25</v>
      </c>
      <c r="L317" s="15">
        <f>IF(SalesData[[#This Row],[Unit Price]]="",
    AVERAGEIFS(SalesData[Unit Price],
               SalesData[Product Name],SalesData[[#This Row],[Product Name]]),
    SalesData[[#This Row],[Unit Price]])</f>
        <v>25</v>
      </c>
      <c r="M317" s="15">
        <v>7.37</v>
      </c>
      <c r="N317" s="15">
        <f>SalesData[[#This Row],[Quantity Sold]] * SalesData[[#This Row],[Cleaned Unit Price]]</f>
        <v>150</v>
      </c>
      <c r="O317" s="15">
        <f>SalesData[[#This Row],[Quantity Sold]] * SalesData[[#This Row],[Unit Cost]]</f>
        <v>44.22</v>
      </c>
      <c r="P317" s="15">
        <f>SalesData[[#This Row],[Revenue]] - SalesData[[#This Row],[Cost]]</f>
        <v>105.78</v>
      </c>
      <c r="Q317" s="13">
        <f>IF(SalesData[[#This Row],[Revenue]]=0,0,SalesData[[#This Row],[Profit]]/SalesData[[#This Row],[Revenue]])</f>
        <v>0.70520000000000005</v>
      </c>
      <c r="R317" t="s">
        <v>1166</v>
      </c>
      <c r="S317" t="s">
        <v>1365</v>
      </c>
      <c r="T317" t="str">
        <f>PROPER(SalesData[[#This Row],[Customer Name]])</f>
        <v>Olivia Garcia</v>
      </c>
      <c r="U317" t="s">
        <v>1416</v>
      </c>
      <c r="V317" t="s">
        <v>1420</v>
      </c>
    </row>
    <row r="318" spans="1:22" x14ac:dyDescent="0.25">
      <c r="A318" t="s">
        <v>1744</v>
      </c>
      <c r="B318" s="5">
        <v>45399</v>
      </c>
      <c r="C318" s="2" t="str">
        <f>TEXT(SalesData[[#This Row],[Order Date]],"mmm")</f>
        <v>Apr</v>
      </c>
      <c r="D318" s="7">
        <f>MONTH(SalesData[[#This Row],[Order Date]])</f>
        <v>4</v>
      </c>
      <c r="E318" s="7">
        <f>YEAR(SalesData[[#This Row],[Order Date]])</f>
        <v>2024</v>
      </c>
      <c r="F318" t="s">
        <v>37</v>
      </c>
      <c r="G318" t="str">
        <f>PROPER(SalesData[[#This Row],[Product Name]])</f>
        <v>Compostable Plant Pots</v>
      </c>
      <c r="H318" t="s">
        <v>1011</v>
      </c>
      <c r="I318" t="str">
        <f>UPPER(SalesData[[#This Row],[Product Category]])</f>
        <v>GARDENING</v>
      </c>
      <c r="J318">
        <v>5</v>
      </c>
      <c r="K318">
        <v>12</v>
      </c>
      <c r="L318" s="15">
        <f>IF(SalesData[[#This Row],[Unit Price]]="",
    AVERAGEIFS(SalesData[Unit Price],
               SalesData[Product Name],SalesData[[#This Row],[Product Name]]),
    SalesData[[#This Row],[Unit Price]])</f>
        <v>12</v>
      </c>
      <c r="M318" s="15">
        <v>2.5499999999999998</v>
      </c>
      <c r="N318" s="15">
        <f>SalesData[[#This Row],[Quantity Sold]] * SalesData[[#This Row],[Cleaned Unit Price]]</f>
        <v>60</v>
      </c>
      <c r="O318" s="15">
        <f>SalesData[[#This Row],[Quantity Sold]] * SalesData[[#This Row],[Unit Cost]]</f>
        <v>12.75</v>
      </c>
      <c r="P318" s="15">
        <f>SalesData[[#This Row],[Revenue]] - SalesData[[#This Row],[Cost]]</f>
        <v>47.25</v>
      </c>
      <c r="Q318" s="13">
        <f>IF(SalesData[[#This Row],[Revenue]]=0,0,SalesData[[#This Row],[Profit]]/SalesData[[#This Row],[Revenue]])</f>
        <v>0.78749999999999998</v>
      </c>
      <c r="R318" t="s">
        <v>1039</v>
      </c>
      <c r="S318" t="s">
        <v>1238</v>
      </c>
      <c r="T318" t="str">
        <f>PROPER(SalesData[[#This Row],[Customer Name]])</f>
        <v>Mia Jones</v>
      </c>
      <c r="U318" t="s">
        <v>1416</v>
      </c>
      <c r="V318" t="s">
        <v>1418</v>
      </c>
    </row>
    <row r="319" spans="1:22" x14ac:dyDescent="0.25">
      <c r="A319" t="s">
        <v>1745</v>
      </c>
      <c r="B319" s="5">
        <v>45399</v>
      </c>
      <c r="C319" s="2" t="str">
        <f>TEXT(SalesData[[#This Row],[Order Date]],"mmm")</f>
        <v>Apr</v>
      </c>
      <c r="D319" s="7">
        <f>MONTH(SalesData[[#This Row],[Order Date]])</f>
        <v>4</v>
      </c>
      <c r="E319" s="7">
        <f>YEAR(SalesData[[#This Row],[Order Date]])</f>
        <v>2024</v>
      </c>
      <c r="F319" t="s">
        <v>194</v>
      </c>
      <c r="G319" t="str">
        <f>PROPER(SalesData[[#This Row],[Product Name]])</f>
        <v>Eco Canvas Tote Bag</v>
      </c>
      <c r="H319" t="s">
        <v>1013</v>
      </c>
      <c r="I319" t="str">
        <f>UPPER(SalesData[[#This Row],[Product Category]])</f>
        <v>BAGS</v>
      </c>
      <c r="J319">
        <v>4</v>
      </c>
      <c r="L319" s="15">
        <f>IF(SalesData[[#This Row],[Unit Price]]="",
    AVERAGEIFS(SalesData[Unit Price],
               SalesData[Product Name],SalesData[[#This Row],[Product Name]]),
    SalesData[[#This Row],[Unit Price]])</f>
        <v>25</v>
      </c>
      <c r="M319" s="15">
        <v>6.2</v>
      </c>
      <c r="N319" s="15">
        <f>SalesData[[#This Row],[Quantity Sold]] * SalesData[[#This Row],[Cleaned Unit Price]]</f>
        <v>100</v>
      </c>
      <c r="O319" s="15">
        <f>SalesData[[#This Row],[Quantity Sold]] * SalesData[[#This Row],[Unit Cost]]</f>
        <v>24.8</v>
      </c>
      <c r="P319" s="15">
        <f>SalesData[[#This Row],[Revenue]] - SalesData[[#This Row],[Cost]]</f>
        <v>75.2</v>
      </c>
      <c r="Q319" s="13">
        <f>IF(SalesData[[#This Row],[Revenue]]=0,0,SalesData[[#This Row],[Profit]]/SalesData[[#This Row],[Revenue]])</f>
        <v>0.752</v>
      </c>
      <c r="R319" t="s">
        <v>1109</v>
      </c>
      <c r="S319" t="s">
        <v>1308</v>
      </c>
      <c r="T319" t="str">
        <f>PROPER(SalesData[[#This Row],[Customer Name]])</f>
        <v>Lucas Smith</v>
      </c>
      <c r="U319" t="s">
        <v>1416</v>
      </c>
      <c r="V319" t="s">
        <v>1420</v>
      </c>
    </row>
    <row r="320" spans="1:22" x14ac:dyDescent="0.25">
      <c r="A320" t="s">
        <v>1746</v>
      </c>
      <c r="B320" s="5">
        <v>45399</v>
      </c>
      <c r="C320" s="2" t="str">
        <f>TEXT(SalesData[[#This Row],[Order Date]],"mmm")</f>
        <v>Apr</v>
      </c>
      <c r="D320" s="7">
        <f>MONTH(SalesData[[#This Row],[Order Date]])</f>
        <v>4</v>
      </c>
      <c r="E320" s="7">
        <f>YEAR(SalesData[[#This Row],[Order Date]])</f>
        <v>2024</v>
      </c>
      <c r="F320" t="s">
        <v>894</v>
      </c>
      <c r="G320" t="str">
        <f>PROPER(SalesData[[#This Row],[Product Name]])</f>
        <v>Eco Canvas Tote Bag</v>
      </c>
      <c r="H320" t="s">
        <v>1013</v>
      </c>
      <c r="I320" t="str">
        <f>UPPER(SalesData[[#This Row],[Product Category]])</f>
        <v>BAGS</v>
      </c>
      <c r="J320">
        <v>4</v>
      </c>
      <c r="K320">
        <v>25</v>
      </c>
      <c r="L320" s="15">
        <f>IF(SalesData[[#This Row],[Unit Price]]="",
    AVERAGEIFS(SalesData[Unit Price],
               SalesData[Product Name],SalesData[[#This Row],[Product Name]]),
    SalesData[[#This Row],[Unit Price]])</f>
        <v>25</v>
      </c>
      <c r="M320" s="15">
        <v>7.53</v>
      </c>
      <c r="N320" s="15">
        <f>SalesData[[#This Row],[Quantity Sold]] * SalesData[[#This Row],[Cleaned Unit Price]]</f>
        <v>100</v>
      </c>
      <c r="O320" s="15">
        <f>SalesData[[#This Row],[Quantity Sold]] * SalesData[[#This Row],[Unit Cost]]</f>
        <v>30.12</v>
      </c>
      <c r="P320" s="15">
        <f>SalesData[[#This Row],[Revenue]] - SalesData[[#This Row],[Cost]]</f>
        <v>69.88</v>
      </c>
      <c r="Q320" s="13">
        <f>IF(SalesData[[#This Row],[Revenue]]=0,0,SalesData[[#This Row],[Profit]]/SalesData[[#This Row],[Revenue]])</f>
        <v>0.69879999999999998</v>
      </c>
      <c r="R320" t="s">
        <v>1137</v>
      </c>
      <c r="S320" t="s">
        <v>1336</v>
      </c>
      <c r="T320" t="str">
        <f>PROPER(SalesData[[#This Row],[Customer Name]])</f>
        <v>Harper Miller</v>
      </c>
      <c r="U320" t="s">
        <v>1414</v>
      </c>
      <c r="V320" t="s">
        <v>1419</v>
      </c>
    </row>
    <row r="321" spans="1:22" x14ac:dyDescent="0.25">
      <c r="A321" t="s">
        <v>1747</v>
      </c>
      <c r="B321" s="5">
        <v>45400</v>
      </c>
      <c r="C321" s="2" t="str">
        <f>TEXT(SalesData[[#This Row],[Order Date]],"mmm")</f>
        <v>Apr</v>
      </c>
      <c r="D321" s="7">
        <f>MONTH(SalesData[[#This Row],[Order Date]])</f>
        <v>4</v>
      </c>
      <c r="E321" s="7">
        <f>YEAR(SalesData[[#This Row],[Order Date]])</f>
        <v>2024</v>
      </c>
      <c r="F321" t="s">
        <v>230</v>
      </c>
      <c r="G321" t="str">
        <f>PROPER(SalesData[[#This Row],[Product Name]])</f>
        <v>Eco Canvas Tote Bag</v>
      </c>
      <c r="H321" t="s">
        <v>1013</v>
      </c>
      <c r="I321" t="str">
        <f>UPPER(SalesData[[#This Row],[Product Category]])</f>
        <v>BAGS</v>
      </c>
      <c r="J321">
        <v>1</v>
      </c>
      <c r="K321">
        <v>25</v>
      </c>
      <c r="L321" s="15">
        <f>IF(SalesData[[#This Row],[Unit Price]]="",
    AVERAGEIFS(SalesData[Unit Price],
               SalesData[Product Name],SalesData[[#This Row],[Product Name]]),
    SalesData[[#This Row],[Unit Price]])</f>
        <v>25</v>
      </c>
      <c r="M321" s="15">
        <v>7.07</v>
      </c>
      <c r="N321" s="15">
        <f>SalesData[[#This Row],[Quantity Sold]] * SalesData[[#This Row],[Cleaned Unit Price]]</f>
        <v>25</v>
      </c>
      <c r="O321" s="15">
        <f>SalesData[[#This Row],[Quantity Sold]] * SalesData[[#This Row],[Unit Cost]]</f>
        <v>7.07</v>
      </c>
      <c r="P321" s="15">
        <f>SalesData[[#This Row],[Revenue]] - SalesData[[#This Row],[Cost]]</f>
        <v>17.93</v>
      </c>
      <c r="Q321" s="13">
        <f>IF(SalesData[[#This Row],[Revenue]]=0,0,SalesData[[#This Row],[Profit]]/SalesData[[#This Row],[Revenue]])</f>
        <v>0.71719999999999995</v>
      </c>
      <c r="R321" t="s">
        <v>1102</v>
      </c>
      <c r="S321" t="s">
        <v>1301</v>
      </c>
      <c r="T321" t="str">
        <f>PROPER(SalesData[[#This Row],[Customer Name]])</f>
        <v>Aiden Garcia</v>
      </c>
      <c r="U321" t="s">
        <v>1415</v>
      </c>
      <c r="V321" t="s">
        <v>1421</v>
      </c>
    </row>
    <row r="322" spans="1:22" x14ac:dyDescent="0.25">
      <c r="A322" t="s">
        <v>1748</v>
      </c>
      <c r="B322" s="5">
        <v>45401</v>
      </c>
      <c r="C322" s="2" t="str">
        <f>TEXT(SalesData[[#This Row],[Order Date]],"mmm")</f>
        <v>Apr</v>
      </c>
      <c r="D322" s="7">
        <f>MONTH(SalesData[[#This Row],[Order Date]])</f>
        <v>4</v>
      </c>
      <c r="E322" s="7">
        <f>YEAR(SalesData[[#This Row],[Order Date]])</f>
        <v>2024</v>
      </c>
      <c r="F322" t="s">
        <v>348</v>
      </c>
      <c r="G322" t="str">
        <f>PROPER(SalesData[[#This Row],[Product Name]])</f>
        <v>Biodegradable Cleaning Cloth</v>
      </c>
      <c r="H322" t="s">
        <v>1015</v>
      </c>
      <c r="I322" t="str">
        <f>UPPER(SalesData[[#This Row],[Product Category]])</f>
        <v>CLEANING</v>
      </c>
      <c r="J322">
        <v>7</v>
      </c>
      <c r="K322">
        <v>10</v>
      </c>
      <c r="L322" s="15">
        <f>IF(SalesData[[#This Row],[Unit Price]]="",
    AVERAGEIFS(SalesData[Unit Price],
               SalesData[Product Name],SalesData[[#This Row],[Product Name]]),
    SalesData[[#This Row],[Unit Price]])</f>
        <v>10</v>
      </c>
      <c r="M322" s="15">
        <v>3.53</v>
      </c>
      <c r="N322" s="15">
        <f>SalesData[[#This Row],[Quantity Sold]] * SalesData[[#This Row],[Cleaned Unit Price]]</f>
        <v>70</v>
      </c>
      <c r="O322" s="15">
        <f>SalesData[[#This Row],[Quantity Sold]] * SalesData[[#This Row],[Unit Cost]]</f>
        <v>24.709999999999997</v>
      </c>
      <c r="P322" s="15">
        <f>SalesData[[#This Row],[Revenue]] - SalesData[[#This Row],[Cost]]</f>
        <v>45.290000000000006</v>
      </c>
      <c r="Q322" s="13">
        <f>IF(SalesData[[#This Row],[Revenue]]=0,0,SalesData[[#This Row],[Profit]]/SalesData[[#This Row],[Revenue]])</f>
        <v>0.64700000000000013</v>
      </c>
      <c r="R322" t="s">
        <v>1177</v>
      </c>
      <c r="S322" t="s">
        <v>1376</v>
      </c>
      <c r="T322" t="str">
        <f>PROPER(SalesData[[#This Row],[Customer Name]])</f>
        <v>Emma Smith</v>
      </c>
      <c r="U322" t="s">
        <v>1414</v>
      </c>
      <c r="V322" t="s">
        <v>1421</v>
      </c>
    </row>
    <row r="323" spans="1:22" x14ac:dyDescent="0.25">
      <c r="A323" t="s">
        <v>1749</v>
      </c>
      <c r="B323" s="5">
        <v>45401</v>
      </c>
      <c r="C323" s="2" t="str">
        <f>TEXT(SalesData[[#This Row],[Order Date]],"mmm")</f>
        <v>Apr</v>
      </c>
      <c r="D323" s="7">
        <f>MONTH(SalesData[[#This Row],[Order Date]])</f>
        <v>4</v>
      </c>
      <c r="E323" s="7">
        <f>YEAR(SalesData[[#This Row],[Order Date]])</f>
        <v>2024</v>
      </c>
      <c r="F323" t="s">
        <v>580</v>
      </c>
      <c r="G323" t="str">
        <f>PROPER(SalesData[[#This Row],[Product Name]])</f>
        <v>Solar Led Lantern</v>
      </c>
      <c r="H323" t="s">
        <v>1012</v>
      </c>
      <c r="I323" t="str">
        <f>UPPER(SalesData[[#This Row],[Product Category]])</f>
        <v>LIGHTING</v>
      </c>
      <c r="J323">
        <v>7</v>
      </c>
      <c r="K323">
        <v>40</v>
      </c>
      <c r="L323" s="15">
        <f>IF(SalesData[[#This Row],[Unit Price]]="",
    AVERAGEIFS(SalesData[Unit Price],
               SalesData[Product Name],SalesData[[#This Row],[Product Name]]),
    SalesData[[#This Row],[Unit Price]])</f>
        <v>40</v>
      </c>
      <c r="M323" s="15">
        <v>8.4</v>
      </c>
      <c r="N323" s="15">
        <f>SalesData[[#This Row],[Quantity Sold]] * SalesData[[#This Row],[Cleaned Unit Price]]</f>
        <v>280</v>
      </c>
      <c r="O323" s="15">
        <f>SalesData[[#This Row],[Quantity Sold]] * SalesData[[#This Row],[Unit Cost]]</f>
        <v>58.800000000000004</v>
      </c>
      <c r="P323" s="15">
        <f>SalesData[[#This Row],[Revenue]] - SalesData[[#This Row],[Cost]]</f>
        <v>221.2</v>
      </c>
      <c r="Q323" s="13">
        <f>IF(SalesData[[#This Row],[Revenue]]=0,0,SalesData[[#This Row],[Profit]]/SalesData[[#This Row],[Revenue]])</f>
        <v>0.78999999999999992</v>
      </c>
      <c r="R323" t="s">
        <v>1046</v>
      </c>
      <c r="S323" t="s">
        <v>1245</v>
      </c>
      <c r="T323" t="str">
        <f>PROPER(SalesData[[#This Row],[Customer Name]])</f>
        <v>Lucas Williams</v>
      </c>
      <c r="U323" t="s">
        <v>1414</v>
      </c>
      <c r="V323" t="s">
        <v>1418</v>
      </c>
    </row>
    <row r="324" spans="1:22" x14ac:dyDescent="0.25">
      <c r="A324" t="s">
        <v>1750</v>
      </c>
      <c r="B324" s="5">
        <v>45401</v>
      </c>
      <c r="C324" s="2" t="str">
        <f>TEXT(SalesData[[#This Row],[Order Date]],"mmm")</f>
        <v>Apr</v>
      </c>
      <c r="D324" s="7">
        <f>MONTH(SalesData[[#This Row],[Order Date]])</f>
        <v>4</v>
      </c>
      <c r="E324" s="7">
        <f>YEAR(SalesData[[#This Row],[Order Date]])</f>
        <v>2024</v>
      </c>
      <c r="F324" t="s">
        <v>929</v>
      </c>
      <c r="G324" t="str">
        <f>PROPER(SalesData[[#This Row],[Product Name]])</f>
        <v>Compostable Plant Pots</v>
      </c>
      <c r="H324" t="s">
        <v>1011</v>
      </c>
      <c r="I324" t="str">
        <f>UPPER(SalesData[[#This Row],[Product Category]])</f>
        <v>GARDENING</v>
      </c>
      <c r="J324">
        <v>7</v>
      </c>
      <c r="K324">
        <v>12</v>
      </c>
      <c r="L324" s="15">
        <f>IF(SalesData[[#This Row],[Unit Price]]="",
    AVERAGEIFS(SalesData[Unit Price],
               SalesData[Product Name],SalesData[[#This Row],[Product Name]]),
    SalesData[[#This Row],[Unit Price]])</f>
        <v>12</v>
      </c>
      <c r="M324" s="15">
        <v>4.59</v>
      </c>
      <c r="N324" s="15">
        <f>SalesData[[#This Row],[Quantity Sold]] * SalesData[[#This Row],[Cleaned Unit Price]]</f>
        <v>84</v>
      </c>
      <c r="O324" s="15">
        <f>SalesData[[#This Row],[Quantity Sold]] * SalesData[[#This Row],[Unit Cost]]</f>
        <v>32.129999999999995</v>
      </c>
      <c r="P324" s="15">
        <f>SalesData[[#This Row],[Revenue]] - SalesData[[#This Row],[Cost]]</f>
        <v>51.870000000000005</v>
      </c>
      <c r="Q324" s="13">
        <f>IF(SalesData[[#This Row],[Revenue]]=0,0,SalesData[[#This Row],[Profit]]/SalesData[[#This Row],[Revenue]])</f>
        <v>0.61750000000000005</v>
      </c>
      <c r="R324" t="s">
        <v>1170</v>
      </c>
      <c r="S324" t="s">
        <v>1369</v>
      </c>
      <c r="T324" t="str">
        <f>PROPER(SalesData[[#This Row],[Customer Name]])</f>
        <v>Aiden Brown</v>
      </c>
      <c r="U324" t="s">
        <v>1414</v>
      </c>
      <c r="V324" t="s">
        <v>1427</v>
      </c>
    </row>
    <row r="325" spans="1:22" x14ac:dyDescent="0.25">
      <c r="A325" t="s">
        <v>1751</v>
      </c>
      <c r="B325" s="5">
        <v>45402</v>
      </c>
      <c r="C325" s="2" t="str">
        <f>TEXT(SalesData[[#This Row],[Order Date]],"mmm")</f>
        <v>Apr</v>
      </c>
      <c r="D325" s="7">
        <f>MONTH(SalesData[[#This Row],[Order Date]])</f>
        <v>4</v>
      </c>
      <c r="E325" s="7">
        <f>YEAR(SalesData[[#This Row],[Order Date]])</f>
        <v>2024</v>
      </c>
      <c r="F325" t="s">
        <v>69</v>
      </c>
      <c r="G325" t="str">
        <f>PROPER(SalesData[[#This Row],[Product Name]])</f>
        <v>Compostable Plant Pots</v>
      </c>
      <c r="H325" t="s">
        <v>1011</v>
      </c>
      <c r="I325" t="str">
        <f>UPPER(SalesData[[#This Row],[Product Category]])</f>
        <v>GARDENING</v>
      </c>
      <c r="J325">
        <v>9</v>
      </c>
      <c r="K325">
        <v>12</v>
      </c>
      <c r="L325" s="15">
        <f>IF(SalesData[[#This Row],[Unit Price]]="",
    AVERAGEIFS(SalesData[Unit Price],
               SalesData[Product Name],SalesData[[#This Row],[Product Name]]),
    SalesData[[#This Row],[Unit Price]])</f>
        <v>12</v>
      </c>
      <c r="M325" s="15">
        <v>3.18</v>
      </c>
      <c r="N325" s="15">
        <f>SalesData[[#This Row],[Quantity Sold]] * SalesData[[#This Row],[Cleaned Unit Price]]</f>
        <v>108</v>
      </c>
      <c r="O325" s="15">
        <f>SalesData[[#This Row],[Quantity Sold]] * SalesData[[#This Row],[Unit Cost]]</f>
        <v>28.62</v>
      </c>
      <c r="P325" s="15">
        <f>SalesData[[#This Row],[Revenue]] - SalesData[[#This Row],[Cost]]</f>
        <v>79.38</v>
      </c>
      <c r="Q325" s="13">
        <f>IF(SalesData[[#This Row],[Revenue]]=0,0,SalesData[[#This Row],[Profit]]/SalesData[[#This Row],[Revenue]])</f>
        <v>0.73499999999999999</v>
      </c>
      <c r="R325" t="s">
        <v>1054</v>
      </c>
      <c r="S325" t="s">
        <v>1253</v>
      </c>
      <c r="T325" t="str">
        <f>PROPER(SalesData[[#This Row],[Customer Name]])</f>
        <v>Ethan Johnson</v>
      </c>
      <c r="U325" t="s">
        <v>1414</v>
      </c>
      <c r="V325" t="s">
        <v>1422</v>
      </c>
    </row>
    <row r="326" spans="1:22" x14ac:dyDescent="0.25">
      <c r="A326" t="s">
        <v>1752</v>
      </c>
      <c r="B326" s="5">
        <v>45402</v>
      </c>
      <c r="C326" s="2" t="str">
        <f>TEXT(SalesData[[#This Row],[Order Date]],"mmm")</f>
        <v>Apr</v>
      </c>
      <c r="D326" s="7">
        <f>MONTH(SalesData[[#This Row],[Order Date]])</f>
        <v>4</v>
      </c>
      <c r="E326" s="7">
        <f>YEAR(SalesData[[#This Row],[Order Date]])</f>
        <v>2024</v>
      </c>
      <c r="F326" t="s">
        <v>236</v>
      </c>
      <c r="G326" t="str">
        <f>PROPER(SalesData[[#This Row],[Product Name]])</f>
        <v>Biodegradable Cleaning Cloth</v>
      </c>
      <c r="H326" t="s">
        <v>1015</v>
      </c>
      <c r="I326" t="str">
        <f>UPPER(SalesData[[#This Row],[Product Category]])</f>
        <v>CLEANING</v>
      </c>
      <c r="J326">
        <v>8</v>
      </c>
      <c r="L326" s="15">
        <f>IF(SalesData[[#This Row],[Unit Price]]="",
    AVERAGEIFS(SalesData[Unit Price],
               SalesData[Product Name],SalesData[[#This Row],[Product Name]]),
    SalesData[[#This Row],[Unit Price]])</f>
        <v>10</v>
      </c>
      <c r="M326" s="15">
        <v>2.5499999999999998</v>
      </c>
      <c r="N326" s="15">
        <f>SalesData[[#This Row],[Quantity Sold]] * SalesData[[#This Row],[Cleaned Unit Price]]</f>
        <v>80</v>
      </c>
      <c r="O326" s="15">
        <f>SalesData[[#This Row],[Quantity Sold]] * SalesData[[#This Row],[Unit Cost]]</f>
        <v>20.399999999999999</v>
      </c>
      <c r="P326" s="15">
        <f>SalesData[[#This Row],[Revenue]] - SalesData[[#This Row],[Cost]]</f>
        <v>59.6</v>
      </c>
      <c r="Q326" s="13">
        <f>IF(SalesData[[#This Row],[Revenue]]=0,0,SalesData[[#This Row],[Profit]]/SalesData[[#This Row],[Revenue]])</f>
        <v>0.745</v>
      </c>
      <c r="R326" t="s">
        <v>1122</v>
      </c>
      <c r="S326" t="s">
        <v>1321</v>
      </c>
      <c r="T326" t="str">
        <f>PROPER(SalesData[[#This Row],[Customer Name]])</f>
        <v>Harper Rodriguez</v>
      </c>
      <c r="U326" t="s">
        <v>1416</v>
      </c>
      <c r="V326" t="s">
        <v>1424</v>
      </c>
    </row>
    <row r="327" spans="1:22" x14ac:dyDescent="0.25">
      <c r="A327" t="s">
        <v>1753</v>
      </c>
      <c r="B327" s="5">
        <v>45402</v>
      </c>
      <c r="C327" s="2" t="str">
        <f>TEXT(SalesData[[#This Row],[Order Date]],"mmm")</f>
        <v>Apr</v>
      </c>
      <c r="D327" s="7">
        <f>MONTH(SalesData[[#This Row],[Order Date]])</f>
        <v>4</v>
      </c>
      <c r="E327" s="7">
        <f>YEAR(SalesData[[#This Row],[Order Date]])</f>
        <v>2024</v>
      </c>
      <c r="F327" t="s">
        <v>875</v>
      </c>
      <c r="G327" t="str">
        <f>PROPER(SalesData[[#This Row],[Product Name]])</f>
        <v>Eco Canvas Tote Bag</v>
      </c>
      <c r="H327" t="s">
        <v>1013</v>
      </c>
      <c r="I327" t="str">
        <f>UPPER(SalesData[[#This Row],[Product Category]])</f>
        <v>BAGS</v>
      </c>
      <c r="J327">
        <v>1</v>
      </c>
      <c r="K327">
        <v>25</v>
      </c>
      <c r="L327" s="15">
        <f>IF(SalesData[[#This Row],[Unit Price]]="",
    AVERAGEIFS(SalesData[Unit Price],
               SalesData[Product Name],SalesData[[#This Row],[Product Name]]),
    SalesData[[#This Row],[Unit Price]])</f>
        <v>25</v>
      </c>
      <c r="M327" s="15">
        <v>6.87</v>
      </c>
      <c r="N327" s="15">
        <f>SalesData[[#This Row],[Quantity Sold]] * SalesData[[#This Row],[Cleaned Unit Price]]</f>
        <v>25</v>
      </c>
      <c r="O327" s="15">
        <f>SalesData[[#This Row],[Quantity Sold]] * SalesData[[#This Row],[Unit Cost]]</f>
        <v>6.87</v>
      </c>
      <c r="P327" s="15">
        <f>SalesData[[#This Row],[Revenue]] - SalesData[[#This Row],[Cost]]</f>
        <v>18.13</v>
      </c>
      <c r="Q327" s="13">
        <f>IF(SalesData[[#This Row],[Revenue]]=0,0,SalesData[[#This Row],[Profit]]/SalesData[[#This Row],[Revenue]])</f>
        <v>0.72519999999999996</v>
      </c>
      <c r="R327" t="s">
        <v>1160</v>
      </c>
      <c r="S327" t="s">
        <v>1359</v>
      </c>
      <c r="T327" t="str">
        <f>PROPER(SalesData[[#This Row],[Customer Name]])</f>
        <v>Emma Davis</v>
      </c>
      <c r="U327" t="s">
        <v>1414</v>
      </c>
      <c r="V327" t="s">
        <v>1422</v>
      </c>
    </row>
    <row r="328" spans="1:22" x14ac:dyDescent="0.25">
      <c r="A328" t="s">
        <v>1754</v>
      </c>
      <c r="B328" s="5">
        <v>45403</v>
      </c>
      <c r="C328" s="2" t="str">
        <f>TEXT(SalesData[[#This Row],[Order Date]],"mmm")</f>
        <v>Apr</v>
      </c>
      <c r="D328" s="7">
        <f>MONTH(SalesData[[#This Row],[Order Date]])</f>
        <v>4</v>
      </c>
      <c r="E328" s="7">
        <f>YEAR(SalesData[[#This Row],[Order Date]])</f>
        <v>2024</v>
      </c>
      <c r="F328" t="s">
        <v>354</v>
      </c>
      <c r="G328" t="str">
        <f>PROPER(SalesData[[#This Row],[Product Name]])</f>
        <v>Solar Led Lantern</v>
      </c>
      <c r="H328" t="s">
        <v>1012</v>
      </c>
      <c r="I328" t="str">
        <f>UPPER(SalesData[[#This Row],[Product Category]])</f>
        <v>LIGHTING</v>
      </c>
      <c r="J328">
        <v>2</v>
      </c>
      <c r="K328">
        <v>40</v>
      </c>
      <c r="L328" s="15">
        <f>IF(SalesData[[#This Row],[Unit Price]]="",
    AVERAGEIFS(SalesData[Unit Price],
               SalesData[Product Name],SalesData[[#This Row],[Product Name]]),
    SalesData[[#This Row],[Unit Price]])</f>
        <v>40</v>
      </c>
      <c r="M328" s="15">
        <v>14.17</v>
      </c>
      <c r="N328" s="15">
        <f>SalesData[[#This Row],[Quantity Sold]] * SalesData[[#This Row],[Cleaned Unit Price]]</f>
        <v>80</v>
      </c>
      <c r="O328" s="15">
        <f>SalesData[[#This Row],[Quantity Sold]] * SalesData[[#This Row],[Unit Cost]]</f>
        <v>28.34</v>
      </c>
      <c r="P328" s="15">
        <f>SalesData[[#This Row],[Revenue]] - SalesData[[#This Row],[Cost]]</f>
        <v>51.66</v>
      </c>
      <c r="Q328" s="13">
        <f>IF(SalesData[[#This Row],[Revenue]]=0,0,SalesData[[#This Row],[Profit]]/SalesData[[#This Row],[Revenue]])</f>
        <v>0.64574999999999994</v>
      </c>
      <c r="R328" t="s">
        <v>1135</v>
      </c>
      <c r="S328" t="s">
        <v>1334</v>
      </c>
      <c r="T328" t="str">
        <f>PROPER(SalesData[[#This Row],[Customer Name]])</f>
        <v>Noah Rodriguez</v>
      </c>
      <c r="U328" t="s">
        <v>1414</v>
      </c>
      <c r="V328" t="s">
        <v>1420</v>
      </c>
    </row>
    <row r="329" spans="1:22" x14ac:dyDescent="0.25">
      <c r="A329" t="s">
        <v>1755</v>
      </c>
      <c r="B329" s="5">
        <v>45403</v>
      </c>
      <c r="C329" s="2" t="str">
        <f>TEXT(SalesData[[#This Row],[Order Date]],"mmm")</f>
        <v>Apr</v>
      </c>
      <c r="D329" s="7">
        <f>MONTH(SalesData[[#This Row],[Order Date]])</f>
        <v>4</v>
      </c>
      <c r="E329" s="7">
        <f>YEAR(SalesData[[#This Row],[Order Date]])</f>
        <v>2024</v>
      </c>
      <c r="F329" t="s">
        <v>501</v>
      </c>
      <c r="G329" t="str">
        <f>PROPER(SalesData[[#This Row],[Product Name]])</f>
        <v>Eco Canvas Tote Bag</v>
      </c>
      <c r="H329" t="s">
        <v>1013</v>
      </c>
      <c r="I329" t="str">
        <f>UPPER(SalesData[[#This Row],[Product Category]])</f>
        <v>BAGS</v>
      </c>
      <c r="J329">
        <v>4</v>
      </c>
      <c r="K329">
        <v>25</v>
      </c>
      <c r="L329" s="15">
        <f>IF(SalesData[[#This Row],[Unit Price]]="",
    AVERAGEIFS(SalesData[Unit Price],
               SalesData[Product Name],SalesData[[#This Row],[Product Name]]),
    SalesData[[#This Row],[Unit Price]])</f>
        <v>25</v>
      </c>
      <c r="M329" s="15">
        <v>6.54</v>
      </c>
      <c r="N329" s="15">
        <f>SalesData[[#This Row],[Quantity Sold]] * SalesData[[#This Row],[Cleaned Unit Price]]</f>
        <v>100</v>
      </c>
      <c r="O329" s="15">
        <f>SalesData[[#This Row],[Quantity Sold]] * SalesData[[#This Row],[Unit Cost]]</f>
        <v>26.16</v>
      </c>
      <c r="P329" s="15">
        <f>SalesData[[#This Row],[Revenue]] - SalesData[[#This Row],[Cost]]</f>
        <v>73.84</v>
      </c>
      <c r="Q329" s="13">
        <f>IF(SalesData[[#This Row],[Revenue]]=0,0,SalesData[[#This Row],[Profit]]/SalesData[[#This Row],[Revenue]])</f>
        <v>0.73840000000000006</v>
      </c>
      <c r="R329" t="s">
        <v>1057</v>
      </c>
      <c r="S329" t="s">
        <v>1256</v>
      </c>
      <c r="T329" t="str">
        <f>PROPER(SalesData[[#This Row],[Customer Name]])</f>
        <v>Isabella Garcia</v>
      </c>
      <c r="U329" t="s">
        <v>1415</v>
      </c>
      <c r="V329" t="s">
        <v>1427</v>
      </c>
    </row>
    <row r="330" spans="1:22" x14ac:dyDescent="0.25">
      <c r="A330" t="s">
        <v>1756</v>
      </c>
      <c r="B330" s="5">
        <v>45403</v>
      </c>
      <c r="C330" s="2" t="str">
        <f>TEXT(SalesData[[#This Row],[Order Date]],"mmm")</f>
        <v>Apr</v>
      </c>
      <c r="D330" s="7">
        <f>MONTH(SalesData[[#This Row],[Order Date]])</f>
        <v>4</v>
      </c>
      <c r="E330" s="7">
        <f>YEAR(SalesData[[#This Row],[Order Date]])</f>
        <v>2024</v>
      </c>
      <c r="F330" t="s">
        <v>676</v>
      </c>
      <c r="G330" t="str">
        <f>PROPER(SalesData[[#This Row],[Product Name]])</f>
        <v>Solar Led Lantern</v>
      </c>
      <c r="H330" t="s">
        <v>1012</v>
      </c>
      <c r="I330" t="str">
        <f>UPPER(SalesData[[#This Row],[Product Category]])</f>
        <v>LIGHTING</v>
      </c>
      <c r="J330">
        <v>9</v>
      </c>
      <c r="K330">
        <v>40</v>
      </c>
      <c r="L330" s="15">
        <f>IF(SalesData[[#This Row],[Unit Price]]="",
    AVERAGEIFS(SalesData[Unit Price],
               SalesData[Product Name],SalesData[[#This Row],[Product Name]]),
    SalesData[[#This Row],[Unit Price]])</f>
        <v>40</v>
      </c>
      <c r="M330" s="15">
        <v>13.64</v>
      </c>
      <c r="N330" s="15">
        <f>SalesData[[#This Row],[Quantity Sold]] * SalesData[[#This Row],[Cleaned Unit Price]]</f>
        <v>360</v>
      </c>
      <c r="O330" s="15">
        <f>SalesData[[#This Row],[Quantity Sold]] * SalesData[[#This Row],[Unit Cost]]</f>
        <v>122.76</v>
      </c>
      <c r="P330" s="15">
        <f>SalesData[[#This Row],[Revenue]] - SalesData[[#This Row],[Cost]]</f>
        <v>237.24</v>
      </c>
      <c r="Q330" s="13">
        <f>IF(SalesData[[#This Row],[Revenue]]=0,0,SalesData[[#This Row],[Profit]]/SalesData[[#This Row],[Revenue]])</f>
        <v>0.65900000000000003</v>
      </c>
      <c r="R330" t="s">
        <v>1075</v>
      </c>
      <c r="S330" t="s">
        <v>1274</v>
      </c>
      <c r="T330" t="str">
        <f>PROPER(SalesData[[#This Row],[Customer Name]])</f>
        <v>Oliver Johnson</v>
      </c>
      <c r="U330" t="s">
        <v>1414</v>
      </c>
      <c r="V330" t="s">
        <v>1419</v>
      </c>
    </row>
    <row r="331" spans="1:22" x14ac:dyDescent="0.25">
      <c r="A331" t="s">
        <v>1757</v>
      </c>
      <c r="B331" s="5">
        <v>45404</v>
      </c>
      <c r="C331" s="2" t="str">
        <f>TEXT(SalesData[[#This Row],[Order Date]],"mmm")</f>
        <v>Apr</v>
      </c>
      <c r="D331" s="7">
        <f>MONTH(SalesData[[#This Row],[Order Date]])</f>
        <v>4</v>
      </c>
      <c r="E331" s="7">
        <f>YEAR(SalesData[[#This Row],[Order Date]])</f>
        <v>2024</v>
      </c>
      <c r="F331" t="s">
        <v>42</v>
      </c>
      <c r="G331" t="str">
        <f>PROPER(SalesData[[#This Row],[Product Name]])</f>
        <v>Eco Canvas Tote Bag</v>
      </c>
      <c r="H331" t="s">
        <v>1013</v>
      </c>
      <c r="I331" t="str">
        <f>UPPER(SalesData[[#This Row],[Product Category]])</f>
        <v>BAGS</v>
      </c>
      <c r="J331">
        <v>3</v>
      </c>
      <c r="K331">
        <v>25</v>
      </c>
      <c r="L331" s="15">
        <f>IF(SalesData[[#This Row],[Unit Price]]="",
    AVERAGEIFS(SalesData[Unit Price],
               SalesData[Product Name],SalesData[[#This Row],[Product Name]]),
    SalesData[[#This Row],[Unit Price]])</f>
        <v>25</v>
      </c>
      <c r="M331" s="15">
        <v>9.17</v>
      </c>
      <c r="N331" s="15">
        <f>SalesData[[#This Row],[Quantity Sold]] * SalesData[[#This Row],[Cleaned Unit Price]]</f>
        <v>75</v>
      </c>
      <c r="O331" s="15">
        <f>SalesData[[#This Row],[Quantity Sold]] * SalesData[[#This Row],[Unit Cost]]</f>
        <v>27.509999999999998</v>
      </c>
      <c r="P331" s="15">
        <f>SalesData[[#This Row],[Revenue]] - SalesData[[#This Row],[Cost]]</f>
        <v>47.49</v>
      </c>
      <c r="Q331" s="13">
        <f>IF(SalesData[[#This Row],[Revenue]]=0,0,SalesData[[#This Row],[Profit]]/SalesData[[#This Row],[Revenue]])</f>
        <v>0.63319999999999999</v>
      </c>
      <c r="R331" t="s">
        <v>1042</v>
      </c>
      <c r="S331" t="s">
        <v>1241</v>
      </c>
      <c r="T331" t="str">
        <f>PROPER(SalesData[[#This Row],[Customer Name]])</f>
        <v>Amelia Johnson</v>
      </c>
      <c r="U331" t="s">
        <v>1416</v>
      </c>
      <c r="V331" t="s">
        <v>1420</v>
      </c>
    </row>
    <row r="332" spans="1:22" x14ac:dyDescent="0.25">
      <c r="A332" t="s">
        <v>1758</v>
      </c>
      <c r="B332" s="5">
        <v>45404</v>
      </c>
      <c r="C332" s="2" t="str">
        <f>TEXT(SalesData[[#This Row],[Order Date]],"mmm")</f>
        <v>Apr</v>
      </c>
      <c r="D332" s="7">
        <f>MONTH(SalesData[[#This Row],[Order Date]])</f>
        <v>4</v>
      </c>
      <c r="E332" s="7">
        <f>YEAR(SalesData[[#This Row],[Order Date]])</f>
        <v>2024</v>
      </c>
      <c r="F332" t="s">
        <v>170</v>
      </c>
      <c r="G332" t="str">
        <f>PROPER(SalesData[[#This Row],[Product Name]])</f>
        <v>Eco Canvas Tote Bag</v>
      </c>
      <c r="H332" t="s">
        <v>1013</v>
      </c>
      <c r="I332" t="str">
        <f>UPPER(SalesData[[#This Row],[Product Category]])</f>
        <v>BAGS</v>
      </c>
      <c r="J332">
        <v>9</v>
      </c>
      <c r="K332">
        <v>25</v>
      </c>
      <c r="L332" s="15">
        <f>IF(SalesData[[#This Row],[Unit Price]]="",
    AVERAGEIFS(SalesData[Unit Price],
               SalesData[Product Name],SalesData[[#This Row],[Product Name]]),
    SalesData[[#This Row],[Unit Price]])</f>
        <v>25</v>
      </c>
      <c r="M332" s="15">
        <v>7.13</v>
      </c>
      <c r="N332" s="15">
        <f>SalesData[[#This Row],[Quantity Sold]] * SalesData[[#This Row],[Cleaned Unit Price]]</f>
        <v>225</v>
      </c>
      <c r="O332" s="15">
        <f>SalesData[[#This Row],[Quantity Sold]] * SalesData[[#This Row],[Unit Cost]]</f>
        <v>64.17</v>
      </c>
      <c r="P332" s="15">
        <f>SalesData[[#This Row],[Revenue]] - SalesData[[#This Row],[Cost]]</f>
        <v>160.82999999999998</v>
      </c>
      <c r="Q332" s="13">
        <f>IF(SalesData[[#This Row],[Revenue]]=0,0,SalesData[[#This Row],[Profit]]/SalesData[[#This Row],[Revenue]])</f>
        <v>0.71479999999999988</v>
      </c>
      <c r="R332" t="s">
        <v>1076</v>
      </c>
      <c r="S332" t="s">
        <v>1275</v>
      </c>
      <c r="T332" t="str">
        <f>PROPER(SalesData[[#This Row],[Customer Name]])</f>
        <v>Harper Smith</v>
      </c>
      <c r="U332" t="s">
        <v>1414</v>
      </c>
      <c r="V332" t="s">
        <v>1421</v>
      </c>
    </row>
    <row r="333" spans="1:22" x14ac:dyDescent="0.25">
      <c r="A333" t="s">
        <v>1759</v>
      </c>
      <c r="B333" s="5">
        <v>45404</v>
      </c>
      <c r="C333" s="2" t="str">
        <f>TEXT(SalesData[[#This Row],[Order Date]],"mmm")</f>
        <v>Apr</v>
      </c>
      <c r="D333" s="7">
        <f>MONTH(SalesData[[#This Row],[Order Date]])</f>
        <v>4</v>
      </c>
      <c r="E333" s="7">
        <f>YEAR(SalesData[[#This Row],[Order Date]])</f>
        <v>2024</v>
      </c>
      <c r="F333" t="s">
        <v>179</v>
      </c>
      <c r="G333" t="str">
        <f>PROPER(SalesData[[#This Row],[Product Name]])</f>
        <v>Reusable Bamboo Utensil Set</v>
      </c>
      <c r="H333" t="s">
        <v>1014</v>
      </c>
      <c r="I333" t="str">
        <f>UPPER(SalesData[[#This Row],[Product Category]])</f>
        <v>KITCHENWARE</v>
      </c>
      <c r="J333">
        <v>5</v>
      </c>
      <c r="K333">
        <v>15</v>
      </c>
      <c r="L333" s="15">
        <f>IF(SalesData[[#This Row],[Unit Price]]="",
    AVERAGEIFS(SalesData[Unit Price],
               SalesData[Product Name],SalesData[[#This Row],[Product Name]]),
    SalesData[[#This Row],[Unit Price]])</f>
        <v>15</v>
      </c>
      <c r="M333" s="15">
        <v>4.1100000000000003</v>
      </c>
      <c r="N333" s="15">
        <f>SalesData[[#This Row],[Quantity Sold]] * SalesData[[#This Row],[Cleaned Unit Price]]</f>
        <v>75</v>
      </c>
      <c r="O333" s="15">
        <f>SalesData[[#This Row],[Quantity Sold]] * SalesData[[#This Row],[Unit Cost]]</f>
        <v>20.55</v>
      </c>
      <c r="P333" s="15">
        <f>SalesData[[#This Row],[Revenue]] - SalesData[[#This Row],[Cost]]</f>
        <v>54.45</v>
      </c>
      <c r="Q333" s="13">
        <f>IF(SalesData[[#This Row],[Revenue]]=0,0,SalesData[[#This Row],[Profit]]/SalesData[[#This Row],[Revenue]])</f>
        <v>0.72600000000000009</v>
      </c>
      <c r="R333" t="s">
        <v>1125</v>
      </c>
      <c r="S333" t="s">
        <v>1324</v>
      </c>
      <c r="T333" t="str">
        <f>PROPER(SalesData[[#This Row],[Customer Name]])</f>
        <v>Mia Brown</v>
      </c>
      <c r="U333" t="s">
        <v>1414</v>
      </c>
      <c r="V333" t="s">
        <v>1422</v>
      </c>
    </row>
    <row r="334" spans="1:22" x14ac:dyDescent="0.25">
      <c r="A334" t="s">
        <v>1760</v>
      </c>
      <c r="B334" s="5">
        <v>45404</v>
      </c>
      <c r="C334" s="2" t="str">
        <f>TEXT(SalesData[[#This Row],[Order Date]],"mmm")</f>
        <v>Apr</v>
      </c>
      <c r="D334" s="7">
        <f>MONTH(SalesData[[#This Row],[Order Date]])</f>
        <v>4</v>
      </c>
      <c r="E334" s="7">
        <f>YEAR(SalesData[[#This Row],[Order Date]])</f>
        <v>2024</v>
      </c>
      <c r="F334" t="s">
        <v>868</v>
      </c>
      <c r="G334" t="str">
        <f>PROPER(SalesData[[#This Row],[Product Name]])</f>
        <v>Eco Canvas Tote Bag</v>
      </c>
      <c r="H334" t="s">
        <v>1013</v>
      </c>
      <c r="I334" t="str">
        <f>UPPER(SalesData[[#This Row],[Product Category]])</f>
        <v>BAGS</v>
      </c>
      <c r="J334">
        <v>5</v>
      </c>
      <c r="K334">
        <v>25</v>
      </c>
      <c r="L334" s="15">
        <f>IF(SalesData[[#This Row],[Unit Price]]="",
    AVERAGEIFS(SalesData[Unit Price],
               SalesData[Product Name],SalesData[[#This Row],[Product Name]]),
    SalesData[[#This Row],[Unit Price]])</f>
        <v>25</v>
      </c>
      <c r="M334" s="15">
        <v>8.42</v>
      </c>
      <c r="N334" s="15">
        <f>SalesData[[#This Row],[Quantity Sold]] * SalesData[[#This Row],[Cleaned Unit Price]]</f>
        <v>125</v>
      </c>
      <c r="O334" s="15">
        <f>SalesData[[#This Row],[Quantity Sold]] * SalesData[[#This Row],[Unit Cost]]</f>
        <v>42.1</v>
      </c>
      <c r="P334" s="15">
        <f>SalesData[[#This Row],[Revenue]] - SalesData[[#This Row],[Cost]]</f>
        <v>82.9</v>
      </c>
      <c r="Q334" s="13">
        <f>IF(SalesData[[#This Row],[Revenue]]=0,0,SalesData[[#This Row],[Profit]]/SalesData[[#This Row],[Revenue]])</f>
        <v>0.66320000000000001</v>
      </c>
      <c r="R334" t="s">
        <v>1016</v>
      </c>
      <c r="S334" t="s">
        <v>1215</v>
      </c>
      <c r="T334" t="str">
        <f>PROPER(SalesData[[#This Row],[Customer Name]])</f>
        <v>Harper Davis</v>
      </c>
      <c r="U334" t="s">
        <v>1414</v>
      </c>
      <c r="V334" t="s">
        <v>1425</v>
      </c>
    </row>
    <row r="335" spans="1:22" x14ac:dyDescent="0.25">
      <c r="A335" t="s">
        <v>1761</v>
      </c>
      <c r="B335" s="5">
        <v>45405</v>
      </c>
      <c r="C335" s="2" t="str">
        <f>TEXT(SalesData[[#This Row],[Order Date]],"mmm")</f>
        <v>Apr</v>
      </c>
      <c r="D335" s="7">
        <f>MONTH(SalesData[[#This Row],[Order Date]])</f>
        <v>4</v>
      </c>
      <c r="E335" s="7">
        <f>YEAR(SalesData[[#This Row],[Order Date]])</f>
        <v>2024</v>
      </c>
      <c r="F335" t="s">
        <v>521</v>
      </c>
      <c r="G335" t="str">
        <f>PROPER(SalesData[[#This Row],[Product Name]])</f>
        <v>Compostable Plant Pots</v>
      </c>
      <c r="H335" t="s">
        <v>1011</v>
      </c>
      <c r="I335" t="str">
        <f>UPPER(SalesData[[#This Row],[Product Category]])</f>
        <v>GARDENING</v>
      </c>
      <c r="J335">
        <v>5</v>
      </c>
      <c r="K335">
        <v>12</v>
      </c>
      <c r="L335" s="15">
        <f>IF(SalesData[[#This Row],[Unit Price]]="",
    AVERAGEIFS(SalesData[Unit Price],
               SalesData[Product Name],SalesData[[#This Row],[Product Name]]),
    SalesData[[#This Row],[Unit Price]])</f>
        <v>12</v>
      </c>
      <c r="M335" s="15">
        <v>3.23</v>
      </c>
      <c r="N335" s="15">
        <f>SalesData[[#This Row],[Quantity Sold]] * SalesData[[#This Row],[Cleaned Unit Price]]</f>
        <v>60</v>
      </c>
      <c r="O335" s="15">
        <f>SalesData[[#This Row],[Quantity Sold]] * SalesData[[#This Row],[Unit Cost]]</f>
        <v>16.149999999999999</v>
      </c>
      <c r="P335" s="15">
        <f>SalesData[[#This Row],[Revenue]] - SalesData[[#This Row],[Cost]]</f>
        <v>43.85</v>
      </c>
      <c r="Q335" s="13">
        <f>IF(SalesData[[#This Row],[Revenue]]=0,0,SalesData[[#This Row],[Profit]]/SalesData[[#This Row],[Revenue]])</f>
        <v>0.73083333333333333</v>
      </c>
      <c r="R335" t="s">
        <v>1205</v>
      </c>
      <c r="S335" t="s">
        <v>1404</v>
      </c>
      <c r="T335" t="str">
        <f>PROPER(SalesData[[#This Row],[Customer Name]])</f>
        <v>Logan Miller</v>
      </c>
      <c r="U335" t="s">
        <v>1414</v>
      </c>
      <c r="V335" t="s">
        <v>1420</v>
      </c>
    </row>
    <row r="336" spans="1:22" x14ac:dyDescent="0.25">
      <c r="A336" t="s">
        <v>1762</v>
      </c>
      <c r="B336" s="5">
        <v>45405</v>
      </c>
      <c r="C336" s="2" t="str">
        <f>TEXT(SalesData[[#This Row],[Order Date]],"mmm")</f>
        <v>Apr</v>
      </c>
      <c r="D336" s="7">
        <f>MONTH(SalesData[[#This Row],[Order Date]])</f>
        <v>4</v>
      </c>
      <c r="E336" s="7">
        <f>YEAR(SalesData[[#This Row],[Order Date]])</f>
        <v>2024</v>
      </c>
      <c r="F336" t="s">
        <v>940</v>
      </c>
      <c r="G336" t="str">
        <f>PROPER(SalesData[[#This Row],[Product Name]])</f>
        <v>Compostable Plant Pots</v>
      </c>
      <c r="H336" t="s">
        <v>1011</v>
      </c>
      <c r="I336" t="str">
        <f>UPPER(SalesData[[#This Row],[Product Category]])</f>
        <v>GARDENING</v>
      </c>
      <c r="J336">
        <v>3</v>
      </c>
      <c r="K336">
        <v>12</v>
      </c>
      <c r="L336" s="15">
        <f>IF(SalesData[[#This Row],[Unit Price]]="",
    AVERAGEIFS(SalesData[Unit Price],
               SalesData[Product Name],SalesData[[#This Row],[Product Name]]),
    SalesData[[#This Row],[Unit Price]])</f>
        <v>12</v>
      </c>
      <c r="M336" s="15">
        <v>2.87</v>
      </c>
      <c r="N336" s="15">
        <f>SalesData[[#This Row],[Quantity Sold]] * SalesData[[#This Row],[Cleaned Unit Price]]</f>
        <v>36</v>
      </c>
      <c r="O336" s="15">
        <f>SalesData[[#This Row],[Quantity Sold]] * SalesData[[#This Row],[Unit Cost]]</f>
        <v>8.61</v>
      </c>
      <c r="P336" s="15">
        <f>SalesData[[#This Row],[Revenue]] - SalesData[[#This Row],[Cost]]</f>
        <v>27.39</v>
      </c>
      <c r="Q336" s="13">
        <f>IF(SalesData[[#This Row],[Revenue]]=0,0,SalesData[[#This Row],[Profit]]/SalesData[[#This Row],[Revenue]])</f>
        <v>0.76083333333333336</v>
      </c>
      <c r="R336" t="s">
        <v>1171</v>
      </c>
      <c r="S336" t="s">
        <v>1370</v>
      </c>
      <c r="T336" t="str">
        <f>PROPER(SalesData[[#This Row],[Customer Name]])</f>
        <v>Ava Rodriguez</v>
      </c>
      <c r="U336" t="s">
        <v>1414</v>
      </c>
      <c r="V336" t="s">
        <v>1424</v>
      </c>
    </row>
    <row r="337" spans="1:22" x14ac:dyDescent="0.25">
      <c r="A337" t="s">
        <v>1763</v>
      </c>
      <c r="B337" s="5">
        <v>45405</v>
      </c>
      <c r="C337" s="2" t="str">
        <f>TEXT(SalesData[[#This Row],[Order Date]],"mmm")</f>
        <v>Apr</v>
      </c>
      <c r="D337" s="7">
        <f>MONTH(SalesData[[#This Row],[Order Date]])</f>
        <v>4</v>
      </c>
      <c r="E337" s="7">
        <f>YEAR(SalesData[[#This Row],[Order Date]])</f>
        <v>2024</v>
      </c>
      <c r="F337" t="s">
        <v>956</v>
      </c>
      <c r="G337" t="str">
        <f>PROPER(SalesData[[#This Row],[Product Name]])</f>
        <v>Solar Led Lantern</v>
      </c>
      <c r="H337" t="s">
        <v>1012</v>
      </c>
      <c r="I337" t="str">
        <f>UPPER(SalesData[[#This Row],[Product Category]])</f>
        <v>LIGHTING</v>
      </c>
      <c r="J337">
        <v>9</v>
      </c>
      <c r="K337">
        <v>40</v>
      </c>
      <c r="L337" s="15">
        <f>IF(SalesData[[#This Row],[Unit Price]]="",
    AVERAGEIFS(SalesData[Unit Price],
               SalesData[Product Name],SalesData[[#This Row],[Product Name]]),
    SalesData[[#This Row],[Unit Price]])</f>
        <v>40</v>
      </c>
      <c r="M337" s="15">
        <v>12.44</v>
      </c>
      <c r="N337" s="15">
        <f>SalesData[[#This Row],[Quantity Sold]] * SalesData[[#This Row],[Cleaned Unit Price]]</f>
        <v>360</v>
      </c>
      <c r="O337" s="15">
        <f>SalesData[[#This Row],[Quantity Sold]] * SalesData[[#This Row],[Unit Cost]]</f>
        <v>111.96</v>
      </c>
      <c r="P337" s="15">
        <f>SalesData[[#This Row],[Revenue]] - SalesData[[#This Row],[Cost]]</f>
        <v>248.04000000000002</v>
      </c>
      <c r="Q337" s="13">
        <f>IF(SalesData[[#This Row],[Revenue]]=0,0,SalesData[[#This Row],[Profit]]/SalesData[[#This Row],[Revenue]])</f>
        <v>0.68900000000000006</v>
      </c>
      <c r="R337" t="s">
        <v>1197</v>
      </c>
      <c r="S337" t="s">
        <v>1396</v>
      </c>
      <c r="T337" t="str">
        <f>PROPER(SalesData[[#This Row],[Customer Name]])</f>
        <v>Logan Smith</v>
      </c>
      <c r="U337" t="s">
        <v>1414</v>
      </c>
      <c r="V337" t="s">
        <v>1424</v>
      </c>
    </row>
    <row r="338" spans="1:22" x14ac:dyDescent="0.25">
      <c r="A338" t="s">
        <v>1764</v>
      </c>
      <c r="B338" s="5">
        <v>45406</v>
      </c>
      <c r="C338" s="2" t="str">
        <f>TEXT(SalesData[[#This Row],[Order Date]],"mmm")</f>
        <v>Apr</v>
      </c>
      <c r="D338" s="7">
        <f>MONTH(SalesData[[#This Row],[Order Date]])</f>
        <v>4</v>
      </c>
      <c r="E338" s="7">
        <f>YEAR(SalesData[[#This Row],[Order Date]])</f>
        <v>2024</v>
      </c>
      <c r="F338" t="s">
        <v>191</v>
      </c>
      <c r="G338" t="str">
        <f>PROPER(SalesData[[#This Row],[Product Name]])</f>
        <v>Compostable Plant Pots</v>
      </c>
      <c r="H338" t="s">
        <v>1011</v>
      </c>
      <c r="I338" t="str">
        <f>UPPER(SalesData[[#This Row],[Product Category]])</f>
        <v>GARDENING</v>
      </c>
      <c r="J338">
        <v>1</v>
      </c>
      <c r="K338">
        <v>12</v>
      </c>
      <c r="L338" s="15">
        <f>IF(SalesData[[#This Row],[Unit Price]]="",
    AVERAGEIFS(SalesData[Unit Price],
               SalesData[Product Name],SalesData[[#This Row],[Product Name]]),
    SalesData[[#This Row],[Unit Price]])</f>
        <v>12</v>
      </c>
      <c r="M338" s="15">
        <v>2.86</v>
      </c>
      <c r="N338" s="15">
        <f>SalesData[[#This Row],[Quantity Sold]] * SalesData[[#This Row],[Cleaned Unit Price]]</f>
        <v>12</v>
      </c>
      <c r="O338" s="15">
        <f>SalesData[[#This Row],[Quantity Sold]] * SalesData[[#This Row],[Unit Cost]]</f>
        <v>2.86</v>
      </c>
      <c r="P338" s="15">
        <f>SalesData[[#This Row],[Revenue]] - SalesData[[#This Row],[Cost]]</f>
        <v>9.14</v>
      </c>
      <c r="Q338" s="13">
        <f>IF(SalesData[[#This Row],[Revenue]]=0,0,SalesData[[#This Row],[Profit]]/SalesData[[#This Row],[Revenue]])</f>
        <v>0.76166666666666671</v>
      </c>
      <c r="R338" t="s">
        <v>1136</v>
      </c>
      <c r="S338" t="s">
        <v>1335</v>
      </c>
      <c r="T338" t="str">
        <f>PROPER(SalesData[[#This Row],[Customer Name]])</f>
        <v>Logan Smith</v>
      </c>
      <c r="U338" t="s">
        <v>1417</v>
      </c>
      <c r="V338" t="s">
        <v>1421</v>
      </c>
    </row>
    <row r="339" spans="1:22" x14ac:dyDescent="0.25">
      <c r="A339" t="s">
        <v>1765</v>
      </c>
      <c r="B339" s="5">
        <v>45407</v>
      </c>
      <c r="C339" s="2" t="str">
        <f>TEXT(SalesData[[#This Row],[Order Date]],"mmm")</f>
        <v>Apr</v>
      </c>
      <c r="D339" s="7">
        <f>MONTH(SalesData[[#This Row],[Order Date]])</f>
        <v>4</v>
      </c>
      <c r="E339" s="7">
        <f>YEAR(SalesData[[#This Row],[Order Date]])</f>
        <v>2024</v>
      </c>
      <c r="F339" t="s">
        <v>282</v>
      </c>
      <c r="G339" t="str">
        <f>PROPER(SalesData[[#This Row],[Product Name]])</f>
        <v>Biodegradable Cleaning Cloth</v>
      </c>
      <c r="H339" t="s">
        <v>1015</v>
      </c>
      <c r="I339" t="str">
        <f>UPPER(SalesData[[#This Row],[Product Category]])</f>
        <v>CLEANING</v>
      </c>
      <c r="J339">
        <v>2</v>
      </c>
      <c r="K339">
        <v>10</v>
      </c>
      <c r="L339" s="15">
        <f>IF(SalesData[[#This Row],[Unit Price]]="",
    AVERAGEIFS(SalesData[Unit Price],
               SalesData[Product Name],SalesData[[#This Row],[Product Name]]),
    SalesData[[#This Row],[Unit Price]])</f>
        <v>10</v>
      </c>
      <c r="M339" s="15">
        <v>3.23</v>
      </c>
      <c r="N339" s="15">
        <f>SalesData[[#This Row],[Quantity Sold]] * SalesData[[#This Row],[Cleaned Unit Price]]</f>
        <v>20</v>
      </c>
      <c r="O339" s="15">
        <f>SalesData[[#This Row],[Quantity Sold]] * SalesData[[#This Row],[Unit Cost]]</f>
        <v>6.46</v>
      </c>
      <c r="P339" s="15">
        <f>SalesData[[#This Row],[Revenue]] - SalesData[[#This Row],[Cost]]</f>
        <v>13.54</v>
      </c>
      <c r="Q339" s="13">
        <f>IF(SalesData[[#This Row],[Revenue]]=0,0,SalesData[[#This Row],[Profit]]/SalesData[[#This Row],[Revenue]])</f>
        <v>0.67699999999999994</v>
      </c>
      <c r="R339" t="s">
        <v>1144</v>
      </c>
      <c r="S339" t="s">
        <v>1343</v>
      </c>
      <c r="T339" t="str">
        <f>PROPER(SalesData[[#This Row],[Customer Name]])</f>
        <v>Ava Davis</v>
      </c>
      <c r="U339" t="s">
        <v>1416</v>
      </c>
      <c r="V339" t="s">
        <v>1427</v>
      </c>
    </row>
    <row r="340" spans="1:22" x14ac:dyDescent="0.25">
      <c r="A340" t="s">
        <v>1766</v>
      </c>
      <c r="B340" s="5">
        <v>45407</v>
      </c>
      <c r="C340" s="2" t="str">
        <f>TEXT(SalesData[[#This Row],[Order Date]],"mmm")</f>
        <v>Apr</v>
      </c>
      <c r="D340" s="7">
        <f>MONTH(SalesData[[#This Row],[Order Date]])</f>
        <v>4</v>
      </c>
      <c r="E340" s="7">
        <f>YEAR(SalesData[[#This Row],[Order Date]])</f>
        <v>2024</v>
      </c>
      <c r="F340" t="s">
        <v>985</v>
      </c>
      <c r="G340" t="str">
        <f>PROPER(SalesData[[#This Row],[Product Name]])</f>
        <v>Solar Led Lantern</v>
      </c>
      <c r="H340" t="s">
        <v>1012</v>
      </c>
      <c r="I340" t="str">
        <f>UPPER(SalesData[[#This Row],[Product Category]])</f>
        <v>LIGHTING</v>
      </c>
      <c r="J340">
        <v>6</v>
      </c>
      <c r="K340">
        <v>40</v>
      </c>
      <c r="L340" s="15">
        <f>IF(SalesData[[#This Row],[Unit Price]]="",
    AVERAGEIFS(SalesData[Unit Price],
               SalesData[Product Name],SalesData[[#This Row],[Product Name]]),
    SalesData[[#This Row],[Unit Price]])</f>
        <v>40</v>
      </c>
      <c r="M340" s="15">
        <v>13.49</v>
      </c>
      <c r="N340" s="15">
        <f>SalesData[[#This Row],[Quantity Sold]] * SalesData[[#This Row],[Cleaned Unit Price]]</f>
        <v>240</v>
      </c>
      <c r="O340" s="15">
        <f>SalesData[[#This Row],[Quantity Sold]] * SalesData[[#This Row],[Unit Cost]]</f>
        <v>80.94</v>
      </c>
      <c r="P340" s="15">
        <f>SalesData[[#This Row],[Revenue]] - SalesData[[#This Row],[Cost]]</f>
        <v>159.06</v>
      </c>
      <c r="Q340" s="13">
        <f>IF(SalesData[[#This Row],[Revenue]]=0,0,SalesData[[#This Row],[Profit]]/SalesData[[#This Row],[Revenue]])</f>
        <v>0.66275000000000006</v>
      </c>
      <c r="R340" t="s">
        <v>1090</v>
      </c>
      <c r="S340" t="s">
        <v>1289</v>
      </c>
      <c r="T340" t="str">
        <f>PROPER(SalesData[[#This Row],[Customer Name]])</f>
        <v>Ethan Jones</v>
      </c>
      <c r="U340" t="s">
        <v>1414</v>
      </c>
      <c r="V340" t="s">
        <v>1426</v>
      </c>
    </row>
    <row r="341" spans="1:22" x14ac:dyDescent="0.25">
      <c r="A341" t="s">
        <v>1767</v>
      </c>
      <c r="B341" s="5">
        <v>45408</v>
      </c>
      <c r="C341" s="2" t="str">
        <f>TEXT(SalesData[[#This Row],[Order Date]],"mmm")</f>
        <v>Apr</v>
      </c>
      <c r="D341" s="7">
        <f>MONTH(SalesData[[#This Row],[Order Date]])</f>
        <v>4</v>
      </c>
      <c r="E341" s="7">
        <f>YEAR(SalesData[[#This Row],[Order Date]])</f>
        <v>2024</v>
      </c>
      <c r="F341" t="s">
        <v>265</v>
      </c>
      <c r="G341" t="str">
        <f>PROPER(SalesData[[#This Row],[Product Name]])</f>
        <v>Reusable Bamboo Utensil Set</v>
      </c>
      <c r="H341" t="s">
        <v>1014</v>
      </c>
      <c r="I341" t="str">
        <f>UPPER(SalesData[[#This Row],[Product Category]])</f>
        <v>KITCHENWARE</v>
      </c>
      <c r="J341">
        <v>8</v>
      </c>
      <c r="K341">
        <v>15</v>
      </c>
      <c r="L341" s="15">
        <f>IF(SalesData[[#This Row],[Unit Price]]="",
    AVERAGEIFS(SalesData[Unit Price],
               SalesData[Product Name],SalesData[[#This Row],[Product Name]]),
    SalesData[[#This Row],[Unit Price]])</f>
        <v>15</v>
      </c>
      <c r="M341" s="15">
        <v>3.88</v>
      </c>
      <c r="N341" s="15">
        <f>SalesData[[#This Row],[Quantity Sold]] * SalesData[[#This Row],[Cleaned Unit Price]]</f>
        <v>120</v>
      </c>
      <c r="O341" s="15">
        <f>SalesData[[#This Row],[Quantity Sold]] * SalesData[[#This Row],[Unit Cost]]</f>
        <v>31.04</v>
      </c>
      <c r="P341" s="15">
        <f>SalesData[[#This Row],[Revenue]] - SalesData[[#This Row],[Cost]]</f>
        <v>88.960000000000008</v>
      </c>
      <c r="Q341" s="13">
        <f>IF(SalesData[[#This Row],[Revenue]]=0,0,SalesData[[#This Row],[Profit]]/SalesData[[#This Row],[Revenue]])</f>
        <v>0.7413333333333334</v>
      </c>
      <c r="R341" t="s">
        <v>1041</v>
      </c>
      <c r="S341" t="s">
        <v>1240</v>
      </c>
      <c r="T341" t="str">
        <f>PROPER(SalesData[[#This Row],[Customer Name]])</f>
        <v>Noah Williams</v>
      </c>
      <c r="U341" t="s">
        <v>1416</v>
      </c>
      <c r="V341" t="s">
        <v>1427</v>
      </c>
    </row>
    <row r="342" spans="1:22" x14ac:dyDescent="0.25">
      <c r="A342" t="s">
        <v>1768</v>
      </c>
      <c r="B342" s="5">
        <v>45408</v>
      </c>
      <c r="C342" s="2" t="str">
        <f>TEXT(SalesData[[#This Row],[Order Date]],"mmm")</f>
        <v>Apr</v>
      </c>
      <c r="D342" s="7">
        <f>MONTH(SalesData[[#This Row],[Order Date]])</f>
        <v>4</v>
      </c>
      <c r="E342" s="7">
        <f>YEAR(SalesData[[#This Row],[Order Date]])</f>
        <v>2024</v>
      </c>
      <c r="F342" t="s">
        <v>677</v>
      </c>
      <c r="G342" t="str">
        <f>PROPER(SalesData[[#This Row],[Product Name]])</f>
        <v>Eco Canvas Tote Bag</v>
      </c>
      <c r="H342" t="s">
        <v>1013</v>
      </c>
      <c r="I342" t="str">
        <f>UPPER(SalesData[[#This Row],[Product Category]])</f>
        <v>BAGS</v>
      </c>
      <c r="J342">
        <v>3</v>
      </c>
      <c r="K342">
        <v>25</v>
      </c>
      <c r="L342" s="15">
        <f>IF(SalesData[[#This Row],[Unit Price]]="",
    AVERAGEIFS(SalesData[Unit Price],
               SalesData[Product Name],SalesData[[#This Row],[Product Name]]),
    SalesData[[#This Row],[Unit Price]])</f>
        <v>25</v>
      </c>
      <c r="M342" s="15">
        <v>6.73</v>
      </c>
      <c r="N342" s="15">
        <f>SalesData[[#This Row],[Quantity Sold]] * SalesData[[#This Row],[Cleaned Unit Price]]</f>
        <v>75</v>
      </c>
      <c r="O342" s="15">
        <f>SalesData[[#This Row],[Quantity Sold]] * SalesData[[#This Row],[Unit Cost]]</f>
        <v>20.190000000000001</v>
      </c>
      <c r="P342" s="15">
        <f>SalesData[[#This Row],[Revenue]] - SalesData[[#This Row],[Cost]]</f>
        <v>54.81</v>
      </c>
      <c r="Q342" s="13">
        <f>IF(SalesData[[#This Row],[Revenue]]=0,0,SalesData[[#This Row],[Profit]]/SalesData[[#This Row],[Revenue]])</f>
        <v>0.73080000000000001</v>
      </c>
      <c r="R342" t="s">
        <v>1043</v>
      </c>
      <c r="S342" t="s">
        <v>1242</v>
      </c>
      <c r="T342" t="str">
        <f>PROPER(SalesData[[#This Row],[Customer Name]])</f>
        <v>Ethan Miller</v>
      </c>
      <c r="U342" t="s">
        <v>1414</v>
      </c>
      <c r="V342" t="s">
        <v>1418</v>
      </c>
    </row>
    <row r="343" spans="1:22" x14ac:dyDescent="0.25">
      <c r="A343" t="s">
        <v>1769</v>
      </c>
      <c r="B343" s="5">
        <v>45408</v>
      </c>
      <c r="C343" s="2" t="str">
        <f>TEXT(SalesData[[#This Row],[Order Date]],"mmm")</f>
        <v>Apr</v>
      </c>
      <c r="D343" s="7">
        <f>MONTH(SalesData[[#This Row],[Order Date]])</f>
        <v>4</v>
      </c>
      <c r="E343" s="7">
        <f>YEAR(SalesData[[#This Row],[Order Date]])</f>
        <v>2024</v>
      </c>
      <c r="F343" t="s">
        <v>1006</v>
      </c>
      <c r="G343" t="str">
        <f>PROPER(SalesData[[#This Row],[Product Name]])</f>
        <v>Compostable Plant Pots</v>
      </c>
      <c r="H343" t="s">
        <v>1011</v>
      </c>
      <c r="I343" t="str">
        <f>UPPER(SalesData[[#This Row],[Product Category]])</f>
        <v>GARDENING</v>
      </c>
      <c r="J343">
        <v>3</v>
      </c>
      <c r="K343">
        <v>12</v>
      </c>
      <c r="L343" s="15">
        <f>IF(SalesData[[#This Row],[Unit Price]]="",
    AVERAGEIFS(SalesData[Unit Price],
               SalesData[Product Name],SalesData[[#This Row],[Product Name]]),
    SalesData[[#This Row],[Unit Price]])</f>
        <v>12</v>
      </c>
      <c r="M343" s="15">
        <v>4.47</v>
      </c>
      <c r="N343" s="15">
        <f>SalesData[[#This Row],[Quantity Sold]] * SalesData[[#This Row],[Cleaned Unit Price]]</f>
        <v>36</v>
      </c>
      <c r="O343" s="15">
        <f>SalesData[[#This Row],[Quantity Sold]] * SalesData[[#This Row],[Unit Cost]]</f>
        <v>13.41</v>
      </c>
      <c r="P343" s="15">
        <f>SalesData[[#This Row],[Revenue]] - SalesData[[#This Row],[Cost]]</f>
        <v>22.59</v>
      </c>
      <c r="Q343" s="13">
        <f>IF(SalesData[[#This Row],[Revenue]]=0,0,SalesData[[#This Row],[Profit]]/SalesData[[#This Row],[Revenue]])</f>
        <v>0.62749999999999995</v>
      </c>
      <c r="R343" t="s">
        <v>1177</v>
      </c>
      <c r="S343" t="s">
        <v>1376</v>
      </c>
      <c r="T343" t="str">
        <f>PROPER(SalesData[[#This Row],[Customer Name]])</f>
        <v>Emma Smith</v>
      </c>
      <c r="U343" t="s">
        <v>1416</v>
      </c>
      <c r="V343" t="s">
        <v>1426</v>
      </c>
    </row>
    <row r="344" spans="1:22" x14ac:dyDescent="0.25">
      <c r="A344" t="s">
        <v>1770</v>
      </c>
      <c r="B344" s="5">
        <v>45409</v>
      </c>
      <c r="C344" s="2" t="str">
        <f>TEXT(SalesData[[#This Row],[Order Date]],"mmm")</f>
        <v>Apr</v>
      </c>
      <c r="D344" s="7">
        <f>MONTH(SalesData[[#This Row],[Order Date]])</f>
        <v>4</v>
      </c>
      <c r="E344" s="7">
        <f>YEAR(SalesData[[#This Row],[Order Date]])</f>
        <v>2024</v>
      </c>
      <c r="F344" t="s">
        <v>523</v>
      </c>
      <c r="G344" t="str">
        <f>PROPER(SalesData[[#This Row],[Product Name]])</f>
        <v>Compostable Plant Pots</v>
      </c>
      <c r="H344" t="s">
        <v>1011</v>
      </c>
      <c r="I344" t="str">
        <f>UPPER(SalesData[[#This Row],[Product Category]])</f>
        <v>GARDENING</v>
      </c>
      <c r="J344">
        <v>6</v>
      </c>
      <c r="K344">
        <v>12</v>
      </c>
      <c r="L344" s="15">
        <f>IF(SalesData[[#This Row],[Unit Price]]="",
    AVERAGEIFS(SalesData[Unit Price],
               SalesData[Product Name],SalesData[[#This Row],[Product Name]]),
    SalesData[[#This Row],[Unit Price]])</f>
        <v>12</v>
      </c>
      <c r="M344" s="15">
        <v>3.76</v>
      </c>
      <c r="N344" s="15">
        <f>SalesData[[#This Row],[Quantity Sold]] * SalesData[[#This Row],[Cleaned Unit Price]]</f>
        <v>72</v>
      </c>
      <c r="O344" s="15">
        <f>SalesData[[#This Row],[Quantity Sold]] * SalesData[[#This Row],[Unit Cost]]</f>
        <v>22.56</v>
      </c>
      <c r="P344" s="15">
        <f>SalesData[[#This Row],[Revenue]] - SalesData[[#This Row],[Cost]]</f>
        <v>49.44</v>
      </c>
      <c r="Q344" s="13">
        <f>IF(SalesData[[#This Row],[Revenue]]=0,0,SalesData[[#This Row],[Profit]]/SalesData[[#This Row],[Revenue]])</f>
        <v>0.68666666666666665</v>
      </c>
      <c r="R344" t="s">
        <v>1087</v>
      </c>
      <c r="S344" t="s">
        <v>1286</v>
      </c>
      <c r="T344" t="str">
        <f>PROPER(SalesData[[#This Row],[Customer Name]])</f>
        <v>Liam Smith</v>
      </c>
      <c r="U344" t="s">
        <v>1417</v>
      </c>
      <c r="V344" t="s">
        <v>1423</v>
      </c>
    </row>
    <row r="345" spans="1:22" x14ac:dyDescent="0.25">
      <c r="A345" t="s">
        <v>1771</v>
      </c>
      <c r="B345" s="5">
        <v>45409</v>
      </c>
      <c r="C345" s="2" t="str">
        <f>TEXT(SalesData[[#This Row],[Order Date]],"mmm")</f>
        <v>Apr</v>
      </c>
      <c r="D345" s="7">
        <f>MONTH(SalesData[[#This Row],[Order Date]])</f>
        <v>4</v>
      </c>
      <c r="E345" s="7">
        <f>YEAR(SalesData[[#This Row],[Order Date]])</f>
        <v>2024</v>
      </c>
      <c r="F345" t="s">
        <v>749</v>
      </c>
      <c r="G345" t="str">
        <f>PROPER(SalesData[[#This Row],[Product Name]])</f>
        <v>Compostable Plant Pots</v>
      </c>
      <c r="H345" t="s">
        <v>1011</v>
      </c>
      <c r="I345" t="str">
        <f>UPPER(SalesData[[#This Row],[Product Category]])</f>
        <v>GARDENING</v>
      </c>
      <c r="J345">
        <v>10</v>
      </c>
      <c r="K345">
        <v>12</v>
      </c>
      <c r="L345" s="15">
        <f>IF(SalesData[[#This Row],[Unit Price]]="",
    AVERAGEIFS(SalesData[Unit Price],
               SalesData[Product Name],SalesData[[#This Row],[Product Name]]),
    SalesData[[#This Row],[Unit Price]])</f>
        <v>12</v>
      </c>
      <c r="M345" s="15">
        <v>4.42</v>
      </c>
      <c r="N345" s="15">
        <f>SalesData[[#This Row],[Quantity Sold]] * SalesData[[#This Row],[Cleaned Unit Price]]</f>
        <v>120</v>
      </c>
      <c r="O345" s="15">
        <f>SalesData[[#This Row],[Quantity Sold]] * SalesData[[#This Row],[Unit Cost]]</f>
        <v>44.2</v>
      </c>
      <c r="P345" s="15">
        <f>SalesData[[#This Row],[Revenue]] - SalesData[[#This Row],[Cost]]</f>
        <v>75.8</v>
      </c>
      <c r="Q345" s="13">
        <f>IF(SalesData[[#This Row],[Revenue]]=0,0,SalesData[[#This Row],[Profit]]/SalesData[[#This Row],[Revenue]])</f>
        <v>0.6316666666666666</v>
      </c>
      <c r="R345" t="s">
        <v>1132</v>
      </c>
      <c r="S345" t="s">
        <v>1331</v>
      </c>
      <c r="T345" t="str">
        <f>PROPER(SalesData[[#This Row],[Customer Name]])</f>
        <v>Isabella Rodriguez</v>
      </c>
      <c r="U345" t="s">
        <v>1414</v>
      </c>
      <c r="V345" t="s">
        <v>1419</v>
      </c>
    </row>
    <row r="346" spans="1:22" x14ac:dyDescent="0.25">
      <c r="A346" t="s">
        <v>1772</v>
      </c>
      <c r="B346" s="5">
        <v>45409</v>
      </c>
      <c r="C346" s="2" t="str">
        <f>TEXT(SalesData[[#This Row],[Order Date]],"mmm")</f>
        <v>Apr</v>
      </c>
      <c r="D346" s="7">
        <f>MONTH(SalesData[[#This Row],[Order Date]])</f>
        <v>4</v>
      </c>
      <c r="E346" s="7">
        <f>YEAR(SalesData[[#This Row],[Order Date]])</f>
        <v>2024</v>
      </c>
      <c r="F346" t="s">
        <v>949</v>
      </c>
      <c r="G346" t="str">
        <f>PROPER(SalesData[[#This Row],[Product Name]])</f>
        <v>Biodegradable Cleaning Cloth</v>
      </c>
      <c r="H346" t="s">
        <v>1015</v>
      </c>
      <c r="I346" t="str">
        <f>UPPER(SalesData[[#This Row],[Product Category]])</f>
        <v>CLEANING</v>
      </c>
      <c r="J346">
        <v>7</v>
      </c>
      <c r="K346">
        <v>10</v>
      </c>
      <c r="L346" s="15">
        <f>IF(SalesData[[#This Row],[Unit Price]]="",
    AVERAGEIFS(SalesData[Unit Price],
               SalesData[Product Name],SalesData[[#This Row],[Product Name]]),
    SalesData[[#This Row],[Unit Price]])</f>
        <v>10</v>
      </c>
      <c r="M346" s="15">
        <v>2.29</v>
      </c>
      <c r="N346" s="15">
        <f>SalesData[[#This Row],[Quantity Sold]] * SalesData[[#This Row],[Cleaned Unit Price]]</f>
        <v>70</v>
      </c>
      <c r="O346" s="15">
        <f>SalesData[[#This Row],[Quantity Sold]] * SalesData[[#This Row],[Unit Cost]]</f>
        <v>16.03</v>
      </c>
      <c r="P346" s="15">
        <f>SalesData[[#This Row],[Revenue]] - SalesData[[#This Row],[Cost]]</f>
        <v>53.97</v>
      </c>
      <c r="Q346" s="13">
        <f>IF(SalesData[[#This Row],[Revenue]]=0,0,SalesData[[#This Row],[Profit]]/SalesData[[#This Row],[Revenue]])</f>
        <v>0.77100000000000002</v>
      </c>
      <c r="R346" t="s">
        <v>1191</v>
      </c>
      <c r="S346" t="s">
        <v>1390</v>
      </c>
      <c r="T346" t="str">
        <f>PROPER(SalesData[[#This Row],[Customer Name]])</f>
        <v>Isabella Williams</v>
      </c>
      <c r="U346" t="s">
        <v>1416</v>
      </c>
      <c r="V346" t="s">
        <v>1420</v>
      </c>
    </row>
    <row r="347" spans="1:22" x14ac:dyDescent="0.25">
      <c r="A347" t="s">
        <v>1773</v>
      </c>
      <c r="B347" s="5">
        <v>45410</v>
      </c>
      <c r="C347" s="2" t="str">
        <f>TEXT(SalesData[[#This Row],[Order Date]],"mmm")</f>
        <v>Apr</v>
      </c>
      <c r="D347" s="7">
        <f>MONTH(SalesData[[#This Row],[Order Date]])</f>
        <v>4</v>
      </c>
      <c r="E347" s="7">
        <f>YEAR(SalesData[[#This Row],[Order Date]])</f>
        <v>2024</v>
      </c>
      <c r="F347" t="s">
        <v>146</v>
      </c>
      <c r="G347" t="str">
        <f>PROPER(SalesData[[#This Row],[Product Name]])</f>
        <v>Reusable Bamboo Utensil Set</v>
      </c>
      <c r="H347" t="s">
        <v>1014</v>
      </c>
      <c r="I347" t="str">
        <f>UPPER(SalesData[[#This Row],[Product Category]])</f>
        <v>KITCHENWARE</v>
      </c>
      <c r="J347">
        <v>6</v>
      </c>
      <c r="K347">
        <v>15</v>
      </c>
      <c r="L347" s="15">
        <f>IF(SalesData[[#This Row],[Unit Price]]="",
    AVERAGEIFS(SalesData[Unit Price],
               SalesData[Product Name],SalesData[[#This Row],[Product Name]]),
    SalesData[[#This Row],[Unit Price]])</f>
        <v>15</v>
      </c>
      <c r="M347" s="15">
        <v>5.4</v>
      </c>
      <c r="N347" s="15">
        <f>SalesData[[#This Row],[Quantity Sold]] * SalesData[[#This Row],[Cleaned Unit Price]]</f>
        <v>90</v>
      </c>
      <c r="O347" s="15">
        <f>SalesData[[#This Row],[Quantity Sold]] * SalesData[[#This Row],[Unit Cost]]</f>
        <v>32.400000000000006</v>
      </c>
      <c r="P347" s="15">
        <f>SalesData[[#This Row],[Revenue]] - SalesData[[#This Row],[Cost]]</f>
        <v>57.599999999999994</v>
      </c>
      <c r="Q347" s="13">
        <f>IF(SalesData[[#This Row],[Revenue]]=0,0,SalesData[[#This Row],[Profit]]/SalesData[[#This Row],[Revenue]])</f>
        <v>0.6399999999999999</v>
      </c>
      <c r="R347" t="s">
        <v>1118</v>
      </c>
      <c r="S347" t="s">
        <v>1317</v>
      </c>
      <c r="T347" t="str">
        <f>PROPER(SalesData[[#This Row],[Customer Name]])</f>
        <v>James Brown</v>
      </c>
      <c r="U347" t="s">
        <v>1414</v>
      </c>
      <c r="V347" t="s">
        <v>1425</v>
      </c>
    </row>
    <row r="348" spans="1:22" x14ac:dyDescent="0.25">
      <c r="A348" t="s">
        <v>1774</v>
      </c>
      <c r="B348" s="5">
        <v>45410</v>
      </c>
      <c r="C348" s="2" t="str">
        <f>TEXT(SalesData[[#This Row],[Order Date]],"mmm")</f>
        <v>Apr</v>
      </c>
      <c r="D348" s="7">
        <f>MONTH(SalesData[[#This Row],[Order Date]])</f>
        <v>4</v>
      </c>
      <c r="E348" s="7">
        <f>YEAR(SalesData[[#This Row],[Order Date]])</f>
        <v>2024</v>
      </c>
      <c r="F348" t="s">
        <v>211</v>
      </c>
      <c r="G348" t="str">
        <f>PROPER(SalesData[[#This Row],[Product Name]])</f>
        <v>Solar Led Lantern</v>
      </c>
      <c r="H348" t="s">
        <v>1012</v>
      </c>
      <c r="I348" t="str">
        <f>UPPER(SalesData[[#This Row],[Product Category]])</f>
        <v>LIGHTING</v>
      </c>
      <c r="J348">
        <v>7</v>
      </c>
      <c r="K348">
        <v>40</v>
      </c>
      <c r="L348" s="15">
        <f>IF(SalesData[[#This Row],[Unit Price]]="",
    AVERAGEIFS(SalesData[Unit Price],
               SalesData[Product Name],SalesData[[#This Row],[Product Name]]),
    SalesData[[#This Row],[Unit Price]])</f>
        <v>40</v>
      </c>
      <c r="M348" s="15">
        <v>9.5</v>
      </c>
      <c r="N348" s="15">
        <f>SalesData[[#This Row],[Quantity Sold]] * SalesData[[#This Row],[Cleaned Unit Price]]</f>
        <v>280</v>
      </c>
      <c r="O348" s="15">
        <f>SalesData[[#This Row],[Quantity Sold]] * SalesData[[#This Row],[Unit Cost]]</f>
        <v>66.5</v>
      </c>
      <c r="P348" s="15">
        <f>SalesData[[#This Row],[Revenue]] - SalesData[[#This Row],[Cost]]</f>
        <v>213.5</v>
      </c>
      <c r="Q348" s="13">
        <f>IF(SalesData[[#This Row],[Revenue]]=0,0,SalesData[[#This Row],[Profit]]/SalesData[[#This Row],[Revenue]])</f>
        <v>0.76249999999999996</v>
      </c>
      <c r="R348" t="s">
        <v>1144</v>
      </c>
      <c r="S348" t="s">
        <v>1343</v>
      </c>
      <c r="T348" t="str">
        <f>PROPER(SalesData[[#This Row],[Customer Name]])</f>
        <v>Ava Davis</v>
      </c>
      <c r="U348" t="s">
        <v>1415</v>
      </c>
      <c r="V348" t="s">
        <v>1419</v>
      </c>
    </row>
    <row r="349" spans="1:22" x14ac:dyDescent="0.25">
      <c r="A349" t="s">
        <v>1775</v>
      </c>
      <c r="B349" s="5">
        <v>45410</v>
      </c>
      <c r="C349" s="2" t="str">
        <f>TEXT(SalesData[[#This Row],[Order Date]],"mmm")</f>
        <v>Apr</v>
      </c>
      <c r="D349" s="7">
        <f>MONTH(SalesData[[#This Row],[Order Date]])</f>
        <v>4</v>
      </c>
      <c r="E349" s="7">
        <f>YEAR(SalesData[[#This Row],[Order Date]])</f>
        <v>2024</v>
      </c>
      <c r="F349" t="s">
        <v>267</v>
      </c>
      <c r="G349" t="str">
        <f>PROPER(SalesData[[#This Row],[Product Name]])</f>
        <v>Solar Led Lantern</v>
      </c>
      <c r="H349" t="s">
        <v>1012</v>
      </c>
      <c r="I349" t="str">
        <f>UPPER(SalesData[[#This Row],[Product Category]])</f>
        <v>LIGHTING</v>
      </c>
      <c r="J349">
        <v>7</v>
      </c>
      <c r="K349">
        <v>40</v>
      </c>
      <c r="L349" s="15">
        <f>IF(SalesData[[#This Row],[Unit Price]]="",
    AVERAGEIFS(SalesData[Unit Price],
               SalesData[Product Name],SalesData[[#This Row],[Product Name]]),
    SalesData[[#This Row],[Unit Price]])</f>
        <v>40</v>
      </c>
      <c r="M349" s="15">
        <v>13.33</v>
      </c>
      <c r="N349" s="15">
        <f>SalesData[[#This Row],[Quantity Sold]] * SalesData[[#This Row],[Cleaned Unit Price]]</f>
        <v>280</v>
      </c>
      <c r="O349" s="15">
        <f>SalesData[[#This Row],[Quantity Sold]] * SalesData[[#This Row],[Unit Cost]]</f>
        <v>93.31</v>
      </c>
      <c r="P349" s="15">
        <f>SalesData[[#This Row],[Revenue]] - SalesData[[#This Row],[Cost]]</f>
        <v>186.69</v>
      </c>
      <c r="Q349" s="13">
        <f>IF(SalesData[[#This Row],[Revenue]]=0,0,SalesData[[#This Row],[Profit]]/SalesData[[#This Row],[Revenue]])</f>
        <v>0.66674999999999995</v>
      </c>
      <c r="R349" t="s">
        <v>1133</v>
      </c>
      <c r="S349" t="s">
        <v>1332</v>
      </c>
      <c r="T349" t="str">
        <f>PROPER(SalesData[[#This Row],[Customer Name]])</f>
        <v>Charlotte Garcia</v>
      </c>
      <c r="U349" t="s">
        <v>1416</v>
      </c>
      <c r="V349" t="s">
        <v>1425</v>
      </c>
    </row>
    <row r="350" spans="1:22" x14ac:dyDescent="0.25">
      <c r="A350" t="s">
        <v>1776</v>
      </c>
      <c r="B350" s="5">
        <v>45410</v>
      </c>
      <c r="C350" s="2" t="str">
        <f>TEXT(SalesData[[#This Row],[Order Date]],"mmm")</f>
        <v>Apr</v>
      </c>
      <c r="D350" s="7">
        <f>MONTH(SalesData[[#This Row],[Order Date]])</f>
        <v>4</v>
      </c>
      <c r="E350" s="7">
        <f>YEAR(SalesData[[#This Row],[Order Date]])</f>
        <v>2024</v>
      </c>
      <c r="F350" t="s">
        <v>326</v>
      </c>
      <c r="G350" t="str">
        <f>PROPER(SalesData[[#This Row],[Product Name]])</f>
        <v>Solar Led Lantern</v>
      </c>
      <c r="H350" t="s">
        <v>1012</v>
      </c>
      <c r="I350" t="str">
        <f>UPPER(SalesData[[#This Row],[Product Category]])</f>
        <v>LIGHTING</v>
      </c>
      <c r="J350">
        <v>9</v>
      </c>
      <c r="K350">
        <v>40</v>
      </c>
      <c r="L350" s="15">
        <f>IF(SalesData[[#This Row],[Unit Price]]="",
    AVERAGEIFS(SalesData[Unit Price],
               SalesData[Product Name],SalesData[[#This Row],[Product Name]]),
    SalesData[[#This Row],[Unit Price]])</f>
        <v>40</v>
      </c>
      <c r="M350" s="15">
        <v>15.98</v>
      </c>
      <c r="N350" s="15">
        <f>SalesData[[#This Row],[Quantity Sold]] * SalesData[[#This Row],[Cleaned Unit Price]]</f>
        <v>360</v>
      </c>
      <c r="O350" s="15">
        <f>SalesData[[#This Row],[Quantity Sold]] * SalesData[[#This Row],[Unit Cost]]</f>
        <v>143.82</v>
      </c>
      <c r="P350" s="15">
        <f>SalesData[[#This Row],[Revenue]] - SalesData[[#This Row],[Cost]]</f>
        <v>216.18</v>
      </c>
      <c r="Q350" s="13">
        <f>IF(SalesData[[#This Row],[Revenue]]=0,0,SalesData[[#This Row],[Profit]]/SalesData[[#This Row],[Revenue]])</f>
        <v>0.60050000000000003</v>
      </c>
      <c r="R350" t="s">
        <v>1101</v>
      </c>
      <c r="S350" t="s">
        <v>1300</v>
      </c>
      <c r="T350" t="str">
        <f>PROPER(SalesData[[#This Row],[Customer Name]])</f>
        <v>James Miller</v>
      </c>
      <c r="U350" t="s">
        <v>1417</v>
      </c>
      <c r="V350" t="s">
        <v>1421</v>
      </c>
    </row>
    <row r="351" spans="1:22" x14ac:dyDescent="0.25">
      <c r="A351" t="s">
        <v>1777</v>
      </c>
      <c r="B351" s="5">
        <v>45410</v>
      </c>
      <c r="C351" s="2" t="str">
        <f>TEXT(SalesData[[#This Row],[Order Date]],"mmm")</f>
        <v>Apr</v>
      </c>
      <c r="D351" s="7">
        <f>MONTH(SalesData[[#This Row],[Order Date]])</f>
        <v>4</v>
      </c>
      <c r="E351" s="7">
        <f>YEAR(SalesData[[#This Row],[Order Date]])</f>
        <v>2024</v>
      </c>
      <c r="F351" t="s">
        <v>503</v>
      </c>
      <c r="G351" t="str">
        <f>PROPER(SalesData[[#This Row],[Product Name]])</f>
        <v>Eco Canvas Tote Bag</v>
      </c>
      <c r="H351" t="s">
        <v>1013</v>
      </c>
      <c r="I351" t="str">
        <f>UPPER(SalesData[[#This Row],[Product Category]])</f>
        <v>BAGS</v>
      </c>
      <c r="J351">
        <v>3</v>
      </c>
      <c r="K351">
        <v>25</v>
      </c>
      <c r="L351" s="15">
        <f>IF(SalesData[[#This Row],[Unit Price]]="",
    AVERAGEIFS(SalesData[Unit Price],
               SalesData[Product Name],SalesData[[#This Row],[Product Name]]),
    SalesData[[#This Row],[Unit Price]])</f>
        <v>25</v>
      </c>
      <c r="M351" s="15">
        <v>8.76</v>
      </c>
      <c r="N351" s="15">
        <f>SalesData[[#This Row],[Quantity Sold]] * SalesData[[#This Row],[Cleaned Unit Price]]</f>
        <v>75</v>
      </c>
      <c r="O351" s="15">
        <f>SalesData[[#This Row],[Quantity Sold]] * SalesData[[#This Row],[Unit Cost]]</f>
        <v>26.28</v>
      </c>
      <c r="P351" s="15">
        <f>SalesData[[#This Row],[Revenue]] - SalesData[[#This Row],[Cost]]</f>
        <v>48.72</v>
      </c>
      <c r="Q351" s="13">
        <f>IF(SalesData[[#This Row],[Revenue]]=0,0,SalesData[[#This Row],[Profit]]/SalesData[[#This Row],[Revenue]])</f>
        <v>0.64959999999999996</v>
      </c>
      <c r="R351" t="s">
        <v>1176</v>
      </c>
      <c r="S351" t="s">
        <v>1375</v>
      </c>
      <c r="T351" t="str">
        <f>PROPER(SalesData[[#This Row],[Customer Name]])</f>
        <v>Sophia Brown</v>
      </c>
      <c r="U351" t="s">
        <v>1416</v>
      </c>
      <c r="V351" t="s">
        <v>1422</v>
      </c>
    </row>
    <row r="352" spans="1:22" x14ac:dyDescent="0.25">
      <c r="A352" t="s">
        <v>1778</v>
      </c>
      <c r="B352" s="5">
        <v>45410</v>
      </c>
      <c r="C352" s="2" t="str">
        <f>TEXT(SalesData[[#This Row],[Order Date]],"mmm")</f>
        <v>Apr</v>
      </c>
      <c r="D352" s="7">
        <f>MONTH(SalesData[[#This Row],[Order Date]])</f>
        <v>4</v>
      </c>
      <c r="E352" s="7">
        <f>YEAR(SalesData[[#This Row],[Order Date]])</f>
        <v>2024</v>
      </c>
      <c r="F352" t="s">
        <v>1003</v>
      </c>
      <c r="G352" t="str">
        <f>PROPER(SalesData[[#This Row],[Product Name]])</f>
        <v>Eco Canvas Tote Bag</v>
      </c>
      <c r="H352" t="s">
        <v>1013</v>
      </c>
      <c r="I352" t="str">
        <f>UPPER(SalesData[[#This Row],[Product Category]])</f>
        <v>BAGS</v>
      </c>
      <c r="J352">
        <v>2</v>
      </c>
      <c r="K352">
        <v>25</v>
      </c>
      <c r="L352" s="15">
        <f>IF(SalesData[[#This Row],[Unit Price]]="",
    AVERAGEIFS(SalesData[Unit Price],
               SalesData[Product Name],SalesData[[#This Row],[Product Name]]),
    SalesData[[#This Row],[Unit Price]])</f>
        <v>25</v>
      </c>
      <c r="M352" s="15">
        <v>7.85</v>
      </c>
      <c r="N352" s="15">
        <f>SalesData[[#This Row],[Quantity Sold]] * SalesData[[#This Row],[Cleaned Unit Price]]</f>
        <v>50</v>
      </c>
      <c r="O352" s="15">
        <f>SalesData[[#This Row],[Quantity Sold]] * SalesData[[#This Row],[Unit Cost]]</f>
        <v>15.7</v>
      </c>
      <c r="P352" s="15">
        <f>SalesData[[#This Row],[Revenue]] - SalesData[[#This Row],[Cost]]</f>
        <v>34.299999999999997</v>
      </c>
      <c r="Q352" s="13">
        <f>IF(SalesData[[#This Row],[Revenue]]=0,0,SalesData[[#This Row],[Profit]]/SalesData[[#This Row],[Revenue]])</f>
        <v>0.68599999999999994</v>
      </c>
      <c r="R352" t="s">
        <v>1183</v>
      </c>
      <c r="S352" t="s">
        <v>1382</v>
      </c>
      <c r="T352" t="str">
        <f>PROPER(SalesData[[#This Row],[Customer Name]])</f>
        <v>Logan Rodriguez</v>
      </c>
      <c r="U352" t="s">
        <v>1414</v>
      </c>
      <c r="V352" t="s">
        <v>1424</v>
      </c>
    </row>
    <row r="353" spans="1:22" x14ac:dyDescent="0.25">
      <c r="A353" t="s">
        <v>1779</v>
      </c>
      <c r="B353" s="5">
        <v>45411</v>
      </c>
      <c r="C353" s="2" t="str">
        <f>TEXT(SalesData[[#This Row],[Order Date]],"mmm")</f>
        <v>Apr</v>
      </c>
      <c r="D353" s="7">
        <f>MONTH(SalesData[[#This Row],[Order Date]])</f>
        <v>4</v>
      </c>
      <c r="E353" s="7">
        <f>YEAR(SalesData[[#This Row],[Order Date]])</f>
        <v>2024</v>
      </c>
      <c r="F353" t="s">
        <v>103</v>
      </c>
      <c r="G353" t="str">
        <f>PROPER(SalesData[[#This Row],[Product Name]])</f>
        <v>Reusable Bamboo Utensil Set</v>
      </c>
      <c r="H353" t="s">
        <v>1014</v>
      </c>
      <c r="I353" t="str">
        <f>UPPER(SalesData[[#This Row],[Product Category]])</f>
        <v>KITCHENWARE</v>
      </c>
      <c r="J353">
        <v>10</v>
      </c>
      <c r="K353">
        <v>15</v>
      </c>
      <c r="L353" s="15">
        <f>IF(SalesData[[#This Row],[Unit Price]]="",
    AVERAGEIFS(SalesData[Unit Price],
               SalesData[Product Name],SalesData[[#This Row],[Product Name]]),
    SalesData[[#This Row],[Unit Price]])</f>
        <v>15</v>
      </c>
      <c r="M353" s="15">
        <v>3.96</v>
      </c>
      <c r="N353" s="15">
        <f>SalesData[[#This Row],[Quantity Sold]] * SalesData[[#This Row],[Cleaned Unit Price]]</f>
        <v>150</v>
      </c>
      <c r="O353" s="15">
        <f>SalesData[[#This Row],[Quantity Sold]] * SalesData[[#This Row],[Unit Cost]]</f>
        <v>39.6</v>
      </c>
      <c r="P353" s="15">
        <f>SalesData[[#This Row],[Revenue]] - SalesData[[#This Row],[Cost]]</f>
        <v>110.4</v>
      </c>
      <c r="Q353" s="13">
        <f>IF(SalesData[[#This Row],[Revenue]]=0,0,SalesData[[#This Row],[Profit]]/SalesData[[#This Row],[Revenue]])</f>
        <v>0.73599999999999999</v>
      </c>
      <c r="R353" t="s">
        <v>1027</v>
      </c>
      <c r="S353" t="s">
        <v>1226</v>
      </c>
      <c r="T353" t="str">
        <f>PROPER(SalesData[[#This Row],[Customer Name]])</f>
        <v>Lucas Rodriguez</v>
      </c>
      <c r="U353" t="s">
        <v>1414</v>
      </c>
      <c r="V353" t="s">
        <v>1420</v>
      </c>
    </row>
    <row r="354" spans="1:22" x14ac:dyDescent="0.25">
      <c r="A354" t="s">
        <v>1780</v>
      </c>
      <c r="B354" s="5">
        <v>45411</v>
      </c>
      <c r="C354" s="2" t="str">
        <f>TEXT(SalesData[[#This Row],[Order Date]],"mmm")</f>
        <v>Apr</v>
      </c>
      <c r="D354" s="7">
        <f>MONTH(SalesData[[#This Row],[Order Date]])</f>
        <v>4</v>
      </c>
      <c r="E354" s="7">
        <f>YEAR(SalesData[[#This Row],[Order Date]])</f>
        <v>2024</v>
      </c>
      <c r="F354" t="s">
        <v>161</v>
      </c>
      <c r="G354" t="str">
        <f>PROPER(SalesData[[#This Row],[Product Name]])</f>
        <v>Solar Led Lantern</v>
      </c>
      <c r="H354" t="s">
        <v>1012</v>
      </c>
      <c r="I354" t="str">
        <f>UPPER(SalesData[[#This Row],[Product Category]])</f>
        <v>LIGHTING</v>
      </c>
      <c r="J354">
        <v>3</v>
      </c>
      <c r="K354">
        <v>40</v>
      </c>
      <c r="L354" s="15">
        <f>IF(SalesData[[#This Row],[Unit Price]]="",
    AVERAGEIFS(SalesData[Unit Price],
               SalesData[Product Name],SalesData[[#This Row],[Product Name]]),
    SalesData[[#This Row],[Unit Price]])</f>
        <v>40</v>
      </c>
      <c r="M354" s="15">
        <v>12.56</v>
      </c>
      <c r="N354" s="15">
        <f>SalesData[[#This Row],[Quantity Sold]] * SalesData[[#This Row],[Cleaned Unit Price]]</f>
        <v>120</v>
      </c>
      <c r="O354" s="15">
        <f>SalesData[[#This Row],[Quantity Sold]] * SalesData[[#This Row],[Unit Cost]]</f>
        <v>37.68</v>
      </c>
      <c r="P354" s="15">
        <f>SalesData[[#This Row],[Revenue]] - SalesData[[#This Row],[Cost]]</f>
        <v>82.32</v>
      </c>
      <c r="Q354" s="13">
        <f>IF(SalesData[[#This Row],[Revenue]]=0,0,SalesData[[#This Row],[Profit]]/SalesData[[#This Row],[Revenue]])</f>
        <v>0.68599999999999994</v>
      </c>
      <c r="R354" t="s">
        <v>1123</v>
      </c>
      <c r="S354" t="s">
        <v>1322</v>
      </c>
      <c r="T354" t="str">
        <f>PROPER(SalesData[[#This Row],[Customer Name]])</f>
        <v>Logan Rodriguez</v>
      </c>
      <c r="U354" t="s">
        <v>1414</v>
      </c>
      <c r="V354" t="s">
        <v>1425</v>
      </c>
    </row>
    <row r="355" spans="1:22" x14ac:dyDescent="0.25">
      <c r="A355" t="s">
        <v>1781</v>
      </c>
      <c r="B355" s="5">
        <v>45411</v>
      </c>
      <c r="C355" s="2" t="str">
        <f>TEXT(SalesData[[#This Row],[Order Date]],"mmm")</f>
        <v>Apr</v>
      </c>
      <c r="D355" s="7">
        <f>MONTH(SalesData[[#This Row],[Order Date]])</f>
        <v>4</v>
      </c>
      <c r="E355" s="7">
        <f>YEAR(SalesData[[#This Row],[Order Date]])</f>
        <v>2024</v>
      </c>
      <c r="F355" t="s">
        <v>983</v>
      </c>
      <c r="G355" t="str">
        <f>PROPER(SalesData[[#This Row],[Product Name]])</f>
        <v>Biodegradable Cleaning Cloth</v>
      </c>
      <c r="H355" t="s">
        <v>1015</v>
      </c>
      <c r="I355" t="str">
        <f>UPPER(SalesData[[#This Row],[Product Category]])</f>
        <v>CLEANING</v>
      </c>
      <c r="J355">
        <v>5</v>
      </c>
      <c r="K355">
        <v>10</v>
      </c>
      <c r="L355" s="15">
        <f>IF(SalesData[[#This Row],[Unit Price]]="",
    AVERAGEIFS(SalesData[Unit Price],
               SalesData[Product Name],SalesData[[#This Row],[Product Name]]),
    SalesData[[#This Row],[Unit Price]])</f>
        <v>10</v>
      </c>
      <c r="M355" s="15">
        <v>2.34</v>
      </c>
      <c r="N355" s="15">
        <f>SalesData[[#This Row],[Quantity Sold]] * SalesData[[#This Row],[Cleaned Unit Price]]</f>
        <v>50</v>
      </c>
      <c r="O355" s="15">
        <f>SalesData[[#This Row],[Quantity Sold]] * SalesData[[#This Row],[Unit Cost]]</f>
        <v>11.7</v>
      </c>
      <c r="P355" s="15">
        <f>SalesData[[#This Row],[Revenue]] - SalesData[[#This Row],[Cost]]</f>
        <v>38.299999999999997</v>
      </c>
      <c r="Q355" s="13">
        <f>IF(SalesData[[#This Row],[Revenue]]=0,0,SalesData[[#This Row],[Profit]]/SalesData[[#This Row],[Revenue]])</f>
        <v>0.7659999999999999</v>
      </c>
      <c r="R355" t="s">
        <v>1136</v>
      </c>
      <c r="S355" t="s">
        <v>1335</v>
      </c>
      <c r="T355" t="str">
        <f>PROPER(SalesData[[#This Row],[Customer Name]])</f>
        <v>Logan Smith</v>
      </c>
      <c r="U355" t="s">
        <v>1414</v>
      </c>
      <c r="V355" t="s">
        <v>1423</v>
      </c>
    </row>
    <row r="356" spans="1:22" x14ac:dyDescent="0.25">
      <c r="A356" t="s">
        <v>1782</v>
      </c>
      <c r="B356" s="5">
        <v>45412</v>
      </c>
      <c r="C356" s="2" t="str">
        <f>TEXT(SalesData[[#This Row],[Order Date]],"mmm")</f>
        <v>Apr</v>
      </c>
      <c r="D356" s="7">
        <f>MONTH(SalesData[[#This Row],[Order Date]])</f>
        <v>4</v>
      </c>
      <c r="E356" s="7">
        <f>YEAR(SalesData[[#This Row],[Order Date]])</f>
        <v>2024</v>
      </c>
      <c r="F356" t="s">
        <v>258</v>
      </c>
      <c r="G356" t="str">
        <f>PROPER(SalesData[[#This Row],[Product Name]])</f>
        <v>Solar Led Lantern</v>
      </c>
      <c r="H356" t="s">
        <v>1012</v>
      </c>
      <c r="I356" t="str">
        <f>UPPER(SalesData[[#This Row],[Product Category]])</f>
        <v>LIGHTING</v>
      </c>
      <c r="J356">
        <v>5</v>
      </c>
      <c r="K356">
        <v>40</v>
      </c>
      <c r="L356" s="15">
        <f>IF(SalesData[[#This Row],[Unit Price]]="",
    AVERAGEIFS(SalesData[Unit Price],
               SalesData[Product Name],SalesData[[#This Row],[Product Name]]),
    SalesData[[#This Row],[Unit Price]])</f>
        <v>40</v>
      </c>
      <c r="M356" s="15">
        <v>15.01</v>
      </c>
      <c r="N356" s="15">
        <f>SalesData[[#This Row],[Quantity Sold]] * SalesData[[#This Row],[Cleaned Unit Price]]</f>
        <v>200</v>
      </c>
      <c r="O356" s="15">
        <f>SalesData[[#This Row],[Quantity Sold]] * SalesData[[#This Row],[Unit Cost]]</f>
        <v>75.05</v>
      </c>
      <c r="P356" s="15">
        <f>SalesData[[#This Row],[Revenue]] - SalesData[[#This Row],[Cost]]</f>
        <v>124.95</v>
      </c>
      <c r="Q356" s="13">
        <f>IF(SalesData[[#This Row],[Revenue]]=0,0,SalesData[[#This Row],[Profit]]/SalesData[[#This Row],[Revenue]])</f>
        <v>0.62475000000000003</v>
      </c>
      <c r="R356" t="s">
        <v>1123</v>
      </c>
      <c r="S356" t="s">
        <v>1322</v>
      </c>
      <c r="T356" t="str">
        <f>PROPER(SalesData[[#This Row],[Customer Name]])</f>
        <v>Logan Rodriguez</v>
      </c>
      <c r="U356" t="s">
        <v>1415</v>
      </c>
      <c r="V356" t="s">
        <v>1427</v>
      </c>
    </row>
    <row r="357" spans="1:22" x14ac:dyDescent="0.25">
      <c r="A357" t="s">
        <v>1783</v>
      </c>
      <c r="B357" s="5">
        <v>45412</v>
      </c>
      <c r="C357" s="2" t="str">
        <f>TEXT(SalesData[[#This Row],[Order Date]],"mmm")</f>
        <v>Apr</v>
      </c>
      <c r="D357" s="7">
        <f>MONTH(SalesData[[#This Row],[Order Date]])</f>
        <v>4</v>
      </c>
      <c r="E357" s="7">
        <f>YEAR(SalesData[[#This Row],[Order Date]])</f>
        <v>2024</v>
      </c>
      <c r="F357" t="s">
        <v>615</v>
      </c>
      <c r="G357" t="str">
        <f>PROPER(SalesData[[#This Row],[Product Name]])</f>
        <v>Eco Canvas Tote Bag</v>
      </c>
      <c r="H357" t="s">
        <v>1013</v>
      </c>
      <c r="I357" t="str">
        <f>UPPER(SalesData[[#This Row],[Product Category]])</f>
        <v>BAGS</v>
      </c>
      <c r="J357">
        <v>3</v>
      </c>
      <c r="K357">
        <v>25</v>
      </c>
      <c r="L357" s="15">
        <f>IF(SalesData[[#This Row],[Unit Price]]="",
    AVERAGEIFS(SalesData[Unit Price],
               SalesData[Product Name],SalesData[[#This Row],[Product Name]]),
    SalesData[[#This Row],[Unit Price]])</f>
        <v>25</v>
      </c>
      <c r="M357" s="15">
        <v>5.86</v>
      </c>
      <c r="N357" s="15">
        <f>SalesData[[#This Row],[Quantity Sold]] * SalesData[[#This Row],[Cleaned Unit Price]]</f>
        <v>75</v>
      </c>
      <c r="O357" s="15">
        <f>SalesData[[#This Row],[Quantity Sold]] * SalesData[[#This Row],[Unit Cost]]</f>
        <v>17.580000000000002</v>
      </c>
      <c r="P357" s="15">
        <f>SalesData[[#This Row],[Revenue]] - SalesData[[#This Row],[Cost]]</f>
        <v>57.42</v>
      </c>
      <c r="Q357" s="13">
        <f>IF(SalesData[[#This Row],[Revenue]]=0,0,SalesData[[#This Row],[Profit]]/SalesData[[#This Row],[Revenue]])</f>
        <v>0.76560000000000006</v>
      </c>
      <c r="R357" t="s">
        <v>1121</v>
      </c>
      <c r="S357" t="s">
        <v>1320</v>
      </c>
      <c r="T357" t="str">
        <f>PROPER(SalesData[[#This Row],[Customer Name]])</f>
        <v>Mason Williams</v>
      </c>
      <c r="U357" t="s">
        <v>1414</v>
      </c>
      <c r="V357" t="s">
        <v>1422</v>
      </c>
    </row>
    <row r="358" spans="1:22" x14ac:dyDescent="0.25">
      <c r="A358" t="s">
        <v>1784</v>
      </c>
      <c r="B358" s="5">
        <v>45412</v>
      </c>
      <c r="C358" s="2" t="str">
        <f>TEXT(SalesData[[#This Row],[Order Date]],"mmm")</f>
        <v>Apr</v>
      </c>
      <c r="D358" s="7">
        <f>MONTH(SalesData[[#This Row],[Order Date]])</f>
        <v>4</v>
      </c>
      <c r="E358" s="7">
        <f>YEAR(SalesData[[#This Row],[Order Date]])</f>
        <v>2024</v>
      </c>
      <c r="F358" t="s">
        <v>958</v>
      </c>
      <c r="G358" t="str">
        <f>PROPER(SalesData[[#This Row],[Product Name]])</f>
        <v>Solar Led Lantern</v>
      </c>
      <c r="H358" t="s">
        <v>1012</v>
      </c>
      <c r="I358" t="str">
        <f>UPPER(SalesData[[#This Row],[Product Category]])</f>
        <v>LIGHTING</v>
      </c>
      <c r="J358">
        <v>10</v>
      </c>
      <c r="K358">
        <v>40</v>
      </c>
      <c r="L358" s="15">
        <f>IF(SalesData[[#This Row],[Unit Price]]="",
    AVERAGEIFS(SalesData[Unit Price],
               SalesData[Product Name],SalesData[[#This Row],[Product Name]]),
    SalesData[[#This Row],[Unit Price]])</f>
        <v>40</v>
      </c>
      <c r="M358" s="15">
        <v>12.59</v>
      </c>
      <c r="N358" s="15">
        <f>SalesData[[#This Row],[Quantity Sold]] * SalesData[[#This Row],[Cleaned Unit Price]]</f>
        <v>400</v>
      </c>
      <c r="O358" s="15">
        <f>SalesData[[#This Row],[Quantity Sold]] * SalesData[[#This Row],[Unit Cost]]</f>
        <v>125.9</v>
      </c>
      <c r="P358" s="15">
        <f>SalesData[[#This Row],[Revenue]] - SalesData[[#This Row],[Cost]]</f>
        <v>274.10000000000002</v>
      </c>
      <c r="Q358" s="13">
        <f>IF(SalesData[[#This Row],[Revenue]]=0,0,SalesData[[#This Row],[Profit]]/SalesData[[#This Row],[Revenue]])</f>
        <v>0.68525000000000003</v>
      </c>
      <c r="R358" t="s">
        <v>1026</v>
      </c>
      <c r="S358" t="s">
        <v>1225</v>
      </c>
      <c r="T358" t="str">
        <f>PROPER(SalesData[[#This Row],[Customer Name]])</f>
        <v>Evelyn Martinez</v>
      </c>
      <c r="U358" t="s">
        <v>1414</v>
      </c>
      <c r="V358" t="s">
        <v>1419</v>
      </c>
    </row>
    <row r="359" spans="1:22" x14ac:dyDescent="0.25">
      <c r="A359" t="s">
        <v>1785</v>
      </c>
      <c r="B359" s="5">
        <v>45414</v>
      </c>
      <c r="C359" s="2" t="str">
        <f>TEXT(SalesData[[#This Row],[Order Date]],"mmm")</f>
        <v>May</v>
      </c>
      <c r="D359" s="7">
        <f>MONTH(SalesData[[#This Row],[Order Date]])</f>
        <v>5</v>
      </c>
      <c r="E359" s="7">
        <f>YEAR(SalesData[[#This Row],[Order Date]])</f>
        <v>2024</v>
      </c>
      <c r="F359" t="s">
        <v>222</v>
      </c>
      <c r="G359" t="str">
        <f>PROPER(SalesData[[#This Row],[Product Name]])</f>
        <v>Eco Canvas Tote Bag</v>
      </c>
      <c r="H359" t="s">
        <v>1013</v>
      </c>
      <c r="I359" t="str">
        <f>UPPER(SalesData[[#This Row],[Product Category]])</f>
        <v>BAGS</v>
      </c>
      <c r="J359">
        <v>2</v>
      </c>
      <c r="K359">
        <v>25</v>
      </c>
      <c r="L359" s="15">
        <f>IF(SalesData[[#This Row],[Unit Price]]="",
    AVERAGEIFS(SalesData[Unit Price],
               SalesData[Product Name],SalesData[[#This Row],[Product Name]]),
    SalesData[[#This Row],[Unit Price]])</f>
        <v>25</v>
      </c>
      <c r="M359" s="15">
        <v>8.5500000000000007</v>
      </c>
      <c r="N359" s="15">
        <f>SalesData[[#This Row],[Quantity Sold]] * SalesData[[#This Row],[Cleaned Unit Price]]</f>
        <v>50</v>
      </c>
      <c r="O359" s="15">
        <f>SalesData[[#This Row],[Quantity Sold]] * SalesData[[#This Row],[Unit Cost]]</f>
        <v>17.100000000000001</v>
      </c>
      <c r="P359" s="15">
        <f>SalesData[[#This Row],[Revenue]] - SalesData[[#This Row],[Cost]]</f>
        <v>32.9</v>
      </c>
      <c r="Q359" s="13">
        <f>IF(SalesData[[#This Row],[Revenue]]=0,0,SalesData[[#This Row],[Profit]]/SalesData[[#This Row],[Revenue]])</f>
        <v>0.65799999999999992</v>
      </c>
      <c r="R359" t="s">
        <v>1146</v>
      </c>
      <c r="S359" t="s">
        <v>1345</v>
      </c>
      <c r="T359" t="str">
        <f>PROPER(SalesData[[#This Row],[Customer Name]])</f>
        <v>Logan Martinez</v>
      </c>
      <c r="U359" t="s">
        <v>1416</v>
      </c>
      <c r="V359" t="s">
        <v>1426</v>
      </c>
    </row>
    <row r="360" spans="1:22" x14ac:dyDescent="0.25">
      <c r="A360" t="s">
        <v>1786</v>
      </c>
      <c r="B360" s="5">
        <v>45414</v>
      </c>
      <c r="C360" s="2" t="str">
        <f>TEXT(SalesData[[#This Row],[Order Date]],"mmm")</f>
        <v>May</v>
      </c>
      <c r="D360" s="7">
        <f>MONTH(SalesData[[#This Row],[Order Date]])</f>
        <v>5</v>
      </c>
      <c r="E360" s="7">
        <f>YEAR(SalesData[[#This Row],[Order Date]])</f>
        <v>2024</v>
      </c>
      <c r="F360" t="s">
        <v>569</v>
      </c>
      <c r="G360" t="str">
        <f>PROPER(SalesData[[#This Row],[Product Name]])</f>
        <v>Compostable Plant Pots</v>
      </c>
      <c r="H360" t="s">
        <v>1011</v>
      </c>
      <c r="I360" t="str">
        <f>UPPER(SalesData[[#This Row],[Product Category]])</f>
        <v>GARDENING</v>
      </c>
      <c r="J360">
        <v>1</v>
      </c>
      <c r="K360">
        <v>12</v>
      </c>
      <c r="L360" s="15">
        <f>IF(SalesData[[#This Row],[Unit Price]]="",
    AVERAGEIFS(SalesData[Unit Price],
               SalesData[Product Name],SalesData[[#This Row],[Product Name]]),
    SalesData[[#This Row],[Unit Price]])</f>
        <v>12</v>
      </c>
      <c r="M360" s="15">
        <v>3</v>
      </c>
      <c r="N360" s="15">
        <f>SalesData[[#This Row],[Quantity Sold]] * SalesData[[#This Row],[Cleaned Unit Price]]</f>
        <v>12</v>
      </c>
      <c r="O360" s="15">
        <f>SalesData[[#This Row],[Quantity Sold]] * SalesData[[#This Row],[Unit Cost]]</f>
        <v>3</v>
      </c>
      <c r="P360" s="15">
        <f>SalesData[[#This Row],[Revenue]] - SalesData[[#This Row],[Cost]]</f>
        <v>9</v>
      </c>
      <c r="Q360" s="13">
        <f>IF(SalesData[[#This Row],[Revenue]]=0,0,SalesData[[#This Row],[Profit]]/SalesData[[#This Row],[Revenue]])</f>
        <v>0.75</v>
      </c>
      <c r="R360" t="s">
        <v>1209</v>
      </c>
      <c r="S360" t="s">
        <v>1408</v>
      </c>
      <c r="T360" t="str">
        <f>PROPER(SalesData[[#This Row],[Customer Name]])</f>
        <v>Elijah Smith</v>
      </c>
      <c r="U360" t="s">
        <v>1414</v>
      </c>
      <c r="V360" t="s">
        <v>1422</v>
      </c>
    </row>
    <row r="361" spans="1:22" x14ac:dyDescent="0.25">
      <c r="A361" t="s">
        <v>1787</v>
      </c>
      <c r="B361" s="5">
        <v>45414</v>
      </c>
      <c r="C361" s="2" t="str">
        <f>TEXT(SalesData[[#This Row],[Order Date]],"mmm")</f>
        <v>May</v>
      </c>
      <c r="D361" s="7">
        <f>MONTH(SalesData[[#This Row],[Order Date]])</f>
        <v>5</v>
      </c>
      <c r="E361" s="7">
        <f>YEAR(SalesData[[#This Row],[Order Date]])</f>
        <v>2024</v>
      </c>
      <c r="F361" t="s">
        <v>585</v>
      </c>
      <c r="G361" t="str">
        <f>PROPER(SalesData[[#This Row],[Product Name]])</f>
        <v>Biodegradable Cleaning Cloth</v>
      </c>
      <c r="H361" t="s">
        <v>1015</v>
      </c>
      <c r="I361" t="str">
        <f>UPPER(SalesData[[#This Row],[Product Category]])</f>
        <v>CLEANING</v>
      </c>
      <c r="J361">
        <v>7</v>
      </c>
      <c r="K361">
        <v>10</v>
      </c>
      <c r="L361" s="15">
        <f>IF(SalesData[[#This Row],[Unit Price]]="",
    AVERAGEIFS(SalesData[Unit Price],
               SalesData[Product Name],SalesData[[#This Row],[Product Name]]),
    SalesData[[#This Row],[Unit Price]])</f>
        <v>10</v>
      </c>
      <c r="M361" s="15">
        <v>3.06</v>
      </c>
      <c r="N361" s="15">
        <f>SalesData[[#This Row],[Quantity Sold]] * SalesData[[#This Row],[Cleaned Unit Price]]</f>
        <v>70</v>
      </c>
      <c r="O361" s="15">
        <f>SalesData[[#This Row],[Quantity Sold]] * SalesData[[#This Row],[Unit Cost]]</f>
        <v>21.42</v>
      </c>
      <c r="P361" s="15">
        <f>SalesData[[#This Row],[Revenue]] - SalesData[[#This Row],[Cost]]</f>
        <v>48.58</v>
      </c>
      <c r="Q361" s="13">
        <f>IF(SalesData[[#This Row],[Revenue]]=0,0,SalesData[[#This Row],[Profit]]/SalesData[[#This Row],[Revenue]])</f>
        <v>0.69399999999999995</v>
      </c>
      <c r="R361" t="s">
        <v>1210</v>
      </c>
      <c r="S361" t="s">
        <v>1409</v>
      </c>
      <c r="T361" t="str">
        <f>PROPER(SalesData[[#This Row],[Customer Name]])</f>
        <v>Liam Miller</v>
      </c>
      <c r="U361" t="s">
        <v>1414</v>
      </c>
      <c r="V361" t="s">
        <v>1426</v>
      </c>
    </row>
    <row r="362" spans="1:22" x14ac:dyDescent="0.25">
      <c r="A362" t="s">
        <v>1788</v>
      </c>
      <c r="B362" s="5">
        <v>45414</v>
      </c>
      <c r="C362" s="2" t="str">
        <f>TEXT(SalesData[[#This Row],[Order Date]],"mmm")</f>
        <v>May</v>
      </c>
      <c r="D362" s="7">
        <f>MONTH(SalesData[[#This Row],[Order Date]])</f>
        <v>5</v>
      </c>
      <c r="E362" s="7">
        <f>YEAR(SalesData[[#This Row],[Order Date]])</f>
        <v>2024</v>
      </c>
      <c r="F362" t="s">
        <v>751</v>
      </c>
      <c r="G362" t="str">
        <f>PROPER(SalesData[[#This Row],[Product Name]])</f>
        <v>Solar Led Lantern</v>
      </c>
      <c r="H362" t="s">
        <v>1012</v>
      </c>
      <c r="I362" t="str">
        <f>UPPER(SalesData[[#This Row],[Product Category]])</f>
        <v>LIGHTING</v>
      </c>
      <c r="J362">
        <v>9</v>
      </c>
      <c r="K362">
        <v>40</v>
      </c>
      <c r="L362" s="15">
        <f>IF(SalesData[[#This Row],[Unit Price]]="",
    AVERAGEIFS(SalesData[Unit Price],
               SalesData[Product Name],SalesData[[#This Row],[Product Name]]),
    SalesData[[#This Row],[Unit Price]])</f>
        <v>40</v>
      </c>
      <c r="M362" s="15">
        <v>9.19</v>
      </c>
      <c r="N362" s="15">
        <f>SalesData[[#This Row],[Quantity Sold]] * SalesData[[#This Row],[Cleaned Unit Price]]</f>
        <v>360</v>
      </c>
      <c r="O362" s="15">
        <f>SalesData[[#This Row],[Quantity Sold]] * SalesData[[#This Row],[Unit Cost]]</f>
        <v>82.71</v>
      </c>
      <c r="P362" s="15">
        <f>SalesData[[#This Row],[Revenue]] - SalesData[[#This Row],[Cost]]</f>
        <v>277.29000000000002</v>
      </c>
      <c r="Q362" s="13">
        <f>IF(SalesData[[#This Row],[Revenue]]=0,0,SalesData[[#This Row],[Profit]]/SalesData[[#This Row],[Revenue]])</f>
        <v>0.7702500000000001</v>
      </c>
      <c r="R362" t="s">
        <v>1088</v>
      </c>
      <c r="S362" t="s">
        <v>1287</v>
      </c>
      <c r="T362" t="str">
        <f>PROPER(SalesData[[#This Row],[Customer Name]])</f>
        <v>Evelyn Brown</v>
      </c>
      <c r="U362" t="s">
        <v>1416</v>
      </c>
      <c r="V362" t="s">
        <v>1418</v>
      </c>
    </row>
    <row r="363" spans="1:22" x14ac:dyDescent="0.25">
      <c r="A363" t="s">
        <v>1789</v>
      </c>
      <c r="B363" s="5">
        <v>45415</v>
      </c>
      <c r="C363" s="2" t="str">
        <f>TEXT(SalesData[[#This Row],[Order Date]],"mmm")</f>
        <v>May</v>
      </c>
      <c r="D363" s="7">
        <f>MONTH(SalesData[[#This Row],[Order Date]])</f>
        <v>5</v>
      </c>
      <c r="E363" s="7">
        <f>YEAR(SalesData[[#This Row],[Order Date]])</f>
        <v>2024</v>
      </c>
      <c r="F363" t="s">
        <v>327</v>
      </c>
      <c r="G363" t="str">
        <f>PROPER(SalesData[[#This Row],[Product Name]])</f>
        <v>Solar Led Lantern</v>
      </c>
      <c r="H363" t="s">
        <v>1012</v>
      </c>
      <c r="I363" t="str">
        <f>UPPER(SalesData[[#This Row],[Product Category]])</f>
        <v>LIGHTING</v>
      </c>
      <c r="J363">
        <v>4</v>
      </c>
      <c r="K363">
        <v>40</v>
      </c>
      <c r="L363" s="15">
        <f>IF(SalesData[[#This Row],[Unit Price]]="",
    AVERAGEIFS(SalesData[Unit Price],
               SalesData[Product Name],SalesData[[#This Row],[Product Name]]),
    SalesData[[#This Row],[Unit Price]])</f>
        <v>40</v>
      </c>
      <c r="M363" s="15">
        <v>13.33</v>
      </c>
      <c r="N363" s="15">
        <f>SalesData[[#This Row],[Quantity Sold]] * SalesData[[#This Row],[Cleaned Unit Price]]</f>
        <v>160</v>
      </c>
      <c r="O363" s="15">
        <f>SalesData[[#This Row],[Quantity Sold]] * SalesData[[#This Row],[Unit Cost]]</f>
        <v>53.32</v>
      </c>
      <c r="P363" s="15">
        <f>SalesData[[#This Row],[Revenue]] - SalesData[[#This Row],[Cost]]</f>
        <v>106.68</v>
      </c>
      <c r="Q363" s="13">
        <f>IF(SalesData[[#This Row],[Revenue]]=0,0,SalesData[[#This Row],[Profit]]/SalesData[[#This Row],[Revenue]])</f>
        <v>0.66675000000000006</v>
      </c>
      <c r="R363" t="s">
        <v>1173</v>
      </c>
      <c r="S363" t="s">
        <v>1372</v>
      </c>
      <c r="T363" t="str">
        <f>PROPER(SalesData[[#This Row],[Customer Name]])</f>
        <v>Harper Jones</v>
      </c>
      <c r="U363" t="s">
        <v>1417</v>
      </c>
      <c r="V363" t="s">
        <v>1426</v>
      </c>
    </row>
    <row r="364" spans="1:22" x14ac:dyDescent="0.25">
      <c r="A364" t="s">
        <v>1790</v>
      </c>
      <c r="B364" s="5">
        <v>45415</v>
      </c>
      <c r="C364" s="2" t="str">
        <f>TEXT(SalesData[[#This Row],[Order Date]],"mmm")</f>
        <v>May</v>
      </c>
      <c r="D364" s="7">
        <f>MONTH(SalesData[[#This Row],[Order Date]])</f>
        <v>5</v>
      </c>
      <c r="E364" s="7">
        <f>YEAR(SalesData[[#This Row],[Order Date]])</f>
        <v>2024</v>
      </c>
      <c r="F364" t="s">
        <v>342</v>
      </c>
      <c r="G364" t="str">
        <f>PROPER(SalesData[[#This Row],[Product Name]])</f>
        <v>Solar Led Lantern</v>
      </c>
      <c r="H364" t="s">
        <v>1012</v>
      </c>
      <c r="I364" t="str">
        <f>UPPER(SalesData[[#This Row],[Product Category]])</f>
        <v>LIGHTING</v>
      </c>
      <c r="J364">
        <v>1</v>
      </c>
      <c r="K364">
        <v>40</v>
      </c>
      <c r="L364" s="15">
        <f>IF(SalesData[[#This Row],[Unit Price]]="",
    AVERAGEIFS(SalesData[Unit Price],
               SalesData[Product Name],SalesData[[#This Row],[Product Name]]),
    SalesData[[#This Row],[Unit Price]])</f>
        <v>40</v>
      </c>
      <c r="M364" s="15">
        <v>9.2200000000000006</v>
      </c>
      <c r="N364" s="15">
        <f>SalesData[[#This Row],[Quantity Sold]] * SalesData[[#This Row],[Cleaned Unit Price]]</f>
        <v>40</v>
      </c>
      <c r="O364" s="15">
        <f>SalesData[[#This Row],[Quantity Sold]] * SalesData[[#This Row],[Unit Cost]]</f>
        <v>9.2200000000000006</v>
      </c>
      <c r="P364" s="15">
        <f>SalesData[[#This Row],[Revenue]] - SalesData[[#This Row],[Cost]]</f>
        <v>30.78</v>
      </c>
      <c r="Q364" s="13">
        <f>IF(SalesData[[#This Row],[Revenue]]=0,0,SalesData[[#This Row],[Profit]]/SalesData[[#This Row],[Revenue]])</f>
        <v>0.76950000000000007</v>
      </c>
      <c r="R364" t="s">
        <v>1081</v>
      </c>
      <c r="S364" t="s">
        <v>1280</v>
      </c>
      <c r="T364" t="str">
        <f>PROPER(SalesData[[#This Row],[Customer Name]])</f>
        <v>James Brown</v>
      </c>
      <c r="U364" t="s">
        <v>1414</v>
      </c>
      <c r="V364" t="s">
        <v>1419</v>
      </c>
    </row>
    <row r="365" spans="1:22" x14ac:dyDescent="0.25">
      <c r="A365" t="s">
        <v>1791</v>
      </c>
      <c r="B365" s="5">
        <v>45415</v>
      </c>
      <c r="C365" s="2" t="str">
        <f>TEXT(SalesData[[#This Row],[Order Date]],"mmm")</f>
        <v>May</v>
      </c>
      <c r="D365" s="7">
        <f>MONTH(SalesData[[#This Row],[Order Date]])</f>
        <v>5</v>
      </c>
      <c r="E365" s="7">
        <f>YEAR(SalesData[[#This Row],[Order Date]])</f>
        <v>2024</v>
      </c>
      <c r="F365" t="s">
        <v>382</v>
      </c>
      <c r="G365" t="str">
        <f>PROPER(SalesData[[#This Row],[Product Name]])</f>
        <v>Eco Canvas Tote Bag</v>
      </c>
      <c r="H365" t="s">
        <v>1013</v>
      </c>
      <c r="I365" t="str">
        <f>UPPER(SalesData[[#This Row],[Product Category]])</f>
        <v>BAGS</v>
      </c>
      <c r="J365">
        <v>7</v>
      </c>
      <c r="K365">
        <v>25</v>
      </c>
      <c r="L365" s="15">
        <f>IF(SalesData[[#This Row],[Unit Price]]="",
    AVERAGEIFS(SalesData[Unit Price],
               SalesData[Product Name],SalesData[[#This Row],[Product Name]]),
    SalesData[[#This Row],[Unit Price]])</f>
        <v>25</v>
      </c>
      <c r="M365" s="15">
        <v>7.3</v>
      </c>
      <c r="N365" s="15">
        <f>SalesData[[#This Row],[Quantity Sold]] * SalesData[[#This Row],[Cleaned Unit Price]]</f>
        <v>175</v>
      </c>
      <c r="O365" s="15">
        <f>SalesData[[#This Row],[Quantity Sold]] * SalesData[[#This Row],[Unit Cost]]</f>
        <v>51.1</v>
      </c>
      <c r="P365" s="15">
        <f>SalesData[[#This Row],[Revenue]] - SalesData[[#This Row],[Cost]]</f>
        <v>123.9</v>
      </c>
      <c r="Q365" s="13">
        <f>IF(SalesData[[#This Row],[Revenue]]=0,0,SalesData[[#This Row],[Profit]]/SalesData[[#This Row],[Revenue]])</f>
        <v>0.70800000000000007</v>
      </c>
      <c r="R365" t="s">
        <v>1183</v>
      </c>
      <c r="S365" t="s">
        <v>1382</v>
      </c>
      <c r="T365" t="str">
        <f>PROPER(SalesData[[#This Row],[Customer Name]])</f>
        <v>Logan Rodriguez</v>
      </c>
      <c r="U365" t="s">
        <v>1414</v>
      </c>
      <c r="V365" t="s">
        <v>1419</v>
      </c>
    </row>
    <row r="366" spans="1:22" x14ac:dyDescent="0.25">
      <c r="A366" t="s">
        <v>1792</v>
      </c>
      <c r="B366" s="5">
        <v>45415</v>
      </c>
      <c r="C366" s="2" t="str">
        <f>TEXT(SalesData[[#This Row],[Order Date]],"mmm")</f>
        <v>May</v>
      </c>
      <c r="D366" s="7">
        <f>MONTH(SalesData[[#This Row],[Order Date]])</f>
        <v>5</v>
      </c>
      <c r="E366" s="7">
        <f>YEAR(SalesData[[#This Row],[Order Date]])</f>
        <v>2024</v>
      </c>
      <c r="F366" t="s">
        <v>452</v>
      </c>
      <c r="G366" t="str">
        <f>PROPER(SalesData[[#This Row],[Product Name]])</f>
        <v>Reusable Bamboo Utensil Set</v>
      </c>
      <c r="H366" t="s">
        <v>1014</v>
      </c>
      <c r="I366" t="str">
        <f>UPPER(SalesData[[#This Row],[Product Category]])</f>
        <v>KITCHENWARE</v>
      </c>
      <c r="J366">
        <v>4</v>
      </c>
      <c r="K366">
        <v>15</v>
      </c>
      <c r="L366" s="15">
        <f>IF(SalesData[[#This Row],[Unit Price]]="",
    AVERAGEIFS(SalesData[Unit Price],
               SalesData[Product Name],SalesData[[#This Row],[Product Name]]),
    SalesData[[#This Row],[Unit Price]])</f>
        <v>15</v>
      </c>
      <c r="M366" s="15">
        <v>3.43</v>
      </c>
      <c r="N366" s="15">
        <f>SalesData[[#This Row],[Quantity Sold]] * SalesData[[#This Row],[Cleaned Unit Price]]</f>
        <v>60</v>
      </c>
      <c r="O366" s="15">
        <f>SalesData[[#This Row],[Quantity Sold]] * SalesData[[#This Row],[Unit Cost]]</f>
        <v>13.72</v>
      </c>
      <c r="P366" s="15">
        <f>SalesData[[#This Row],[Revenue]] - SalesData[[#This Row],[Cost]]</f>
        <v>46.28</v>
      </c>
      <c r="Q366" s="13">
        <f>IF(SalesData[[#This Row],[Revenue]]=0,0,SalesData[[#This Row],[Profit]]/SalesData[[#This Row],[Revenue]])</f>
        <v>0.77133333333333332</v>
      </c>
      <c r="R366" t="s">
        <v>1183</v>
      </c>
      <c r="S366" t="s">
        <v>1382</v>
      </c>
      <c r="T366" t="str">
        <f>PROPER(SalesData[[#This Row],[Customer Name]])</f>
        <v>Logan Rodriguez</v>
      </c>
      <c r="U366" t="s">
        <v>1414</v>
      </c>
      <c r="V366" t="s">
        <v>1421</v>
      </c>
    </row>
    <row r="367" spans="1:22" x14ac:dyDescent="0.25">
      <c r="A367" t="s">
        <v>1793</v>
      </c>
      <c r="B367" s="5">
        <v>45415</v>
      </c>
      <c r="C367" s="2" t="str">
        <f>TEXT(SalesData[[#This Row],[Order Date]],"mmm")</f>
        <v>May</v>
      </c>
      <c r="D367" s="7">
        <f>MONTH(SalesData[[#This Row],[Order Date]])</f>
        <v>5</v>
      </c>
      <c r="E367" s="7">
        <f>YEAR(SalesData[[#This Row],[Order Date]])</f>
        <v>2024</v>
      </c>
      <c r="F367" t="s">
        <v>567</v>
      </c>
      <c r="G367" t="str">
        <f>PROPER(SalesData[[#This Row],[Product Name]])</f>
        <v>Compostable Plant Pots</v>
      </c>
      <c r="H367" t="s">
        <v>1011</v>
      </c>
      <c r="I367" t="str">
        <f>UPPER(SalesData[[#This Row],[Product Category]])</f>
        <v>GARDENING</v>
      </c>
      <c r="J367">
        <v>5</v>
      </c>
      <c r="K367">
        <v>12</v>
      </c>
      <c r="L367" s="15">
        <f>IF(SalesData[[#This Row],[Unit Price]]="",
    AVERAGEIFS(SalesData[Unit Price],
               SalesData[Product Name],SalesData[[#This Row],[Product Name]]),
    SalesData[[#This Row],[Unit Price]])</f>
        <v>12</v>
      </c>
      <c r="M367" s="15">
        <v>3.51</v>
      </c>
      <c r="N367" s="15">
        <f>SalesData[[#This Row],[Quantity Sold]] * SalesData[[#This Row],[Cleaned Unit Price]]</f>
        <v>60</v>
      </c>
      <c r="O367" s="15">
        <f>SalesData[[#This Row],[Quantity Sold]] * SalesData[[#This Row],[Unit Cost]]</f>
        <v>17.549999999999997</v>
      </c>
      <c r="P367" s="15">
        <f>SalesData[[#This Row],[Revenue]] - SalesData[[#This Row],[Cost]]</f>
        <v>42.45</v>
      </c>
      <c r="Q367" s="13">
        <f>IF(SalesData[[#This Row],[Revenue]]=0,0,SalesData[[#This Row],[Profit]]/SalesData[[#This Row],[Revenue]])</f>
        <v>0.70750000000000002</v>
      </c>
      <c r="R367" t="s">
        <v>1034</v>
      </c>
      <c r="S367" t="s">
        <v>1233</v>
      </c>
      <c r="T367" t="str">
        <f>PROPER(SalesData[[#This Row],[Customer Name]])</f>
        <v>Liam Garcia</v>
      </c>
      <c r="U367" t="s">
        <v>1415</v>
      </c>
      <c r="V367" t="s">
        <v>1421</v>
      </c>
    </row>
    <row r="368" spans="1:22" x14ac:dyDescent="0.25">
      <c r="A368" t="s">
        <v>1794</v>
      </c>
      <c r="B368" s="5">
        <v>45415</v>
      </c>
      <c r="C368" s="2" t="str">
        <f>TEXT(SalesData[[#This Row],[Order Date]],"mmm")</f>
        <v>May</v>
      </c>
      <c r="D368" s="7">
        <f>MONTH(SalesData[[#This Row],[Order Date]])</f>
        <v>5</v>
      </c>
      <c r="E368" s="7">
        <f>YEAR(SalesData[[#This Row],[Order Date]])</f>
        <v>2024</v>
      </c>
      <c r="F368" t="s">
        <v>846</v>
      </c>
      <c r="G368" t="str">
        <f>PROPER(SalesData[[#This Row],[Product Name]])</f>
        <v>Reusable Bamboo Utensil Set</v>
      </c>
      <c r="H368" t="s">
        <v>1014</v>
      </c>
      <c r="I368" t="str">
        <f>UPPER(SalesData[[#This Row],[Product Category]])</f>
        <v>KITCHENWARE</v>
      </c>
      <c r="J368">
        <v>8</v>
      </c>
      <c r="L368" s="15">
        <f>IF(SalesData[[#This Row],[Unit Price]]="",
    AVERAGEIFS(SalesData[Unit Price],
               SalesData[Product Name],SalesData[[#This Row],[Product Name]]),
    SalesData[[#This Row],[Unit Price]])</f>
        <v>15</v>
      </c>
      <c r="M368" s="15">
        <v>4.95</v>
      </c>
      <c r="N368" s="15">
        <f>SalesData[[#This Row],[Quantity Sold]] * SalesData[[#This Row],[Cleaned Unit Price]]</f>
        <v>120</v>
      </c>
      <c r="O368" s="15">
        <f>SalesData[[#This Row],[Quantity Sold]] * SalesData[[#This Row],[Unit Cost]]</f>
        <v>39.6</v>
      </c>
      <c r="P368" s="15">
        <f>SalesData[[#This Row],[Revenue]] - SalesData[[#This Row],[Cost]]</f>
        <v>80.400000000000006</v>
      </c>
      <c r="Q368" s="13">
        <f>IF(SalesData[[#This Row],[Revenue]]=0,0,SalesData[[#This Row],[Profit]]/SalesData[[#This Row],[Revenue]])</f>
        <v>0.67</v>
      </c>
      <c r="R368" t="s">
        <v>1031</v>
      </c>
      <c r="S368" t="s">
        <v>1230</v>
      </c>
      <c r="T368" t="str">
        <f>PROPER(SalesData[[#This Row],[Customer Name]])</f>
        <v>Mason Rodriguez</v>
      </c>
      <c r="U368" t="s">
        <v>1414</v>
      </c>
      <c r="V368" t="s">
        <v>1427</v>
      </c>
    </row>
    <row r="369" spans="1:22" x14ac:dyDescent="0.25">
      <c r="A369" t="s">
        <v>1795</v>
      </c>
      <c r="B369" s="5">
        <v>45416</v>
      </c>
      <c r="C369" s="2" t="str">
        <f>TEXT(SalesData[[#This Row],[Order Date]],"mmm")</f>
        <v>May</v>
      </c>
      <c r="D369" s="7">
        <f>MONTH(SalesData[[#This Row],[Order Date]])</f>
        <v>5</v>
      </c>
      <c r="E369" s="7">
        <f>YEAR(SalesData[[#This Row],[Order Date]])</f>
        <v>2024</v>
      </c>
      <c r="F369" t="s">
        <v>40</v>
      </c>
      <c r="G369" t="str">
        <f>PROPER(SalesData[[#This Row],[Product Name]])</f>
        <v>Reusable Bamboo Utensil Set</v>
      </c>
      <c r="H369" t="s">
        <v>1014</v>
      </c>
      <c r="I369" t="str">
        <f>UPPER(SalesData[[#This Row],[Product Category]])</f>
        <v>KITCHENWARE</v>
      </c>
      <c r="J369">
        <v>1</v>
      </c>
      <c r="K369">
        <v>15</v>
      </c>
      <c r="L369" s="15">
        <f>IF(SalesData[[#This Row],[Unit Price]]="",
    AVERAGEIFS(SalesData[Unit Price],
               SalesData[Product Name],SalesData[[#This Row],[Product Name]]),
    SalesData[[#This Row],[Unit Price]])</f>
        <v>15</v>
      </c>
      <c r="M369" s="15">
        <v>4</v>
      </c>
      <c r="N369" s="15">
        <f>SalesData[[#This Row],[Quantity Sold]] * SalesData[[#This Row],[Cleaned Unit Price]]</f>
        <v>15</v>
      </c>
      <c r="O369" s="15">
        <f>SalesData[[#This Row],[Quantity Sold]] * SalesData[[#This Row],[Unit Cost]]</f>
        <v>4</v>
      </c>
      <c r="P369" s="15">
        <f>SalesData[[#This Row],[Revenue]] - SalesData[[#This Row],[Cost]]</f>
        <v>11</v>
      </c>
      <c r="Q369" s="13">
        <f>IF(SalesData[[#This Row],[Revenue]]=0,0,SalesData[[#This Row],[Profit]]/SalesData[[#This Row],[Revenue]])</f>
        <v>0.73333333333333328</v>
      </c>
      <c r="R369" t="s">
        <v>1020</v>
      </c>
      <c r="S369" t="s">
        <v>1219</v>
      </c>
      <c r="T369" t="str">
        <f>PROPER(SalesData[[#This Row],[Customer Name]])</f>
        <v>Noah Garcia</v>
      </c>
      <c r="U369" t="s">
        <v>1415</v>
      </c>
      <c r="V369" t="s">
        <v>1424</v>
      </c>
    </row>
    <row r="370" spans="1:22" x14ac:dyDescent="0.25">
      <c r="A370" t="s">
        <v>1796</v>
      </c>
      <c r="B370" s="5">
        <v>45416</v>
      </c>
      <c r="C370" s="2" t="str">
        <f>TEXT(SalesData[[#This Row],[Order Date]],"mmm")</f>
        <v>May</v>
      </c>
      <c r="D370" s="7">
        <f>MONTH(SalesData[[#This Row],[Order Date]])</f>
        <v>5</v>
      </c>
      <c r="E370" s="7">
        <f>YEAR(SalesData[[#This Row],[Order Date]])</f>
        <v>2024</v>
      </c>
      <c r="F370" t="s">
        <v>740</v>
      </c>
      <c r="G370" t="str">
        <f>PROPER(SalesData[[#This Row],[Product Name]])</f>
        <v>Eco Canvas Tote Bag</v>
      </c>
      <c r="H370" t="s">
        <v>1013</v>
      </c>
      <c r="I370" t="str">
        <f>UPPER(SalesData[[#This Row],[Product Category]])</f>
        <v>BAGS</v>
      </c>
      <c r="J370">
        <v>3</v>
      </c>
      <c r="K370">
        <v>25</v>
      </c>
      <c r="L370" s="15">
        <f>IF(SalesData[[#This Row],[Unit Price]]="",
    AVERAGEIFS(SalesData[Unit Price],
               SalesData[Product Name],SalesData[[#This Row],[Product Name]]),
    SalesData[[#This Row],[Unit Price]])</f>
        <v>25</v>
      </c>
      <c r="M370" s="15">
        <v>5.04</v>
      </c>
      <c r="N370" s="15">
        <f>SalesData[[#This Row],[Quantity Sold]] * SalesData[[#This Row],[Cleaned Unit Price]]</f>
        <v>75</v>
      </c>
      <c r="O370" s="15">
        <f>SalesData[[#This Row],[Quantity Sold]] * SalesData[[#This Row],[Unit Cost]]</f>
        <v>15.120000000000001</v>
      </c>
      <c r="P370" s="15">
        <f>SalesData[[#This Row],[Revenue]] - SalesData[[#This Row],[Cost]]</f>
        <v>59.879999999999995</v>
      </c>
      <c r="Q370" s="13">
        <f>IF(SalesData[[#This Row],[Revenue]]=0,0,SalesData[[#This Row],[Profit]]/SalesData[[#This Row],[Revenue]])</f>
        <v>0.79839999999999989</v>
      </c>
      <c r="R370" t="s">
        <v>1146</v>
      </c>
      <c r="S370" t="s">
        <v>1345</v>
      </c>
      <c r="T370" t="str">
        <f>PROPER(SalesData[[#This Row],[Customer Name]])</f>
        <v>Logan Martinez</v>
      </c>
      <c r="U370" t="s">
        <v>1416</v>
      </c>
      <c r="V370" t="s">
        <v>1424</v>
      </c>
    </row>
    <row r="371" spans="1:22" x14ac:dyDescent="0.25">
      <c r="A371" t="s">
        <v>1797</v>
      </c>
      <c r="B371" s="5">
        <v>45416</v>
      </c>
      <c r="C371" s="2" t="str">
        <f>TEXT(SalesData[[#This Row],[Order Date]],"mmm")</f>
        <v>May</v>
      </c>
      <c r="D371" s="7">
        <f>MONTH(SalesData[[#This Row],[Order Date]])</f>
        <v>5</v>
      </c>
      <c r="E371" s="7">
        <f>YEAR(SalesData[[#This Row],[Order Date]])</f>
        <v>2024</v>
      </c>
      <c r="F371" t="s">
        <v>835</v>
      </c>
      <c r="G371" t="str">
        <f>PROPER(SalesData[[#This Row],[Product Name]])</f>
        <v>Compostable Plant Pots</v>
      </c>
      <c r="H371" t="s">
        <v>1011</v>
      </c>
      <c r="I371" t="str">
        <f>UPPER(SalesData[[#This Row],[Product Category]])</f>
        <v>GARDENING</v>
      </c>
      <c r="J371">
        <v>3</v>
      </c>
      <c r="K371">
        <v>12</v>
      </c>
      <c r="L371" s="15">
        <f>IF(SalesData[[#This Row],[Unit Price]]="",
    AVERAGEIFS(SalesData[Unit Price],
               SalesData[Product Name],SalesData[[#This Row],[Product Name]]),
    SalesData[[#This Row],[Unit Price]])</f>
        <v>12</v>
      </c>
      <c r="M371" s="15">
        <v>4.1399999999999997</v>
      </c>
      <c r="N371" s="15">
        <f>SalesData[[#This Row],[Quantity Sold]] * SalesData[[#This Row],[Cleaned Unit Price]]</f>
        <v>36</v>
      </c>
      <c r="O371" s="15">
        <f>SalesData[[#This Row],[Quantity Sold]] * SalesData[[#This Row],[Unit Cost]]</f>
        <v>12.419999999999998</v>
      </c>
      <c r="P371" s="15">
        <f>SalesData[[#This Row],[Revenue]] - SalesData[[#This Row],[Cost]]</f>
        <v>23.580000000000002</v>
      </c>
      <c r="Q371" s="13">
        <f>IF(SalesData[[#This Row],[Revenue]]=0,0,SalesData[[#This Row],[Profit]]/SalesData[[#This Row],[Revenue]])</f>
        <v>0.65500000000000003</v>
      </c>
      <c r="R371" t="s">
        <v>1038</v>
      </c>
      <c r="S371" t="s">
        <v>1237</v>
      </c>
      <c r="T371" t="str">
        <f>PROPER(SalesData[[#This Row],[Customer Name]])</f>
        <v>Harper Garcia</v>
      </c>
      <c r="U371" t="s">
        <v>1416</v>
      </c>
      <c r="V371" t="s">
        <v>1425</v>
      </c>
    </row>
    <row r="372" spans="1:22" x14ac:dyDescent="0.25">
      <c r="A372" t="s">
        <v>1798</v>
      </c>
      <c r="B372" s="5">
        <v>45417</v>
      </c>
      <c r="C372" s="2" t="str">
        <f>TEXT(SalesData[[#This Row],[Order Date]],"mmm")</f>
        <v>May</v>
      </c>
      <c r="D372" s="7">
        <f>MONTH(SalesData[[#This Row],[Order Date]])</f>
        <v>5</v>
      </c>
      <c r="E372" s="7">
        <f>YEAR(SalesData[[#This Row],[Order Date]])</f>
        <v>2024</v>
      </c>
      <c r="F372" t="s">
        <v>168</v>
      </c>
      <c r="G372" t="str">
        <f>PROPER(SalesData[[#This Row],[Product Name]])</f>
        <v>Eco Canvas Tote Bag</v>
      </c>
      <c r="H372" t="s">
        <v>1013</v>
      </c>
      <c r="I372" t="str">
        <f>UPPER(SalesData[[#This Row],[Product Category]])</f>
        <v>BAGS</v>
      </c>
      <c r="J372">
        <v>2</v>
      </c>
      <c r="K372">
        <v>25</v>
      </c>
      <c r="L372" s="15">
        <f>IF(SalesData[[#This Row],[Unit Price]]="",
    AVERAGEIFS(SalesData[Unit Price],
               SalesData[Product Name],SalesData[[#This Row],[Product Name]]),
    SalesData[[#This Row],[Unit Price]])</f>
        <v>25</v>
      </c>
      <c r="M372" s="15">
        <v>9.6199999999999992</v>
      </c>
      <c r="N372" s="15">
        <f>SalesData[[#This Row],[Quantity Sold]] * SalesData[[#This Row],[Cleaned Unit Price]]</f>
        <v>50</v>
      </c>
      <c r="O372" s="15">
        <f>SalesData[[#This Row],[Quantity Sold]] * SalesData[[#This Row],[Unit Cost]]</f>
        <v>19.239999999999998</v>
      </c>
      <c r="P372" s="15">
        <f>SalesData[[#This Row],[Revenue]] - SalesData[[#This Row],[Cost]]</f>
        <v>30.76</v>
      </c>
      <c r="Q372" s="13">
        <f>IF(SalesData[[#This Row],[Revenue]]=0,0,SalesData[[#This Row],[Profit]]/SalesData[[#This Row],[Revenue]])</f>
        <v>0.61520000000000008</v>
      </c>
      <c r="R372" t="s">
        <v>1037</v>
      </c>
      <c r="S372" t="s">
        <v>1236</v>
      </c>
      <c r="T372" t="str">
        <f>PROPER(SalesData[[#This Row],[Customer Name]])</f>
        <v>Amelia Johnson</v>
      </c>
      <c r="U372" t="s">
        <v>1416</v>
      </c>
      <c r="V372" t="s">
        <v>1422</v>
      </c>
    </row>
    <row r="373" spans="1:22" x14ac:dyDescent="0.25">
      <c r="A373" t="s">
        <v>1799</v>
      </c>
      <c r="B373" s="5">
        <v>45417</v>
      </c>
      <c r="C373" s="2" t="str">
        <f>TEXT(SalesData[[#This Row],[Order Date]],"mmm")</f>
        <v>May</v>
      </c>
      <c r="D373" s="7">
        <f>MONTH(SalesData[[#This Row],[Order Date]])</f>
        <v>5</v>
      </c>
      <c r="E373" s="7">
        <f>YEAR(SalesData[[#This Row],[Order Date]])</f>
        <v>2024</v>
      </c>
      <c r="F373" t="s">
        <v>302</v>
      </c>
      <c r="G373" t="str">
        <f>PROPER(SalesData[[#This Row],[Product Name]])</f>
        <v>Solar Led Lantern</v>
      </c>
      <c r="H373" t="s">
        <v>1012</v>
      </c>
      <c r="I373" t="str">
        <f>UPPER(SalesData[[#This Row],[Product Category]])</f>
        <v>LIGHTING</v>
      </c>
      <c r="J373">
        <v>6</v>
      </c>
      <c r="K373">
        <v>40</v>
      </c>
      <c r="L373" s="15">
        <f>IF(SalesData[[#This Row],[Unit Price]]="",
    AVERAGEIFS(SalesData[Unit Price],
               SalesData[Product Name],SalesData[[#This Row],[Product Name]]),
    SalesData[[#This Row],[Unit Price]])</f>
        <v>40</v>
      </c>
      <c r="M373" s="15">
        <v>15.42</v>
      </c>
      <c r="N373" s="15">
        <f>SalesData[[#This Row],[Quantity Sold]] * SalesData[[#This Row],[Cleaned Unit Price]]</f>
        <v>240</v>
      </c>
      <c r="O373" s="15">
        <f>SalesData[[#This Row],[Quantity Sold]] * SalesData[[#This Row],[Unit Cost]]</f>
        <v>92.52</v>
      </c>
      <c r="P373" s="15">
        <f>SalesData[[#This Row],[Revenue]] - SalesData[[#This Row],[Cost]]</f>
        <v>147.48000000000002</v>
      </c>
      <c r="Q373" s="13">
        <f>IF(SalesData[[#This Row],[Revenue]]=0,0,SalesData[[#This Row],[Profit]]/SalesData[[#This Row],[Revenue]])</f>
        <v>0.61450000000000005</v>
      </c>
      <c r="R373" t="s">
        <v>1043</v>
      </c>
      <c r="S373" t="s">
        <v>1242</v>
      </c>
      <c r="T373" t="str">
        <f>PROPER(SalesData[[#This Row],[Customer Name]])</f>
        <v>Ethan Miller</v>
      </c>
      <c r="U373" t="s">
        <v>1414</v>
      </c>
      <c r="V373" t="s">
        <v>1422</v>
      </c>
    </row>
    <row r="374" spans="1:22" x14ac:dyDescent="0.25">
      <c r="A374" t="s">
        <v>1800</v>
      </c>
      <c r="B374" s="5">
        <v>45417</v>
      </c>
      <c r="C374" s="2" t="str">
        <f>TEXT(SalesData[[#This Row],[Order Date]],"mmm")</f>
        <v>May</v>
      </c>
      <c r="D374" s="7">
        <f>MONTH(SalesData[[#This Row],[Order Date]])</f>
        <v>5</v>
      </c>
      <c r="E374" s="7">
        <f>YEAR(SalesData[[#This Row],[Order Date]])</f>
        <v>2024</v>
      </c>
      <c r="F374" t="s">
        <v>610</v>
      </c>
      <c r="G374" t="str">
        <f>PROPER(SalesData[[#This Row],[Product Name]])</f>
        <v>Biodegradable Cleaning Cloth</v>
      </c>
      <c r="H374" t="s">
        <v>1015</v>
      </c>
      <c r="I374" t="str">
        <f>UPPER(SalesData[[#This Row],[Product Category]])</f>
        <v>CLEANING</v>
      </c>
      <c r="J374">
        <v>9</v>
      </c>
      <c r="L374" s="15">
        <f>IF(SalesData[[#This Row],[Unit Price]]="",
    AVERAGEIFS(SalesData[Unit Price],
               SalesData[Product Name],SalesData[[#This Row],[Product Name]]),
    SalesData[[#This Row],[Unit Price]])</f>
        <v>10</v>
      </c>
      <c r="M374" s="15">
        <v>3.13</v>
      </c>
      <c r="N374" s="15">
        <f>SalesData[[#This Row],[Quantity Sold]] * SalesData[[#This Row],[Cleaned Unit Price]]</f>
        <v>90</v>
      </c>
      <c r="O374" s="15">
        <f>SalesData[[#This Row],[Quantity Sold]] * SalesData[[#This Row],[Unit Cost]]</f>
        <v>28.169999999999998</v>
      </c>
      <c r="P374" s="15">
        <f>SalesData[[#This Row],[Revenue]] - SalesData[[#This Row],[Cost]]</f>
        <v>61.83</v>
      </c>
      <c r="Q374" s="13">
        <f>IF(SalesData[[#This Row],[Revenue]]=0,0,SalesData[[#This Row],[Profit]]/SalesData[[#This Row],[Revenue]])</f>
        <v>0.68699999999999994</v>
      </c>
      <c r="R374" t="s">
        <v>1121</v>
      </c>
      <c r="S374" t="s">
        <v>1320</v>
      </c>
      <c r="T374" t="str">
        <f>PROPER(SalesData[[#This Row],[Customer Name]])</f>
        <v>Mason Williams</v>
      </c>
      <c r="U374" t="s">
        <v>1414</v>
      </c>
      <c r="V374" t="s">
        <v>1419</v>
      </c>
    </row>
    <row r="375" spans="1:22" x14ac:dyDescent="0.25">
      <c r="A375" t="s">
        <v>1801</v>
      </c>
      <c r="B375" s="5">
        <v>45417</v>
      </c>
      <c r="C375" s="2" t="str">
        <f>TEXT(SalesData[[#This Row],[Order Date]],"mmm")</f>
        <v>May</v>
      </c>
      <c r="D375" s="7">
        <f>MONTH(SalesData[[#This Row],[Order Date]])</f>
        <v>5</v>
      </c>
      <c r="E375" s="7">
        <f>YEAR(SalesData[[#This Row],[Order Date]])</f>
        <v>2024</v>
      </c>
      <c r="F375" t="s">
        <v>972</v>
      </c>
      <c r="G375" t="str">
        <f>PROPER(SalesData[[#This Row],[Product Name]])</f>
        <v>Reusable Bamboo Utensil Set</v>
      </c>
      <c r="H375" t="s">
        <v>1014</v>
      </c>
      <c r="I375" t="str">
        <f>UPPER(SalesData[[#This Row],[Product Category]])</f>
        <v>KITCHENWARE</v>
      </c>
      <c r="J375">
        <v>10</v>
      </c>
      <c r="K375">
        <v>15</v>
      </c>
      <c r="L375" s="15">
        <f>IF(SalesData[[#This Row],[Unit Price]]="",
    AVERAGEIFS(SalesData[Unit Price],
               SalesData[Product Name],SalesData[[#This Row],[Product Name]]),
    SalesData[[#This Row],[Unit Price]])</f>
        <v>15</v>
      </c>
      <c r="M375" s="15">
        <v>4.9800000000000004</v>
      </c>
      <c r="N375" s="15">
        <f>SalesData[[#This Row],[Quantity Sold]] * SalesData[[#This Row],[Cleaned Unit Price]]</f>
        <v>150</v>
      </c>
      <c r="O375" s="15">
        <f>SalesData[[#This Row],[Quantity Sold]] * SalesData[[#This Row],[Unit Cost]]</f>
        <v>49.800000000000004</v>
      </c>
      <c r="P375" s="15">
        <f>SalesData[[#This Row],[Revenue]] - SalesData[[#This Row],[Cost]]</f>
        <v>100.19999999999999</v>
      </c>
      <c r="Q375" s="13">
        <f>IF(SalesData[[#This Row],[Revenue]]=0,0,SalesData[[#This Row],[Profit]]/SalesData[[#This Row],[Revenue]])</f>
        <v>0.66799999999999993</v>
      </c>
      <c r="R375" t="s">
        <v>1034</v>
      </c>
      <c r="S375" t="s">
        <v>1233</v>
      </c>
      <c r="T375" t="str">
        <f>PROPER(SalesData[[#This Row],[Customer Name]])</f>
        <v>Liam Garcia</v>
      </c>
      <c r="U375" t="s">
        <v>1414</v>
      </c>
      <c r="V375" t="s">
        <v>1419</v>
      </c>
    </row>
    <row r="376" spans="1:22" x14ac:dyDescent="0.25">
      <c r="A376" t="s">
        <v>1802</v>
      </c>
      <c r="B376" s="5">
        <v>45418</v>
      </c>
      <c r="C376" s="2" t="str">
        <f>TEXT(SalesData[[#This Row],[Order Date]],"mmm")</f>
        <v>May</v>
      </c>
      <c r="D376" s="7">
        <f>MONTH(SalesData[[#This Row],[Order Date]])</f>
        <v>5</v>
      </c>
      <c r="E376" s="7">
        <f>YEAR(SalesData[[#This Row],[Order Date]])</f>
        <v>2024</v>
      </c>
      <c r="F376" t="s">
        <v>44</v>
      </c>
      <c r="G376" t="str">
        <f>PROPER(SalesData[[#This Row],[Product Name]])</f>
        <v>Eco Canvas Tote Bag</v>
      </c>
      <c r="H376" t="s">
        <v>1013</v>
      </c>
      <c r="I376" t="str">
        <f>UPPER(SalesData[[#This Row],[Product Category]])</f>
        <v>BAGS</v>
      </c>
      <c r="J376">
        <v>2</v>
      </c>
      <c r="K376">
        <v>25</v>
      </c>
      <c r="L376" s="15">
        <f>IF(SalesData[[#This Row],[Unit Price]]="",
    AVERAGEIFS(SalesData[Unit Price],
               SalesData[Product Name],SalesData[[#This Row],[Product Name]]),
    SalesData[[#This Row],[Unit Price]])</f>
        <v>25</v>
      </c>
      <c r="M376" s="15">
        <v>9.25</v>
      </c>
      <c r="N376" s="15">
        <f>SalesData[[#This Row],[Quantity Sold]] * SalesData[[#This Row],[Cleaned Unit Price]]</f>
        <v>50</v>
      </c>
      <c r="O376" s="15">
        <f>SalesData[[#This Row],[Quantity Sold]] * SalesData[[#This Row],[Unit Cost]]</f>
        <v>18.5</v>
      </c>
      <c r="P376" s="15">
        <f>SalesData[[#This Row],[Revenue]] - SalesData[[#This Row],[Cost]]</f>
        <v>31.5</v>
      </c>
      <c r="Q376" s="13">
        <f>IF(SalesData[[#This Row],[Revenue]]=0,0,SalesData[[#This Row],[Profit]]/SalesData[[#This Row],[Revenue]])</f>
        <v>0.63</v>
      </c>
      <c r="R376" t="s">
        <v>1043</v>
      </c>
      <c r="S376" t="s">
        <v>1242</v>
      </c>
      <c r="T376" t="str">
        <f>PROPER(SalesData[[#This Row],[Customer Name]])</f>
        <v>Ethan Miller</v>
      </c>
      <c r="U376" t="s">
        <v>1415</v>
      </c>
      <c r="V376" t="s">
        <v>1420</v>
      </c>
    </row>
    <row r="377" spans="1:22" x14ac:dyDescent="0.25">
      <c r="A377" t="s">
        <v>1803</v>
      </c>
      <c r="B377" s="5">
        <v>45419</v>
      </c>
      <c r="C377" s="2" t="str">
        <f>TEXT(SalesData[[#This Row],[Order Date]],"mmm")</f>
        <v>May</v>
      </c>
      <c r="D377" s="7">
        <f>MONTH(SalesData[[#This Row],[Order Date]])</f>
        <v>5</v>
      </c>
      <c r="E377" s="7">
        <f>YEAR(SalesData[[#This Row],[Order Date]])</f>
        <v>2024</v>
      </c>
      <c r="F377" t="s">
        <v>12</v>
      </c>
      <c r="G377" t="str">
        <f>PROPER(SalesData[[#This Row],[Product Name]])</f>
        <v>Compostable Plant Pots</v>
      </c>
      <c r="H377" t="s">
        <v>1011</v>
      </c>
      <c r="I377" t="str">
        <f>UPPER(SalesData[[#This Row],[Product Category]])</f>
        <v>GARDENING</v>
      </c>
      <c r="J377">
        <v>4</v>
      </c>
      <c r="K377">
        <v>12</v>
      </c>
      <c r="L377" s="15">
        <f>IF(SalesData[[#This Row],[Unit Price]]="",
    AVERAGEIFS(SalesData[Unit Price],
               SalesData[Product Name],SalesData[[#This Row],[Product Name]]),
    SalesData[[#This Row],[Unit Price]])</f>
        <v>12</v>
      </c>
      <c r="M377" s="15">
        <v>4.3600000000000003</v>
      </c>
      <c r="N377" s="15">
        <f>SalesData[[#This Row],[Quantity Sold]] * SalesData[[#This Row],[Cleaned Unit Price]]</f>
        <v>48</v>
      </c>
      <c r="O377" s="15">
        <f>SalesData[[#This Row],[Quantity Sold]] * SalesData[[#This Row],[Unit Cost]]</f>
        <v>17.440000000000001</v>
      </c>
      <c r="P377" s="15">
        <f>SalesData[[#This Row],[Revenue]] - SalesData[[#This Row],[Cost]]</f>
        <v>30.56</v>
      </c>
      <c r="Q377" s="13">
        <f>IF(SalesData[[#This Row],[Revenue]]=0,0,SalesData[[#This Row],[Profit]]/SalesData[[#This Row],[Revenue]])</f>
        <v>0.6366666666666666</v>
      </c>
      <c r="R377" t="s">
        <v>1017</v>
      </c>
      <c r="S377" t="s">
        <v>1216</v>
      </c>
      <c r="T377" t="str">
        <f>PROPER(SalesData[[#This Row],[Customer Name]])</f>
        <v>Mia Miller</v>
      </c>
      <c r="U377" t="s">
        <v>1415</v>
      </c>
      <c r="V377" t="s">
        <v>1419</v>
      </c>
    </row>
    <row r="378" spans="1:22" x14ac:dyDescent="0.25">
      <c r="A378" t="s">
        <v>1804</v>
      </c>
      <c r="B378" s="5">
        <v>45419</v>
      </c>
      <c r="C378" s="2" t="str">
        <f>TEXT(SalesData[[#This Row],[Order Date]],"mmm")</f>
        <v>May</v>
      </c>
      <c r="D378" s="7">
        <f>MONTH(SalesData[[#This Row],[Order Date]])</f>
        <v>5</v>
      </c>
      <c r="E378" s="7">
        <f>YEAR(SalesData[[#This Row],[Order Date]])</f>
        <v>2024</v>
      </c>
      <c r="F378" t="s">
        <v>71</v>
      </c>
      <c r="G378" t="str">
        <f>PROPER(SalesData[[#This Row],[Product Name]])</f>
        <v>Eco Canvas Tote Bag</v>
      </c>
      <c r="H378" t="s">
        <v>1013</v>
      </c>
      <c r="I378" t="str">
        <f>UPPER(SalesData[[#This Row],[Product Category]])</f>
        <v>BAGS</v>
      </c>
      <c r="J378">
        <v>7</v>
      </c>
      <c r="K378">
        <v>25</v>
      </c>
      <c r="L378" s="15">
        <f>IF(SalesData[[#This Row],[Unit Price]]="",
    AVERAGEIFS(SalesData[Unit Price],
               SalesData[Product Name],SalesData[[#This Row],[Product Name]]),
    SalesData[[#This Row],[Unit Price]])</f>
        <v>25</v>
      </c>
      <c r="M378" s="15">
        <v>5.6</v>
      </c>
      <c r="N378" s="15">
        <f>SalesData[[#This Row],[Quantity Sold]] * SalesData[[#This Row],[Cleaned Unit Price]]</f>
        <v>175</v>
      </c>
      <c r="O378" s="15">
        <f>SalesData[[#This Row],[Quantity Sold]] * SalesData[[#This Row],[Unit Cost]]</f>
        <v>39.199999999999996</v>
      </c>
      <c r="P378" s="15">
        <f>SalesData[[#This Row],[Revenue]] - SalesData[[#This Row],[Cost]]</f>
        <v>135.80000000000001</v>
      </c>
      <c r="Q378" s="13">
        <f>IF(SalesData[[#This Row],[Revenue]]=0,0,SalesData[[#This Row],[Profit]]/SalesData[[#This Row],[Revenue]])</f>
        <v>0.77600000000000002</v>
      </c>
      <c r="R378" t="s">
        <v>1065</v>
      </c>
      <c r="S378" t="s">
        <v>1264</v>
      </c>
      <c r="T378" t="str">
        <f>PROPER(SalesData[[#This Row],[Customer Name]])</f>
        <v>Elijah Jones</v>
      </c>
      <c r="U378" t="s">
        <v>1416</v>
      </c>
      <c r="V378" t="s">
        <v>1420</v>
      </c>
    </row>
    <row r="379" spans="1:22" x14ac:dyDescent="0.25">
      <c r="A379" t="s">
        <v>1805</v>
      </c>
      <c r="B379" s="5">
        <v>45419</v>
      </c>
      <c r="C379" s="2" t="str">
        <f>TEXT(SalesData[[#This Row],[Order Date]],"mmm")</f>
        <v>May</v>
      </c>
      <c r="D379" s="7">
        <f>MONTH(SalesData[[#This Row],[Order Date]])</f>
        <v>5</v>
      </c>
      <c r="E379" s="7">
        <f>YEAR(SalesData[[#This Row],[Order Date]])</f>
        <v>2024</v>
      </c>
      <c r="F379" t="s">
        <v>584</v>
      </c>
      <c r="G379" t="str">
        <f>PROPER(SalesData[[#This Row],[Product Name]])</f>
        <v>Solar Led Lantern</v>
      </c>
      <c r="H379" t="s">
        <v>1012</v>
      </c>
      <c r="I379" t="str">
        <f>UPPER(SalesData[[#This Row],[Product Category]])</f>
        <v>LIGHTING</v>
      </c>
      <c r="J379">
        <v>5</v>
      </c>
      <c r="K379">
        <v>40</v>
      </c>
      <c r="L379" s="15">
        <f>IF(SalesData[[#This Row],[Unit Price]]="",
    AVERAGEIFS(SalesData[Unit Price],
               SalesData[Product Name],SalesData[[#This Row],[Product Name]]),
    SalesData[[#This Row],[Unit Price]])</f>
        <v>40</v>
      </c>
      <c r="M379" s="15">
        <v>13.32</v>
      </c>
      <c r="N379" s="15">
        <f>SalesData[[#This Row],[Quantity Sold]] * SalesData[[#This Row],[Cleaned Unit Price]]</f>
        <v>200</v>
      </c>
      <c r="O379" s="15">
        <f>SalesData[[#This Row],[Quantity Sold]] * SalesData[[#This Row],[Unit Cost]]</f>
        <v>66.599999999999994</v>
      </c>
      <c r="P379" s="15">
        <f>SalesData[[#This Row],[Revenue]] - SalesData[[#This Row],[Cost]]</f>
        <v>133.4</v>
      </c>
      <c r="Q379" s="13">
        <f>IF(SalesData[[#This Row],[Revenue]]=0,0,SalesData[[#This Row],[Profit]]/SalesData[[#This Row],[Revenue]])</f>
        <v>0.66700000000000004</v>
      </c>
      <c r="R379" t="s">
        <v>1125</v>
      </c>
      <c r="S379" t="s">
        <v>1324</v>
      </c>
      <c r="T379" t="str">
        <f>PROPER(SalesData[[#This Row],[Customer Name]])</f>
        <v>Mia Brown</v>
      </c>
      <c r="U379" t="s">
        <v>1414</v>
      </c>
      <c r="V379" t="s">
        <v>1421</v>
      </c>
    </row>
    <row r="380" spans="1:22" x14ac:dyDescent="0.25">
      <c r="A380" t="s">
        <v>1806</v>
      </c>
      <c r="B380" s="5">
        <v>45419</v>
      </c>
      <c r="C380" s="2" t="str">
        <f>TEXT(SalesData[[#This Row],[Order Date]],"mmm")</f>
        <v>May</v>
      </c>
      <c r="D380" s="7">
        <f>MONTH(SalesData[[#This Row],[Order Date]])</f>
        <v>5</v>
      </c>
      <c r="E380" s="7">
        <f>YEAR(SalesData[[#This Row],[Order Date]])</f>
        <v>2024</v>
      </c>
      <c r="F380" t="s">
        <v>633</v>
      </c>
      <c r="G380" t="str">
        <f>PROPER(SalesData[[#This Row],[Product Name]])</f>
        <v>Compostable Plant Pots</v>
      </c>
      <c r="H380" t="s">
        <v>1011</v>
      </c>
      <c r="I380" t="str">
        <f>UPPER(SalesData[[#This Row],[Product Category]])</f>
        <v>GARDENING</v>
      </c>
      <c r="J380">
        <v>7</v>
      </c>
      <c r="K380">
        <v>12</v>
      </c>
      <c r="L380" s="15">
        <f>IF(SalesData[[#This Row],[Unit Price]]="",
    AVERAGEIFS(SalesData[Unit Price],
               SalesData[Product Name],SalesData[[#This Row],[Product Name]]),
    SalesData[[#This Row],[Unit Price]])</f>
        <v>12</v>
      </c>
      <c r="M380" s="15">
        <v>3.05</v>
      </c>
      <c r="N380" s="15">
        <f>SalesData[[#This Row],[Quantity Sold]] * SalesData[[#This Row],[Cleaned Unit Price]]</f>
        <v>84</v>
      </c>
      <c r="O380" s="15">
        <f>SalesData[[#This Row],[Quantity Sold]] * SalesData[[#This Row],[Unit Cost]]</f>
        <v>21.349999999999998</v>
      </c>
      <c r="P380" s="15">
        <f>SalesData[[#This Row],[Revenue]] - SalesData[[#This Row],[Cost]]</f>
        <v>62.650000000000006</v>
      </c>
      <c r="Q380" s="13">
        <f>IF(SalesData[[#This Row],[Revenue]]=0,0,SalesData[[#This Row],[Profit]]/SalesData[[#This Row],[Revenue]])</f>
        <v>0.74583333333333335</v>
      </c>
      <c r="R380" t="s">
        <v>1078</v>
      </c>
      <c r="S380" t="s">
        <v>1277</v>
      </c>
      <c r="T380" t="str">
        <f>PROPER(SalesData[[#This Row],[Customer Name]])</f>
        <v>Elijah Martinez</v>
      </c>
      <c r="U380" t="s">
        <v>1414</v>
      </c>
      <c r="V380" t="s">
        <v>1423</v>
      </c>
    </row>
    <row r="381" spans="1:22" x14ac:dyDescent="0.25">
      <c r="A381" t="s">
        <v>1807</v>
      </c>
      <c r="B381" s="5">
        <v>45420</v>
      </c>
      <c r="C381" s="2" t="str">
        <f>TEXT(SalesData[[#This Row],[Order Date]],"mmm")</f>
        <v>May</v>
      </c>
      <c r="D381" s="7">
        <f>MONTH(SalesData[[#This Row],[Order Date]])</f>
        <v>5</v>
      </c>
      <c r="E381" s="7">
        <f>YEAR(SalesData[[#This Row],[Order Date]])</f>
        <v>2024</v>
      </c>
      <c r="F381" t="s">
        <v>41</v>
      </c>
      <c r="G381" t="str">
        <f>PROPER(SalesData[[#This Row],[Product Name]])</f>
        <v>Compostable Plant Pots</v>
      </c>
      <c r="H381" t="s">
        <v>1011</v>
      </c>
      <c r="I381" t="str">
        <f>UPPER(SalesData[[#This Row],[Product Category]])</f>
        <v>GARDENING</v>
      </c>
      <c r="J381">
        <v>8</v>
      </c>
      <c r="K381">
        <v>12</v>
      </c>
      <c r="L381" s="15">
        <f>IF(SalesData[[#This Row],[Unit Price]]="",
    AVERAGEIFS(SalesData[Unit Price],
               SalesData[Product Name],SalesData[[#This Row],[Product Name]]),
    SalesData[[#This Row],[Unit Price]])</f>
        <v>12</v>
      </c>
      <c r="M381" s="15">
        <v>4.37</v>
      </c>
      <c r="N381" s="15">
        <f>SalesData[[#This Row],[Quantity Sold]] * SalesData[[#This Row],[Cleaned Unit Price]]</f>
        <v>96</v>
      </c>
      <c r="O381" s="15">
        <f>SalesData[[#This Row],[Quantity Sold]] * SalesData[[#This Row],[Unit Cost]]</f>
        <v>34.96</v>
      </c>
      <c r="P381" s="15">
        <f>SalesData[[#This Row],[Revenue]] - SalesData[[#This Row],[Cost]]</f>
        <v>61.04</v>
      </c>
      <c r="Q381" s="13">
        <f>IF(SalesData[[#This Row],[Revenue]]=0,0,SalesData[[#This Row],[Profit]]/SalesData[[#This Row],[Revenue]])</f>
        <v>0.63583333333333336</v>
      </c>
      <c r="R381" t="s">
        <v>1041</v>
      </c>
      <c r="S381" t="s">
        <v>1240</v>
      </c>
      <c r="T381" t="str">
        <f>PROPER(SalesData[[#This Row],[Customer Name]])</f>
        <v>Noah Williams</v>
      </c>
      <c r="U381" t="s">
        <v>1414</v>
      </c>
      <c r="V381" t="s">
        <v>1418</v>
      </c>
    </row>
    <row r="382" spans="1:22" x14ac:dyDescent="0.25">
      <c r="A382" t="s">
        <v>1808</v>
      </c>
      <c r="B382" s="5">
        <v>45420</v>
      </c>
      <c r="C382" s="2" t="str">
        <f>TEXT(SalesData[[#This Row],[Order Date]],"mmm")</f>
        <v>May</v>
      </c>
      <c r="D382" s="7">
        <f>MONTH(SalesData[[#This Row],[Order Date]])</f>
        <v>5</v>
      </c>
      <c r="E382" s="7">
        <f>YEAR(SalesData[[#This Row],[Order Date]])</f>
        <v>2024</v>
      </c>
      <c r="F382" t="s">
        <v>613</v>
      </c>
      <c r="G382" t="str">
        <f>PROPER(SalesData[[#This Row],[Product Name]])</f>
        <v>Solar Led Lantern</v>
      </c>
      <c r="H382" t="s">
        <v>1012</v>
      </c>
      <c r="I382" t="str">
        <f>UPPER(SalesData[[#This Row],[Product Category]])</f>
        <v>LIGHTING</v>
      </c>
      <c r="J382">
        <v>2</v>
      </c>
      <c r="K382">
        <v>40</v>
      </c>
      <c r="L382" s="15">
        <f>IF(SalesData[[#This Row],[Unit Price]]="",
    AVERAGEIFS(SalesData[Unit Price],
               SalesData[Product Name],SalesData[[#This Row],[Product Name]]),
    SalesData[[#This Row],[Unit Price]])</f>
        <v>40</v>
      </c>
      <c r="M382" s="15">
        <v>13.53</v>
      </c>
      <c r="N382" s="15">
        <f>SalesData[[#This Row],[Quantity Sold]] * SalesData[[#This Row],[Cleaned Unit Price]]</f>
        <v>80</v>
      </c>
      <c r="O382" s="15">
        <f>SalesData[[#This Row],[Quantity Sold]] * SalesData[[#This Row],[Unit Cost]]</f>
        <v>27.06</v>
      </c>
      <c r="P382" s="15">
        <f>SalesData[[#This Row],[Revenue]] - SalesData[[#This Row],[Cost]]</f>
        <v>52.94</v>
      </c>
      <c r="Q382" s="13">
        <f>IF(SalesData[[#This Row],[Revenue]]=0,0,SalesData[[#This Row],[Profit]]/SalesData[[#This Row],[Revenue]])</f>
        <v>0.66174999999999995</v>
      </c>
      <c r="R382" t="s">
        <v>1126</v>
      </c>
      <c r="S382" t="s">
        <v>1325</v>
      </c>
      <c r="T382" t="str">
        <f>PROPER(SalesData[[#This Row],[Customer Name]])</f>
        <v>Ethan Martinez</v>
      </c>
      <c r="U382" t="s">
        <v>1414</v>
      </c>
      <c r="V382" t="s">
        <v>1421</v>
      </c>
    </row>
    <row r="383" spans="1:22" x14ac:dyDescent="0.25">
      <c r="A383" t="s">
        <v>1809</v>
      </c>
      <c r="B383" s="5">
        <v>45421</v>
      </c>
      <c r="C383" s="2" t="str">
        <f>TEXT(SalesData[[#This Row],[Order Date]],"mmm")</f>
        <v>May</v>
      </c>
      <c r="D383" s="7">
        <f>MONTH(SalesData[[#This Row],[Order Date]])</f>
        <v>5</v>
      </c>
      <c r="E383" s="7">
        <f>YEAR(SalesData[[#This Row],[Order Date]])</f>
        <v>2024</v>
      </c>
      <c r="F383" t="s">
        <v>255</v>
      </c>
      <c r="G383" t="str">
        <f>PROPER(SalesData[[#This Row],[Product Name]])</f>
        <v>Solar Led Lantern</v>
      </c>
      <c r="H383" t="s">
        <v>1012</v>
      </c>
      <c r="I383" t="str">
        <f>UPPER(SalesData[[#This Row],[Product Category]])</f>
        <v>LIGHTING</v>
      </c>
      <c r="J383">
        <v>6</v>
      </c>
      <c r="K383">
        <v>40</v>
      </c>
      <c r="L383" s="15">
        <f>IF(SalesData[[#This Row],[Unit Price]]="",
    AVERAGEIFS(SalesData[Unit Price],
               SalesData[Product Name],SalesData[[#This Row],[Product Name]]),
    SalesData[[#This Row],[Unit Price]])</f>
        <v>40</v>
      </c>
      <c r="M383" s="15">
        <v>13.84</v>
      </c>
      <c r="N383" s="15">
        <f>SalesData[[#This Row],[Quantity Sold]] * SalesData[[#This Row],[Cleaned Unit Price]]</f>
        <v>240</v>
      </c>
      <c r="O383" s="15">
        <f>SalesData[[#This Row],[Quantity Sold]] * SalesData[[#This Row],[Unit Cost]]</f>
        <v>83.039999999999992</v>
      </c>
      <c r="P383" s="15">
        <f>SalesData[[#This Row],[Revenue]] - SalesData[[#This Row],[Cost]]</f>
        <v>156.96</v>
      </c>
      <c r="Q383" s="13">
        <f>IF(SalesData[[#This Row],[Revenue]]=0,0,SalesData[[#This Row],[Profit]]/SalesData[[#This Row],[Revenue]])</f>
        <v>0.65400000000000003</v>
      </c>
      <c r="R383" t="s">
        <v>1024</v>
      </c>
      <c r="S383" t="s">
        <v>1223</v>
      </c>
      <c r="T383" t="str">
        <f>PROPER(SalesData[[#This Row],[Customer Name]])</f>
        <v>Ava Rodriguez</v>
      </c>
      <c r="U383" t="s">
        <v>1414</v>
      </c>
      <c r="V383" t="s">
        <v>1426</v>
      </c>
    </row>
    <row r="384" spans="1:22" x14ac:dyDescent="0.25">
      <c r="A384" t="s">
        <v>1810</v>
      </c>
      <c r="B384" s="5">
        <v>45421</v>
      </c>
      <c r="C384" s="2" t="str">
        <f>TEXT(SalesData[[#This Row],[Order Date]],"mmm")</f>
        <v>May</v>
      </c>
      <c r="D384" s="7">
        <f>MONTH(SalesData[[#This Row],[Order Date]])</f>
        <v>5</v>
      </c>
      <c r="E384" s="7">
        <f>YEAR(SalesData[[#This Row],[Order Date]])</f>
        <v>2024</v>
      </c>
      <c r="F384" t="s">
        <v>739</v>
      </c>
      <c r="G384" t="str">
        <f>PROPER(SalesData[[#This Row],[Product Name]])</f>
        <v>Biodegradable Cleaning Cloth</v>
      </c>
      <c r="H384" t="s">
        <v>1015</v>
      </c>
      <c r="I384" t="str">
        <f>UPPER(SalesData[[#This Row],[Product Category]])</f>
        <v>CLEANING</v>
      </c>
      <c r="J384">
        <v>8</v>
      </c>
      <c r="K384">
        <v>10</v>
      </c>
      <c r="L384" s="15">
        <f>IF(SalesData[[#This Row],[Unit Price]]="",
    AVERAGEIFS(SalesData[Unit Price],
               SalesData[Product Name],SalesData[[#This Row],[Product Name]]),
    SalesData[[#This Row],[Unit Price]])</f>
        <v>10</v>
      </c>
      <c r="M384" s="15">
        <v>2.94</v>
      </c>
      <c r="N384" s="15">
        <f>SalesData[[#This Row],[Quantity Sold]] * SalesData[[#This Row],[Cleaned Unit Price]]</f>
        <v>80</v>
      </c>
      <c r="O384" s="15">
        <f>SalesData[[#This Row],[Quantity Sold]] * SalesData[[#This Row],[Unit Cost]]</f>
        <v>23.52</v>
      </c>
      <c r="P384" s="15">
        <f>SalesData[[#This Row],[Revenue]] - SalesData[[#This Row],[Cost]]</f>
        <v>56.480000000000004</v>
      </c>
      <c r="Q384" s="13">
        <f>IF(SalesData[[#This Row],[Revenue]]=0,0,SalesData[[#This Row],[Profit]]/SalesData[[#This Row],[Revenue]])</f>
        <v>0.70600000000000007</v>
      </c>
      <c r="R384" t="s">
        <v>1078</v>
      </c>
      <c r="S384" t="s">
        <v>1277</v>
      </c>
      <c r="T384" t="str">
        <f>PROPER(SalesData[[#This Row],[Customer Name]])</f>
        <v>Elijah Martinez</v>
      </c>
      <c r="U384" t="s">
        <v>1414</v>
      </c>
      <c r="V384" t="s">
        <v>1425</v>
      </c>
    </row>
    <row r="385" spans="1:22" x14ac:dyDescent="0.25">
      <c r="A385" t="s">
        <v>1811</v>
      </c>
      <c r="B385" s="5">
        <v>45421</v>
      </c>
      <c r="C385" s="2" t="str">
        <f>TEXT(SalesData[[#This Row],[Order Date]],"mmm")</f>
        <v>May</v>
      </c>
      <c r="D385" s="7">
        <f>MONTH(SalesData[[#This Row],[Order Date]])</f>
        <v>5</v>
      </c>
      <c r="E385" s="7">
        <f>YEAR(SalesData[[#This Row],[Order Date]])</f>
        <v>2024</v>
      </c>
      <c r="F385" t="s">
        <v>965</v>
      </c>
      <c r="G385" t="str">
        <f>PROPER(SalesData[[#This Row],[Product Name]])</f>
        <v>Biodegradable Cleaning Cloth</v>
      </c>
      <c r="H385" t="s">
        <v>1015</v>
      </c>
      <c r="I385" t="str">
        <f>UPPER(SalesData[[#This Row],[Product Category]])</f>
        <v>CLEANING</v>
      </c>
      <c r="J385">
        <v>9</v>
      </c>
      <c r="K385">
        <v>10</v>
      </c>
      <c r="L385" s="15">
        <f>IF(SalesData[[#This Row],[Unit Price]]="",
    AVERAGEIFS(SalesData[Unit Price],
               SalesData[Product Name],SalesData[[#This Row],[Product Name]]),
    SalesData[[#This Row],[Unit Price]])</f>
        <v>10</v>
      </c>
      <c r="M385" s="15">
        <v>2.81</v>
      </c>
      <c r="N385" s="15">
        <f>SalesData[[#This Row],[Quantity Sold]] * SalesData[[#This Row],[Cleaned Unit Price]]</f>
        <v>90</v>
      </c>
      <c r="O385" s="15">
        <f>SalesData[[#This Row],[Quantity Sold]] * SalesData[[#This Row],[Unit Cost]]</f>
        <v>25.29</v>
      </c>
      <c r="P385" s="15">
        <f>SalesData[[#This Row],[Revenue]] - SalesData[[#This Row],[Cost]]</f>
        <v>64.710000000000008</v>
      </c>
      <c r="Q385" s="13">
        <f>IF(SalesData[[#This Row],[Revenue]]=0,0,SalesData[[#This Row],[Profit]]/SalesData[[#This Row],[Revenue]])</f>
        <v>0.71900000000000008</v>
      </c>
      <c r="R385" t="s">
        <v>1037</v>
      </c>
      <c r="S385" t="s">
        <v>1236</v>
      </c>
      <c r="T385" t="str">
        <f>PROPER(SalesData[[#This Row],[Customer Name]])</f>
        <v>Amelia Johnson</v>
      </c>
      <c r="U385" t="s">
        <v>1416</v>
      </c>
      <c r="V385" t="s">
        <v>1420</v>
      </c>
    </row>
    <row r="386" spans="1:22" x14ac:dyDescent="0.25">
      <c r="A386" t="s">
        <v>1812</v>
      </c>
      <c r="B386" s="5">
        <v>45422</v>
      </c>
      <c r="C386" s="2" t="str">
        <f>TEXT(SalesData[[#This Row],[Order Date]],"mmm")</f>
        <v>May</v>
      </c>
      <c r="D386" s="7">
        <f>MONTH(SalesData[[#This Row],[Order Date]])</f>
        <v>5</v>
      </c>
      <c r="E386" s="7">
        <f>YEAR(SalesData[[#This Row],[Order Date]])</f>
        <v>2024</v>
      </c>
      <c r="F386" t="s">
        <v>157</v>
      </c>
      <c r="G386" t="str">
        <f>PROPER(SalesData[[#This Row],[Product Name]])</f>
        <v>Reusable Bamboo Utensil Set</v>
      </c>
      <c r="H386" t="s">
        <v>1014</v>
      </c>
      <c r="I386" t="str">
        <f>UPPER(SalesData[[#This Row],[Product Category]])</f>
        <v>KITCHENWARE</v>
      </c>
      <c r="J386">
        <v>1</v>
      </c>
      <c r="K386">
        <v>15</v>
      </c>
      <c r="L386" s="15">
        <f>IF(SalesData[[#This Row],[Unit Price]]="",
    AVERAGEIFS(SalesData[Unit Price],
               SalesData[Product Name],SalesData[[#This Row],[Product Name]]),
    SalesData[[#This Row],[Unit Price]])</f>
        <v>15</v>
      </c>
      <c r="M386" s="15">
        <v>4.66</v>
      </c>
      <c r="N386" s="15">
        <f>SalesData[[#This Row],[Quantity Sold]] * SalesData[[#This Row],[Cleaned Unit Price]]</f>
        <v>15</v>
      </c>
      <c r="O386" s="15">
        <f>SalesData[[#This Row],[Quantity Sold]] * SalesData[[#This Row],[Unit Cost]]</f>
        <v>4.66</v>
      </c>
      <c r="P386" s="15">
        <f>SalesData[[#This Row],[Revenue]] - SalesData[[#This Row],[Cost]]</f>
        <v>10.34</v>
      </c>
      <c r="Q386" s="13">
        <f>IF(SalesData[[#This Row],[Revenue]]=0,0,SalesData[[#This Row],[Profit]]/SalesData[[#This Row],[Revenue]])</f>
        <v>0.68933333333333335</v>
      </c>
      <c r="R386" t="s">
        <v>1107</v>
      </c>
      <c r="S386" t="s">
        <v>1306</v>
      </c>
      <c r="T386" t="str">
        <f>PROPER(SalesData[[#This Row],[Customer Name]])</f>
        <v>Liam Rodriguez</v>
      </c>
      <c r="U386" t="s">
        <v>1414</v>
      </c>
      <c r="V386" t="s">
        <v>1422</v>
      </c>
    </row>
    <row r="387" spans="1:22" x14ac:dyDescent="0.25">
      <c r="A387" t="s">
        <v>1813</v>
      </c>
      <c r="B387" s="5">
        <v>45422</v>
      </c>
      <c r="C387" s="2" t="str">
        <f>TEXT(SalesData[[#This Row],[Order Date]],"mmm")</f>
        <v>May</v>
      </c>
      <c r="D387" s="7">
        <f>MONTH(SalesData[[#This Row],[Order Date]])</f>
        <v>5</v>
      </c>
      <c r="E387" s="7">
        <f>YEAR(SalesData[[#This Row],[Order Date]])</f>
        <v>2024</v>
      </c>
      <c r="F387" t="s">
        <v>570</v>
      </c>
      <c r="G387" t="str">
        <f>PROPER(SalesData[[#This Row],[Product Name]])</f>
        <v>Biodegradable Cleaning Cloth</v>
      </c>
      <c r="H387" t="s">
        <v>1015</v>
      </c>
      <c r="I387" t="str">
        <f>UPPER(SalesData[[#This Row],[Product Category]])</f>
        <v>CLEANING</v>
      </c>
      <c r="J387">
        <v>3</v>
      </c>
      <c r="K387">
        <v>10</v>
      </c>
      <c r="L387" s="15">
        <f>IF(SalesData[[#This Row],[Unit Price]]="",
    AVERAGEIFS(SalesData[Unit Price],
               SalesData[Product Name],SalesData[[#This Row],[Product Name]]),
    SalesData[[#This Row],[Unit Price]])</f>
        <v>10</v>
      </c>
      <c r="M387" s="15">
        <v>3.02</v>
      </c>
      <c r="N387" s="15">
        <f>SalesData[[#This Row],[Quantity Sold]] * SalesData[[#This Row],[Cleaned Unit Price]]</f>
        <v>30</v>
      </c>
      <c r="O387" s="15">
        <f>SalesData[[#This Row],[Quantity Sold]] * SalesData[[#This Row],[Unit Cost]]</f>
        <v>9.06</v>
      </c>
      <c r="P387" s="15">
        <f>SalesData[[#This Row],[Revenue]] - SalesData[[#This Row],[Cost]]</f>
        <v>20.939999999999998</v>
      </c>
      <c r="Q387" s="13">
        <f>IF(SalesData[[#This Row],[Revenue]]=0,0,SalesData[[#This Row],[Profit]]/SalesData[[#This Row],[Revenue]])</f>
        <v>0.69799999999999995</v>
      </c>
      <c r="R387" t="s">
        <v>1173</v>
      </c>
      <c r="S387" t="s">
        <v>1372</v>
      </c>
      <c r="T387" t="str">
        <f>PROPER(SalesData[[#This Row],[Customer Name]])</f>
        <v>Harper Jones</v>
      </c>
      <c r="U387" t="s">
        <v>1416</v>
      </c>
      <c r="V387" t="s">
        <v>1425</v>
      </c>
    </row>
    <row r="388" spans="1:22" x14ac:dyDescent="0.25">
      <c r="A388" t="s">
        <v>1814</v>
      </c>
      <c r="B388" s="5">
        <v>45422</v>
      </c>
      <c r="C388" s="2" t="str">
        <f>TEXT(SalesData[[#This Row],[Order Date]],"mmm")</f>
        <v>May</v>
      </c>
      <c r="D388" s="7">
        <f>MONTH(SalesData[[#This Row],[Order Date]])</f>
        <v>5</v>
      </c>
      <c r="E388" s="7">
        <f>YEAR(SalesData[[#This Row],[Order Date]])</f>
        <v>2024</v>
      </c>
      <c r="F388" t="s">
        <v>768</v>
      </c>
      <c r="G388" t="str">
        <f>PROPER(SalesData[[#This Row],[Product Name]])</f>
        <v>Reusable Bamboo Utensil Set</v>
      </c>
      <c r="H388" t="s">
        <v>1014</v>
      </c>
      <c r="I388" t="str">
        <f>UPPER(SalesData[[#This Row],[Product Category]])</f>
        <v>KITCHENWARE</v>
      </c>
      <c r="J388">
        <v>6</v>
      </c>
      <c r="K388">
        <v>15</v>
      </c>
      <c r="L388" s="15">
        <f>IF(SalesData[[#This Row],[Unit Price]]="",
    AVERAGEIFS(SalesData[Unit Price],
               SalesData[Product Name],SalesData[[#This Row],[Product Name]]),
    SalesData[[#This Row],[Unit Price]])</f>
        <v>15</v>
      </c>
      <c r="M388" s="15">
        <v>4.8</v>
      </c>
      <c r="N388" s="15">
        <f>SalesData[[#This Row],[Quantity Sold]] * SalesData[[#This Row],[Cleaned Unit Price]]</f>
        <v>90</v>
      </c>
      <c r="O388" s="15">
        <f>SalesData[[#This Row],[Quantity Sold]] * SalesData[[#This Row],[Unit Cost]]</f>
        <v>28.799999999999997</v>
      </c>
      <c r="P388" s="15">
        <f>SalesData[[#This Row],[Revenue]] - SalesData[[#This Row],[Cost]]</f>
        <v>61.2</v>
      </c>
      <c r="Q388" s="13">
        <f>IF(SalesData[[#This Row],[Revenue]]=0,0,SalesData[[#This Row],[Profit]]/SalesData[[#This Row],[Revenue]])</f>
        <v>0.68</v>
      </c>
      <c r="R388" t="s">
        <v>1169</v>
      </c>
      <c r="S388" t="s">
        <v>1368</v>
      </c>
      <c r="T388" t="str">
        <f>PROPER(SalesData[[#This Row],[Customer Name]])</f>
        <v>Aiden Jones</v>
      </c>
      <c r="U388" t="s">
        <v>1414</v>
      </c>
      <c r="V388" t="s">
        <v>1427</v>
      </c>
    </row>
    <row r="389" spans="1:22" x14ac:dyDescent="0.25">
      <c r="A389" t="s">
        <v>1815</v>
      </c>
      <c r="B389" s="5">
        <v>45422</v>
      </c>
      <c r="C389" s="2" t="str">
        <f>TEXT(SalesData[[#This Row],[Order Date]],"mmm")</f>
        <v>May</v>
      </c>
      <c r="D389" s="7">
        <f>MONTH(SalesData[[#This Row],[Order Date]])</f>
        <v>5</v>
      </c>
      <c r="E389" s="7">
        <f>YEAR(SalesData[[#This Row],[Order Date]])</f>
        <v>2024</v>
      </c>
      <c r="F389" t="s">
        <v>944</v>
      </c>
      <c r="G389" t="str">
        <f>PROPER(SalesData[[#This Row],[Product Name]])</f>
        <v>Solar Led Lantern</v>
      </c>
      <c r="H389" t="s">
        <v>1012</v>
      </c>
      <c r="I389" t="str">
        <f>UPPER(SalesData[[#This Row],[Product Category]])</f>
        <v>LIGHTING</v>
      </c>
      <c r="J389">
        <v>9</v>
      </c>
      <c r="L389" s="15">
        <f>IF(SalesData[[#This Row],[Unit Price]]="",
    AVERAGEIFS(SalesData[Unit Price],
               SalesData[Product Name],SalesData[[#This Row],[Product Name]]),
    SalesData[[#This Row],[Unit Price]])</f>
        <v>40</v>
      </c>
      <c r="M389" s="15">
        <v>14.62</v>
      </c>
      <c r="N389" s="15">
        <f>SalesData[[#This Row],[Quantity Sold]] * SalesData[[#This Row],[Cleaned Unit Price]]</f>
        <v>360</v>
      </c>
      <c r="O389" s="15">
        <f>SalesData[[#This Row],[Quantity Sold]] * SalesData[[#This Row],[Unit Cost]]</f>
        <v>131.57999999999998</v>
      </c>
      <c r="P389" s="15">
        <f>SalesData[[#This Row],[Revenue]] - SalesData[[#This Row],[Cost]]</f>
        <v>228.42000000000002</v>
      </c>
      <c r="Q389" s="13">
        <f>IF(SalesData[[#This Row],[Revenue]]=0,0,SalesData[[#This Row],[Profit]]/SalesData[[#This Row],[Revenue]])</f>
        <v>0.63450000000000006</v>
      </c>
      <c r="R389" t="s">
        <v>1142</v>
      </c>
      <c r="S389" t="s">
        <v>1341</v>
      </c>
      <c r="T389" t="str">
        <f>PROPER(SalesData[[#This Row],[Customer Name]])</f>
        <v>Lucas Garcia</v>
      </c>
      <c r="U389" t="s">
        <v>1417</v>
      </c>
      <c r="V389" t="s">
        <v>1425</v>
      </c>
    </row>
    <row r="390" spans="1:22" x14ac:dyDescent="0.25">
      <c r="A390" t="s">
        <v>1816</v>
      </c>
      <c r="B390" s="5">
        <v>45423</v>
      </c>
      <c r="C390" s="2" t="str">
        <f>TEXT(SalesData[[#This Row],[Order Date]],"mmm")</f>
        <v>May</v>
      </c>
      <c r="D390" s="7">
        <f>MONTH(SalesData[[#This Row],[Order Date]])</f>
        <v>5</v>
      </c>
      <c r="E390" s="7">
        <f>YEAR(SalesData[[#This Row],[Order Date]])</f>
        <v>2024</v>
      </c>
      <c r="F390" t="s">
        <v>137</v>
      </c>
      <c r="G390" t="str">
        <f>PROPER(SalesData[[#This Row],[Product Name]])</f>
        <v>Reusable Bamboo Utensil Set</v>
      </c>
      <c r="H390" t="s">
        <v>1014</v>
      </c>
      <c r="I390" t="str">
        <f>UPPER(SalesData[[#This Row],[Product Category]])</f>
        <v>KITCHENWARE</v>
      </c>
      <c r="J390">
        <v>5</v>
      </c>
      <c r="K390">
        <v>15</v>
      </c>
      <c r="L390" s="15">
        <f>IF(SalesData[[#This Row],[Unit Price]]="",
    AVERAGEIFS(SalesData[Unit Price],
               SalesData[Product Name],SalesData[[#This Row],[Product Name]]),
    SalesData[[#This Row],[Unit Price]])</f>
        <v>15</v>
      </c>
      <c r="M390" s="15">
        <v>3.13</v>
      </c>
      <c r="N390" s="15">
        <f>SalesData[[#This Row],[Quantity Sold]] * SalesData[[#This Row],[Cleaned Unit Price]]</f>
        <v>75</v>
      </c>
      <c r="O390" s="15">
        <f>SalesData[[#This Row],[Quantity Sold]] * SalesData[[#This Row],[Unit Cost]]</f>
        <v>15.649999999999999</v>
      </c>
      <c r="P390" s="15">
        <f>SalesData[[#This Row],[Revenue]] - SalesData[[#This Row],[Cost]]</f>
        <v>59.35</v>
      </c>
      <c r="Q390" s="13">
        <f>IF(SalesData[[#This Row],[Revenue]]=0,0,SalesData[[#This Row],[Profit]]/SalesData[[#This Row],[Revenue]])</f>
        <v>0.79133333333333333</v>
      </c>
      <c r="R390" t="s">
        <v>1112</v>
      </c>
      <c r="S390" t="s">
        <v>1311</v>
      </c>
      <c r="T390" t="str">
        <f>PROPER(SalesData[[#This Row],[Customer Name]])</f>
        <v>Mia Rodriguez</v>
      </c>
      <c r="U390" t="s">
        <v>1414</v>
      </c>
      <c r="V390" t="s">
        <v>1425</v>
      </c>
    </row>
    <row r="391" spans="1:22" x14ac:dyDescent="0.25">
      <c r="A391" t="s">
        <v>1817</v>
      </c>
      <c r="B391" s="5">
        <v>45423</v>
      </c>
      <c r="C391" s="2" t="str">
        <f>TEXT(SalesData[[#This Row],[Order Date]],"mmm")</f>
        <v>May</v>
      </c>
      <c r="D391" s="7">
        <f>MONTH(SalesData[[#This Row],[Order Date]])</f>
        <v>5</v>
      </c>
      <c r="E391" s="7">
        <f>YEAR(SalesData[[#This Row],[Order Date]])</f>
        <v>2024</v>
      </c>
      <c r="F391" t="s">
        <v>223</v>
      </c>
      <c r="G391" t="str">
        <f>PROPER(SalesData[[#This Row],[Product Name]])</f>
        <v>Solar Led Lantern</v>
      </c>
      <c r="H391" t="s">
        <v>1012</v>
      </c>
      <c r="I391" t="str">
        <f>UPPER(SalesData[[#This Row],[Product Category]])</f>
        <v>LIGHTING</v>
      </c>
      <c r="J391">
        <v>1</v>
      </c>
      <c r="K391">
        <v>40</v>
      </c>
      <c r="L391" s="15">
        <f>IF(SalesData[[#This Row],[Unit Price]]="",
    AVERAGEIFS(SalesData[Unit Price],
               SalesData[Product Name],SalesData[[#This Row],[Product Name]]),
    SalesData[[#This Row],[Unit Price]])</f>
        <v>40</v>
      </c>
      <c r="M391" s="15">
        <v>13.15</v>
      </c>
      <c r="N391" s="15">
        <f>SalesData[[#This Row],[Quantity Sold]] * SalesData[[#This Row],[Cleaned Unit Price]]</f>
        <v>40</v>
      </c>
      <c r="O391" s="15">
        <f>SalesData[[#This Row],[Quantity Sold]] * SalesData[[#This Row],[Unit Cost]]</f>
        <v>13.15</v>
      </c>
      <c r="P391" s="15">
        <f>SalesData[[#This Row],[Revenue]] - SalesData[[#This Row],[Cost]]</f>
        <v>26.85</v>
      </c>
      <c r="Q391" s="13">
        <f>IF(SalesData[[#This Row],[Revenue]]=0,0,SalesData[[#This Row],[Profit]]/SalesData[[#This Row],[Revenue]])</f>
        <v>0.67125000000000001</v>
      </c>
      <c r="R391" t="s">
        <v>1121</v>
      </c>
      <c r="S391" t="s">
        <v>1320</v>
      </c>
      <c r="T391" t="str">
        <f>PROPER(SalesData[[#This Row],[Customer Name]])</f>
        <v>Mason Williams</v>
      </c>
      <c r="U391" t="s">
        <v>1414</v>
      </c>
      <c r="V391" t="s">
        <v>1418</v>
      </c>
    </row>
    <row r="392" spans="1:22" x14ac:dyDescent="0.25">
      <c r="A392" t="s">
        <v>1818</v>
      </c>
      <c r="B392" s="5">
        <v>45423</v>
      </c>
      <c r="C392" s="2" t="str">
        <f>TEXT(SalesData[[#This Row],[Order Date]],"mmm")</f>
        <v>May</v>
      </c>
      <c r="D392" s="7">
        <f>MONTH(SalesData[[#This Row],[Order Date]])</f>
        <v>5</v>
      </c>
      <c r="E392" s="7">
        <f>YEAR(SalesData[[#This Row],[Order Date]])</f>
        <v>2024</v>
      </c>
      <c r="F392" t="s">
        <v>563</v>
      </c>
      <c r="G392" t="str">
        <f>PROPER(SalesData[[#This Row],[Product Name]])</f>
        <v>Solar Led Lantern</v>
      </c>
      <c r="H392" t="s">
        <v>1012</v>
      </c>
      <c r="I392" t="str">
        <f>UPPER(SalesData[[#This Row],[Product Category]])</f>
        <v>LIGHTING</v>
      </c>
      <c r="J392">
        <v>9</v>
      </c>
      <c r="K392">
        <v>40</v>
      </c>
      <c r="L392" s="15">
        <f>IF(SalesData[[#This Row],[Unit Price]]="",
    AVERAGEIFS(SalesData[Unit Price],
               SalesData[Product Name],SalesData[[#This Row],[Product Name]]),
    SalesData[[#This Row],[Unit Price]])</f>
        <v>40</v>
      </c>
      <c r="M392" s="15">
        <v>13.31</v>
      </c>
      <c r="N392" s="15">
        <f>SalesData[[#This Row],[Quantity Sold]] * SalesData[[#This Row],[Cleaned Unit Price]]</f>
        <v>360</v>
      </c>
      <c r="O392" s="15">
        <f>SalesData[[#This Row],[Quantity Sold]] * SalesData[[#This Row],[Unit Cost]]</f>
        <v>119.79</v>
      </c>
      <c r="P392" s="15">
        <f>SalesData[[#This Row],[Revenue]] - SalesData[[#This Row],[Cost]]</f>
        <v>240.20999999999998</v>
      </c>
      <c r="Q392" s="13">
        <f>IF(SalesData[[#This Row],[Revenue]]=0,0,SalesData[[#This Row],[Profit]]/SalesData[[#This Row],[Revenue]])</f>
        <v>0.6672499999999999</v>
      </c>
      <c r="R392" t="s">
        <v>1081</v>
      </c>
      <c r="S392" t="s">
        <v>1280</v>
      </c>
      <c r="T392" t="str">
        <f>PROPER(SalesData[[#This Row],[Customer Name]])</f>
        <v>James Brown</v>
      </c>
      <c r="U392" t="s">
        <v>1414</v>
      </c>
      <c r="V392" t="s">
        <v>1424</v>
      </c>
    </row>
    <row r="393" spans="1:22" x14ac:dyDescent="0.25">
      <c r="A393" t="s">
        <v>1819</v>
      </c>
      <c r="B393" s="5">
        <v>45423</v>
      </c>
      <c r="C393" s="2" t="str">
        <f>TEXT(SalesData[[#This Row],[Order Date]],"mmm")</f>
        <v>May</v>
      </c>
      <c r="D393" s="7">
        <f>MONTH(SalesData[[#This Row],[Order Date]])</f>
        <v>5</v>
      </c>
      <c r="E393" s="7">
        <f>YEAR(SalesData[[#This Row],[Order Date]])</f>
        <v>2024</v>
      </c>
      <c r="F393" t="s">
        <v>745</v>
      </c>
      <c r="G393" t="str">
        <f>PROPER(SalesData[[#This Row],[Product Name]])</f>
        <v>Compostable Plant Pots</v>
      </c>
      <c r="H393" t="s">
        <v>1011</v>
      </c>
      <c r="I393" t="str">
        <f>UPPER(SalesData[[#This Row],[Product Category]])</f>
        <v>GARDENING</v>
      </c>
      <c r="J393">
        <v>10</v>
      </c>
      <c r="K393">
        <v>12</v>
      </c>
      <c r="L393" s="15">
        <f>IF(SalesData[[#This Row],[Unit Price]]="",
    AVERAGEIFS(SalesData[Unit Price],
               SalesData[Product Name],SalesData[[#This Row],[Product Name]]),
    SalesData[[#This Row],[Unit Price]])</f>
        <v>12</v>
      </c>
      <c r="M393" s="15">
        <v>3.7</v>
      </c>
      <c r="N393" s="15">
        <f>SalesData[[#This Row],[Quantity Sold]] * SalesData[[#This Row],[Cleaned Unit Price]]</f>
        <v>120</v>
      </c>
      <c r="O393" s="15">
        <f>SalesData[[#This Row],[Quantity Sold]] * SalesData[[#This Row],[Unit Cost]]</f>
        <v>37</v>
      </c>
      <c r="P393" s="15">
        <f>SalesData[[#This Row],[Revenue]] - SalesData[[#This Row],[Cost]]</f>
        <v>83</v>
      </c>
      <c r="Q393" s="13">
        <f>IF(SalesData[[#This Row],[Revenue]]=0,0,SalesData[[#This Row],[Profit]]/SalesData[[#This Row],[Revenue]])</f>
        <v>0.69166666666666665</v>
      </c>
      <c r="R393" t="s">
        <v>1112</v>
      </c>
      <c r="S393" t="s">
        <v>1311</v>
      </c>
      <c r="T393" t="str">
        <f>PROPER(SalesData[[#This Row],[Customer Name]])</f>
        <v>Mia Rodriguez</v>
      </c>
      <c r="U393" t="s">
        <v>1414</v>
      </c>
      <c r="V393" t="s">
        <v>1422</v>
      </c>
    </row>
    <row r="394" spans="1:22" x14ac:dyDescent="0.25">
      <c r="A394" t="s">
        <v>1820</v>
      </c>
      <c r="B394" s="5">
        <v>45423</v>
      </c>
      <c r="C394" s="2" t="str">
        <f>TEXT(SalesData[[#This Row],[Order Date]],"mmm")</f>
        <v>May</v>
      </c>
      <c r="D394" s="7">
        <f>MONTH(SalesData[[#This Row],[Order Date]])</f>
        <v>5</v>
      </c>
      <c r="E394" s="7">
        <f>YEAR(SalesData[[#This Row],[Order Date]])</f>
        <v>2024</v>
      </c>
      <c r="F394" t="s">
        <v>953</v>
      </c>
      <c r="G394" t="str">
        <f>PROPER(SalesData[[#This Row],[Product Name]])</f>
        <v>Biodegradable Cleaning Cloth</v>
      </c>
      <c r="H394" t="s">
        <v>1015</v>
      </c>
      <c r="I394" t="str">
        <f>UPPER(SalesData[[#This Row],[Product Category]])</f>
        <v>CLEANING</v>
      </c>
      <c r="J394">
        <v>3</v>
      </c>
      <c r="K394">
        <v>10</v>
      </c>
      <c r="L394" s="15">
        <f>IF(SalesData[[#This Row],[Unit Price]]="",
    AVERAGEIFS(SalesData[Unit Price],
               SalesData[Product Name],SalesData[[#This Row],[Product Name]]),
    SalesData[[#This Row],[Unit Price]])</f>
        <v>10</v>
      </c>
      <c r="M394" s="15">
        <v>3.68</v>
      </c>
      <c r="N394" s="15">
        <f>SalesData[[#This Row],[Quantity Sold]] * SalesData[[#This Row],[Cleaned Unit Price]]</f>
        <v>30</v>
      </c>
      <c r="O394" s="15">
        <f>SalesData[[#This Row],[Quantity Sold]] * SalesData[[#This Row],[Unit Cost]]</f>
        <v>11.040000000000001</v>
      </c>
      <c r="P394" s="15">
        <f>SalesData[[#This Row],[Revenue]] - SalesData[[#This Row],[Cost]]</f>
        <v>18.96</v>
      </c>
      <c r="Q394" s="13">
        <f>IF(SalesData[[#This Row],[Revenue]]=0,0,SalesData[[#This Row],[Profit]]/SalesData[[#This Row],[Revenue]])</f>
        <v>0.63200000000000001</v>
      </c>
      <c r="R394" t="s">
        <v>1076</v>
      </c>
      <c r="S394" t="s">
        <v>1275</v>
      </c>
      <c r="T394" t="str">
        <f>PROPER(SalesData[[#This Row],[Customer Name]])</f>
        <v>Harper Smith</v>
      </c>
      <c r="U394" t="s">
        <v>1415</v>
      </c>
      <c r="V394" t="s">
        <v>1427</v>
      </c>
    </row>
    <row r="395" spans="1:22" x14ac:dyDescent="0.25">
      <c r="A395" t="s">
        <v>1821</v>
      </c>
      <c r="B395" s="5">
        <v>45424</v>
      </c>
      <c r="C395" s="2" t="str">
        <f>TEXT(SalesData[[#This Row],[Order Date]],"mmm")</f>
        <v>May</v>
      </c>
      <c r="D395" s="7">
        <f>MONTH(SalesData[[#This Row],[Order Date]])</f>
        <v>5</v>
      </c>
      <c r="E395" s="7">
        <f>YEAR(SalesData[[#This Row],[Order Date]])</f>
        <v>2024</v>
      </c>
      <c r="F395" t="s">
        <v>48</v>
      </c>
      <c r="G395" t="str">
        <f>PROPER(SalesData[[#This Row],[Product Name]])</f>
        <v>Eco Canvas Tote Bag</v>
      </c>
      <c r="H395" t="s">
        <v>1013</v>
      </c>
      <c r="I395" t="str">
        <f>UPPER(SalesData[[#This Row],[Product Category]])</f>
        <v>BAGS</v>
      </c>
      <c r="J395">
        <v>7</v>
      </c>
      <c r="K395">
        <v>25</v>
      </c>
      <c r="L395" s="15">
        <f>IF(SalesData[[#This Row],[Unit Price]]="",
    AVERAGEIFS(SalesData[Unit Price],
               SalesData[Product Name],SalesData[[#This Row],[Product Name]]),
    SalesData[[#This Row],[Unit Price]])</f>
        <v>25</v>
      </c>
      <c r="M395" s="15">
        <v>5.54</v>
      </c>
      <c r="N395" s="15">
        <f>SalesData[[#This Row],[Quantity Sold]] * SalesData[[#This Row],[Cleaned Unit Price]]</f>
        <v>175</v>
      </c>
      <c r="O395" s="15">
        <f>SalesData[[#This Row],[Quantity Sold]] * SalesData[[#This Row],[Unit Cost]]</f>
        <v>38.78</v>
      </c>
      <c r="P395" s="15">
        <f>SalesData[[#This Row],[Revenue]] - SalesData[[#This Row],[Cost]]</f>
        <v>136.22</v>
      </c>
      <c r="Q395" s="13">
        <f>IF(SalesData[[#This Row],[Revenue]]=0,0,SalesData[[#This Row],[Profit]]/SalesData[[#This Row],[Revenue]])</f>
        <v>0.77839999999999998</v>
      </c>
      <c r="R395" t="s">
        <v>1047</v>
      </c>
      <c r="S395" t="s">
        <v>1246</v>
      </c>
      <c r="T395" t="str">
        <f>PROPER(SalesData[[#This Row],[Customer Name]])</f>
        <v>Mia Johnson</v>
      </c>
      <c r="U395" t="s">
        <v>1414</v>
      </c>
      <c r="V395" t="s">
        <v>1418</v>
      </c>
    </row>
    <row r="396" spans="1:22" x14ac:dyDescent="0.25">
      <c r="A396" t="s">
        <v>1822</v>
      </c>
      <c r="B396" s="5">
        <v>45424</v>
      </c>
      <c r="C396" s="2" t="str">
        <f>TEXT(SalesData[[#This Row],[Order Date]],"mmm")</f>
        <v>May</v>
      </c>
      <c r="D396" s="7">
        <f>MONTH(SalesData[[#This Row],[Order Date]])</f>
        <v>5</v>
      </c>
      <c r="E396" s="7">
        <f>YEAR(SalesData[[#This Row],[Order Date]])</f>
        <v>2024</v>
      </c>
      <c r="F396" t="s">
        <v>200</v>
      </c>
      <c r="G396" t="str">
        <f>PROPER(SalesData[[#This Row],[Product Name]])</f>
        <v>Reusable Bamboo Utensil Set</v>
      </c>
      <c r="H396" t="s">
        <v>1014</v>
      </c>
      <c r="I396" t="str">
        <f>UPPER(SalesData[[#This Row],[Product Category]])</f>
        <v>KITCHENWARE</v>
      </c>
      <c r="J396">
        <v>2</v>
      </c>
      <c r="K396">
        <v>15</v>
      </c>
      <c r="L396" s="15">
        <f>IF(SalesData[[#This Row],[Unit Price]]="",
    AVERAGEIFS(SalesData[Unit Price],
               SalesData[Product Name],SalesData[[#This Row],[Product Name]]),
    SalesData[[#This Row],[Unit Price]])</f>
        <v>15</v>
      </c>
      <c r="M396" s="15">
        <v>3.17</v>
      </c>
      <c r="N396" s="15">
        <f>SalesData[[#This Row],[Quantity Sold]] * SalesData[[#This Row],[Cleaned Unit Price]]</f>
        <v>30</v>
      </c>
      <c r="O396" s="15">
        <f>SalesData[[#This Row],[Quantity Sold]] * SalesData[[#This Row],[Unit Cost]]</f>
        <v>6.34</v>
      </c>
      <c r="P396" s="15">
        <f>SalesData[[#This Row],[Revenue]] - SalesData[[#This Row],[Cost]]</f>
        <v>23.66</v>
      </c>
      <c r="Q396" s="13">
        <f>IF(SalesData[[#This Row],[Revenue]]=0,0,SalesData[[#This Row],[Profit]]/SalesData[[#This Row],[Revenue]])</f>
        <v>0.78866666666666663</v>
      </c>
      <c r="R396" t="s">
        <v>1066</v>
      </c>
      <c r="S396" t="s">
        <v>1265</v>
      </c>
      <c r="T396" t="str">
        <f>PROPER(SalesData[[#This Row],[Customer Name]])</f>
        <v>Liam Rodriguez</v>
      </c>
      <c r="U396" t="s">
        <v>1416</v>
      </c>
      <c r="V396" t="s">
        <v>1426</v>
      </c>
    </row>
    <row r="397" spans="1:22" x14ac:dyDescent="0.25">
      <c r="A397" t="s">
        <v>1823</v>
      </c>
      <c r="B397" s="5">
        <v>45424</v>
      </c>
      <c r="C397" s="2" t="str">
        <f>TEXT(SalesData[[#This Row],[Order Date]],"mmm")</f>
        <v>May</v>
      </c>
      <c r="D397" s="7">
        <f>MONTH(SalesData[[#This Row],[Order Date]])</f>
        <v>5</v>
      </c>
      <c r="E397" s="7">
        <f>YEAR(SalesData[[#This Row],[Order Date]])</f>
        <v>2024</v>
      </c>
      <c r="F397" t="s">
        <v>769</v>
      </c>
      <c r="G397" t="str">
        <f>PROPER(SalesData[[#This Row],[Product Name]])</f>
        <v>Solar Led Lantern</v>
      </c>
      <c r="H397" t="s">
        <v>1012</v>
      </c>
      <c r="I397" t="str">
        <f>UPPER(SalesData[[#This Row],[Product Category]])</f>
        <v>LIGHTING</v>
      </c>
      <c r="J397">
        <v>8</v>
      </c>
      <c r="L397" s="15">
        <f>IF(SalesData[[#This Row],[Unit Price]]="",
    AVERAGEIFS(SalesData[Unit Price],
               SalesData[Product Name],SalesData[[#This Row],[Product Name]]),
    SalesData[[#This Row],[Unit Price]])</f>
        <v>40</v>
      </c>
      <c r="M397" s="15">
        <v>13.61</v>
      </c>
      <c r="N397" s="15">
        <f>SalesData[[#This Row],[Quantity Sold]] * SalesData[[#This Row],[Cleaned Unit Price]]</f>
        <v>320</v>
      </c>
      <c r="O397" s="15">
        <f>SalesData[[#This Row],[Quantity Sold]] * SalesData[[#This Row],[Unit Cost]]</f>
        <v>108.88</v>
      </c>
      <c r="P397" s="15">
        <f>SalesData[[#This Row],[Revenue]] - SalesData[[#This Row],[Cost]]</f>
        <v>211.12</v>
      </c>
      <c r="Q397" s="13">
        <f>IF(SalesData[[#This Row],[Revenue]]=0,0,SalesData[[#This Row],[Profit]]/SalesData[[#This Row],[Revenue]])</f>
        <v>0.65975000000000006</v>
      </c>
      <c r="R397" t="s">
        <v>1146</v>
      </c>
      <c r="S397" t="s">
        <v>1345</v>
      </c>
      <c r="T397" t="str">
        <f>PROPER(SalesData[[#This Row],[Customer Name]])</f>
        <v>Logan Martinez</v>
      </c>
      <c r="U397" t="s">
        <v>1414</v>
      </c>
      <c r="V397" t="s">
        <v>1427</v>
      </c>
    </row>
    <row r="398" spans="1:22" x14ac:dyDescent="0.25">
      <c r="A398" t="s">
        <v>1824</v>
      </c>
      <c r="B398" s="5">
        <v>45425</v>
      </c>
      <c r="C398" s="2" t="str">
        <f>TEXT(SalesData[[#This Row],[Order Date]],"mmm")</f>
        <v>May</v>
      </c>
      <c r="D398" s="7">
        <f>MONTH(SalesData[[#This Row],[Order Date]])</f>
        <v>5</v>
      </c>
      <c r="E398" s="7">
        <f>YEAR(SalesData[[#This Row],[Order Date]])</f>
        <v>2024</v>
      </c>
      <c r="F398" t="s">
        <v>275</v>
      </c>
      <c r="G398" t="str">
        <f>PROPER(SalesData[[#This Row],[Product Name]])</f>
        <v>Biodegradable Cleaning Cloth</v>
      </c>
      <c r="H398" t="s">
        <v>1015</v>
      </c>
      <c r="I398" t="str">
        <f>UPPER(SalesData[[#This Row],[Product Category]])</f>
        <v>CLEANING</v>
      </c>
      <c r="J398">
        <v>1</v>
      </c>
      <c r="K398">
        <v>10</v>
      </c>
      <c r="L398" s="15">
        <f>IF(SalesData[[#This Row],[Unit Price]]="",
    AVERAGEIFS(SalesData[Unit Price],
               SalesData[Product Name],SalesData[[#This Row],[Product Name]]),
    SalesData[[#This Row],[Unit Price]])</f>
        <v>10</v>
      </c>
      <c r="M398" s="15">
        <v>2.72</v>
      </c>
      <c r="N398" s="15">
        <f>SalesData[[#This Row],[Quantity Sold]] * SalesData[[#This Row],[Cleaned Unit Price]]</f>
        <v>10</v>
      </c>
      <c r="O398" s="15">
        <f>SalesData[[#This Row],[Quantity Sold]] * SalesData[[#This Row],[Unit Cost]]</f>
        <v>2.72</v>
      </c>
      <c r="P398" s="15">
        <f>SalesData[[#This Row],[Revenue]] - SalesData[[#This Row],[Cost]]</f>
        <v>7.2799999999999994</v>
      </c>
      <c r="Q398" s="13">
        <f>IF(SalesData[[#This Row],[Revenue]]=0,0,SalesData[[#This Row],[Profit]]/SalesData[[#This Row],[Revenue]])</f>
        <v>0.72799999999999998</v>
      </c>
      <c r="R398" t="s">
        <v>1026</v>
      </c>
      <c r="S398" t="s">
        <v>1225</v>
      </c>
      <c r="T398" t="str">
        <f>PROPER(SalesData[[#This Row],[Customer Name]])</f>
        <v>Evelyn Martinez</v>
      </c>
      <c r="U398" t="s">
        <v>1417</v>
      </c>
      <c r="V398" t="s">
        <v>1418</v>
      </c>
    </row>
    <row r="399" spans="1:22" x14ac:dyDescent="0.25">
      <c r="A399" t="s">
        <v>1825</v>
      </c>
      <c r="B399" s="5">
        <v>45425</v>
      </c>
      <c r="C399" s="2" t="str">
        <f>TEXT(SalesData[[#This Row],[Order Date]],"mmm")</f>
        <v>May</v>
      </c>
      <c r="D399" s="7">
        <f>MONTH(SalesData[[#This Row],[Order Date]])</f>
        <v>5</v>
      </c>
      <c r="E399" s="7">
        <f>YEAR(SalesData[[#This Row],[Order Date]])</f>
        <v>2024</v>
      </c>
      <c r="F399" t="s">
        <v>483</v>
      </c>
      <c r="G399" t="str">
        <f>PROPER(SalesData[[#This Row],[Product Name]])</f>
        <v>Biodegradable Cleaning Cloth</v>
      </c>
      <c r="H399" t="s">
        <v>1015</v>
      </c>
      <c r="I399" t="str">
        <f>UPPER(SalesData[[#This Row],[Product Category]])</f>
        <v>CLEANING</v>
      </c>
      <c r="J399">
        <v>3</v>
      </c>
      <c r="K399">
        <v>10</v>
      </c>
      <c r="L399" s="15">
        <f>IF(SalesData[[#This Row],[Unit Price]]="",
    AVERAGEIFS(SalesData[Unit Price],
               SalesData[Product Name],SalesData[[#This Row],[Product Name]]),
    SalesData[[#This Row],[Unit Price]])</f>
        <v>10</v>
      </c>
      <c r="M399" s="15">
        <v>2.4700000000000002</v>
      </c>
      <c r="N399" s="15">
        <f>SalesData[[#This Row],[Quantity Sold]] * SalesData[[#This Row],[Cleaned Unit Price]]</f>
        <v>30</v>
      </c>
      <c r="O399" s="15">
        <f>SalesData[[#This Row],[Quantity Sold]] * SalesData[[#This Row],[Unit Cost]]</f>
        <v>7.41</v>
      </c>
      <c r="P399" s="15">
        <f>SalesData[[#This Row],[Revenue]] - SalesData[[#This Row],[Cost]]</f>
        <v>22.59</v>
      </c>
      <c r="Q399" s="13">
        <f>IF(SalesData[[#This Row],[Revenue]]=0,0,SalesData[[#This Row],[Profit]]/SalesData[[#This Row],[Revenue]])</f>
        <v>0.753</v>
      </c>
      <c r="R399" t="s">
        <v>1020</v>
      </c>
      <c r="S399" t="s">
        <v>1219</v>
      </c>
      <c r="T399" t="str">
        <f>PROPER(SalesData[[#This Row],[Customer Name]])</f>
        <v>Noah Garcia</v>
      </c>
      <c r="U399" t="s">
        <v>1414</v>
      </c>
      <c r="V399" t="s">
        <v>1420</v>
      </c>
    </row>
    <row r="400" spans="1:22" x14ac:dyDescent="0.25">
      <c r="A400" t="s">
        <v>1826</v>
      </c>
      <c r="B400" s="5">
        <v>45426</v>
      </c>
      <c r="C400" s="2" t="str">
        <f>TEXT(SalesData[[#This Row],[Order Date]],"mmm")</f>
        <v>May</v>
      </c>
      <c r="D400" s="7">
        <f>MONTH(SalesData[[#This Row],[Order Date]])</f>
        <v>5</v>
      </c>
      <c r="E400" s="7">
        <f>YEAR(SalesData[[#This Row],[Order Date]])</f>
        <v>2024</v>
      </c>
      <c r="F400" t="s">
        <v>73</v>
      </c>
      <c r="G400" t="str">
        <f>PROPER(SalesData[[#This Row],[Product Name]])</f>
        <v>Reusable Bamboo Utensil Set</v>
      </c>
      <c r="H400" t="s">
        <v>1014</v>
      </c>
      <c r="I400" t="str">
        <f>UPPER(SalesData[[#This Row],[Product Category]])</f>
        <v>KITCHENWARE</v>
      </c>
      <c r="J400">
        <v>6</v>
      </c>
      <c r="K400">
        <v>15</v>
      </c>
      <c r="L400" s="15">
        <f>IF(SalesData[[#This Row],[Unit Price]]="",
    AVERAGEIFS(SalesData[Unit Price],
               SalesData[Product Name],SalesData[[#This Row],[Product Name]]),
    SalesData[[#This Row],[Unit Price]])</f>
        <v>15</v>
      </c>
      <c r="M400" s="15">
        <v>5.97</v>
      </c>
      <c r="N400" s="15">
        <f>SalesData[[#This Row],[Quantity Sold]] * SalesData[[#This Row],[Cleaned Unit Price]]</f>
        <v>90</v>
      </c>
      <c r="O400" s="15">
        <f>SalesData[[#This Row],[Quantity Sold]] * SalesData[[#This Row],[Unit Cost]]</f>
        <v>35.82</v>
      </c>
      <c r="P400" s="15">
        <f>SalesData[[#This Row],[Revenue]] - SalesData[[#This Row],[Cost]]</f>
        <v>54.18</v>
      </c>
      <c r="Q400" s="13">
        <f>IF(SalesData[[#This Row],[Revenue]]=0,0,SalesData[[#This Row],[Profit]]/SalesData[[#This Row],[Revenue]])</f>
        <v>0.60199999999999998</v>
      </c>
      <c r="R400" t="s">
        <v>1067</v>
      </c>
      <c r="S400" t="s">
        <v>1266</v>
      </c>
      <c r="T400" t="str">
        <f>PROPER(SalesData[[#This Row],[Customer Name]])</f>
        <v>Charlotte Jones</v>
      </c>
      <c r="U400" t="s">
        <v>1414</v>
      </c>
      <c r="V400" t="s">
        <v>1426</v>
      </c>
    </row>
    <row r="401" spans="1:22" x14ac:dyDescent="0.25">
      <c r="A401" t="s">
        <v>1827</v>
      </c>
      <c r="B401" s="5">
        <v>45426</v>
      </c>
      <c r="C401" s="2" t="str">
        <f>TEXT(SalesData[[#This Row],[Order Date]],"mmm")</f>
        <v>May</v>
      </c>
      <c r="D401" s="7">
        <f>MONTH(SalesData[[#This Row],[Order Date]])</f>
        <v>5</v>
      </c>
      <c r="E401" s="7">
        <f>YEAR(SalesData[[#This Row],[Order Date]])</f>
        <v>2024</v>
      </c>
      <c r="F401" t="s">
        <v>586</v>
      </c>
      <c r="G401" t="str">
        <f>PROPER(SalesData[[#This Row],[Product Name]])</f>
        <v>Biodegradable Cleaning Cloth</v>
      </c>
      <c r="H401" t="s">
        <v>1015</v>
      </c>
      <c r="I401" t="str">
        <f>UPPER(SalesData[[#This Row],[Product Category]])</f>
        <v>CLEANING</v>
      </c>
      <c r="J401">
        <v>7</v>
      </c>
      <c r="K401">
        <v>10</v>
      </c>
      <c r="L401" s="15">
        <f>IF(SalesData[[#This Row],[Unit Price]]="",
    AVERAGEIFS(SalesData[Unit Price],
               SalesData[Product Name],SalesData[[#This Row],[Product Name]]),
    SalesData[[#This Row],[Unit Price]])</f>
        <v>10</v>
      </c>
      <c r="M401" s="15">
        <v>2.06</v>
      </c>
      <c r="N401" s="15">
        <f>SalesData[[#This Row],[Quantity Sold]] * SalesData[[#This Row],[Cleaned Unit Price]]</f>
        <v>70</v>
      </c>
      <c r="O401" s="15">
        <f>SalesData[[#This Row],[Quantity Sold]] * SalesData[[#This Row],[Unit Cost]]</f>
        <v>14.42</v>
      </c>
      <c r="P401" s="15">
        <f>SalesData[[#This Row],[Revenue]] - SalesData[[#This Row],[Cost]]</f>
        <v>55.58</v>
      </c>
      <c r="Q401" s="13">
        <f>IF(SalesData[[#This Row],[Revenue]]=0,0,SalesData[[#This Row],[Profit]]/SalesData[[#This Row],[Revenue]])</f>
        <v>0.79399999999999993</v>
      </c>
      <c r="R401" t="s">
        <v>1157</v>
      </c>
      <c r="S401" t="s">
        <v>1356</v>
      </c>
      <c r="T401" t="str">
        <f>PROPER(SalesData[[#This Row],[Customer Name]])</f>
        <v>Mason Rodriguez</v>
      </c>
      <c r="U401" t="s">
        <v>1414</v>
      </c>
      <c r="V401" t="s">
        <v>1419</v>
      </c>
    </row>
    <row r="402" spans="1:22" x14ac:dyDescent="0.25">
      <c r="A402" t="s">
        <v>1828</v>
      </c>
      <c r="B402" s="5">
        <v>45426</v>
      </c>
      <c r="C402" s="2" t="str">
        <f>TEXT(SalesData[[#This Row],[Order Date]],"mmm")</f>
        <v>May</v>
      </c>
      <c r="D402" s="7">
        <f>MONTH(SalesData[[#This Row],[Order Date]])</f>
        <v>5</v>
      </c>
      <c r="E402" s="7">
        <f>YEAR(SalesData[[#This Row],[Order Date]])</f>
        <v>2024</v>
      </c>
      <c r="F402" t="s">
        <v>601</v>
      </c>
      <c r="G402" t="str">
        <f>PROPER(SalesData[[#This Row],[Product Name]])</f>
        <v>Solar Led Lantern</v>
      </c>
      <c r="H402" t="s">
        <v>1012</v>
      </c>
      <c r="I402" t="str">
        <f>UPPER(SalesData[[#This Row],[Product Category]])</f>
        <v>LIGHTING</v>
      </c>
      <c r="J402">
        <v>3</v>
      </c>
      <c r="K402">
        <v>40</v>
      </c>
      <c r="L402" s="15">
        <f>IF(SalesData[[#This Row],[Unit Price]]="",
    AVERAGEIFS(SalesData[Unit Price],
               SalesData[Product Name],SalesData[[#This Row],[Product Name]]),
    SalesData[[#This Row],[Unit Price]])</f>
        <v>40</v>
      </c>
      <c r="M402" s="15">
        <v>9.3000000000000007</v>
      </c>
      <c r="N402" s="15">
        <f>SalesData[[#This Row],[Quantity Sold]] * SalesData[[#This Row],[Cleaned Unit Price]]</f>
        <v>120</v>
      </c>
      <c r="O402" s="15">
        <f>SalesData[[#This Row],[Quantity Sold]] * SalesData[[#This Row],[Unit Cost]]</f>
        <v>27.900000000000002</v>
      </c>
      <c r="P402" s="15">
        <f>SalesData[[#This Row],[Revenue]] - SalesData[[#This Row],[Cost]]</f>
        <v>92.1</v>
      </c>
      <c r="Q402" s="13">
        <f>IF(SalesData[[#This Row],[Revenue]]=0,0,SalesData[[#This Row],[Profit]]/SalesData[[#This Row],[Revenue]])</f>
        <v>0.76749999999999996</v>
      </c>
      <c r="R402" t="s">
        <v>1087</v>
      </c>
      <c r="S402" t="s">
        <v>1286</v>
      </c>
      <c r="T402" t="str">
        <f>PROPER(SalesData[[#This Row],[Customer Name]])</f>
        <v>Liam Smith</v>
      </c>
      <c r="U402" t="s">
        <v>1414</v>
      </c>
      <c r="V402" t="s">
        <v>1422</v>
      </c>
    </row>
    <row r="403" spans="1:22" x14ac:dyDescent="0.25">
      <c r="A403" t="s">
        <v>1829</v>
      </c>
      <c r="B403" s="5">
        <v>45426</v>
      </c>
      <c r="C403" s="2" t="str">
        <f>TEXT(SalesData[[#This Row],[Order Date]],"mmm")</f>
        <v>May</v>
      </c>
      <c r="D403" s="7">
        <f>MONTH(SalesData[[#This Row],[Order Date]])</f>
        <v>5</v>
      </c>
      <c r="E403" s="7">
        <f>YEAR(SalesData[[#This Row],[Order Date]])</f>
        <v>2024</v>
      </c>
      <c r="F403" t="s">
        <v>800</v>
      </c>
      <c r="G403" t="str">
        <f>PROPER(SalesData[[#This Row],[Product Name]])</f>
        <v>Eco Canvas Tote Bag</v>
      </c>
      <c r="H403" t="s">
        <v>1013</v>
      </c>
      <c r="I403" t="str">
        <f>UPPER(SalesData[[#This Row],[Product Category]])</f>
        <v>BAGS</v>
      </c>
      <c r="J403">
        <v>9</v>
      </c>
      <c r="K403">
        <v>25</v>
      </c>
      <c r="L403" s="15">
        <f>IF(SalesData[[#This Row],[Unit Price]]="",
    AVERAGEIFS(SalesData[Unit Price],
               SalesData[Product Name],SalesData[[#This Row],[Product Name]]),
    SalesData[[#This Row],[Unit Price]])</f>
        <v>25</v>
      </c>
      <c r="M403" s="15">
        <v>8.24</v>
      </c>
      <c r="N403" s="15">
        <f>SalesData[[#This Row],[Quantity Sold]] * SalesData[[#This Row],[Cleaned Unit Price]]</f>
        <v>225</v>
      </c>
      <c r="O403" s="15">
        <f>SalesData[[#This Row],[Quantity Sold]] * SalesData[[#This Row],[Unit Cost]]</f>
        <v>74.16</v>
      </c>
      <c r="P403" s="15">
        <f>SalesData[[#This Row],[Revenue]] - SalesData[[#This Row],[Cost]]</f>
        <v>150.84</v>
      </c>
      <c r="Q403" s="13">
        <f>IF(SalesData[[#This Row],[Revenue]]=0,0,SalesData[[#This Row],[Profit]]/SalesData[[#This Row],[Revenue]])</f>
        <v>0.6704</v>
      </c>
      <c r="R403" t="s">
        <v>1076</v>
      </c>
      <c r="S403" t="s">
        <v>1275</v>
      </c>
      <c r="T403" t="str">
        <f>PROPER(SalesData[[#This Row],[Customer Name]])</f>
        <v>Harper Smith</v>
      </c>
      <c r="U403" t="s">
        <v>1416</v>
      </c>
      <c r="V403" t="s">
        <v>1421</v>
      </c>
    </row>
    <row r="404" spans="1:22" x14ac:dyDescent="0.25">
      <c r="A404" t="s">
        <v>1830</v>
      </c>
      <c r="B404" s="5">
        <v>45426</v>
      </c>
      <c r="C404" s="2" t="str">
        <f>TEXT(SalesData[[#This Row],[Order Date]],"mmm")</f>
        <v>May</v>
      </c>
      <c r="D404" s="7">
        <f>MONTH(SalesData[[#This Row],[Order Date]])</f>
        <v>5</v>
      </c>
      <c r="E404" s="7">
        <f>YEAR(SalesData[[#This Row],[Order Date]])</f>
        <v>2024</v>
      </c>
      <c r="F404" t="s">
        <v>837</v>
      </c>
      <c r="G404" t="str">
        <f>PROPER(SalesData[[#This Row],[Product Name]])</f>
        <v>Compostable Plant Pots</v>
      </c>
      <c r="H404" t="s">
        <v>1011</v>
      </c>
      <c r="I404" t="str">
        <f>UPPER(SalesData[[#This Row],[Product Category]])</f>
        <v>GARDENING</v>
      </c>
      <c r="J404">
        <v>2</v>
      </c>
      <c r="K404">
        <v>12</v>
      </c>
      <c r="L404" s="15">
        <f>IF(SalesData[[#This Row],[Unit Price]]="",
    AVERAGEIFS(SalesData[Unit Price],
               SalesData[Product Name],SalesData[[#This Row],[Product Name]]),
    SalesData[[#This Row],[Unit Price]])</f>
        <v>12</v>
      </c>
      <c r="M404" s="15">
        <v>4.5999999999999996</v>
      </c>
      <c r="N404" s="15">
        <f>SalesData[[#This Row],[Quantity Sold]] * SalesData[[#This Row],[Cleaned Unit Price]]</f>
        <v>24</v>
      </c>
      <c r="O404" s="15">
        <f>SalesData[[#This Row],[Quantity Sold]] * SalesData[[#This Row],[Unit Cost]]</f>
        <v>9.1999999999999993</v>
      </c>
      <c r="P404" s="15">
        <f>SalesData[[#This Row],[Revenue]] - SalesData[[#This Row],[Cost]]</f>
        <v>14.8</v>
      </c>
      <c r="Q404" s="13">
        <f>IF(SalesData[[#This Row],[Revenue]]=0,0,SalesData[[#This Row],[Profit]]/SalesData[[#This Row],[Revenue]])</f>
        <v>0.6166666666666667</v>
      </c>
      <c r="R404" t="s">
        <v>1082</v>
      </c>
      <c r="S404" t="s">
        <v>1281</v>
      </c>
      <c r="T404" t="str">
        <f>PROPER(SalesData[[#This Row],[Customer Name]])</f>
        <v>Mia Brown</v>
      </c>
      <c r="U404" t="s">
        <v>1414</v>
      </c>
      <c r="V404" t="s">
        <v>1420</v>
      </c>
    </row>
    <row r="405" spans="1:22" x14ac:dyDescent="0.25">
      <c r="A405" t="s">
        <v>1831</v>
      </c>
      <c r="B405" s="5">
        <v>45426</v>
      </c>
      <c r="C405" s="2" t="str">
        <f>TEXT(SalesData[[#This Row],[Order Date]],"mmm")</f>
        <v>May</v>
      </c>
      <c r="D405" s="7">
        <f>MONTH(SalesData[[#This Row],[Order Date]])</f>
        <v>5</v>
      </c>
      <c r="E405" s="7">
        <f>YEAR(SalesData[[#This Row],[Order Date]])</f>
        <v>2024</v>
      </c>
      <c r="F405" t="s">
        <v>903</v>
      </c>
      <c r="G405" t="str">
        <f>PROPER(SalesData[[#This Row],[Product Name]])</f>
        <v>Solar Led Lantern</v>
      </c>
      <c r="H405" t="s">
        <v>1012</v>
      </c>
      <c r="I405" t="str">
        <f>UPPER(SalesData[[#This Row],[Product Category]])</f>
        <v>LIGHTING</v>
      </c>
      <c r="J405">
        <v>4</v>
      </c>
      <c r="K405">
        <v>40</v>
      </c>
      <c r="L405" s="15">
        <f>IF(SalesData[[#This Row],[Unit Price]]="",
    AVERAGEIFS(SalesData[Unit Price],
               SalesData[Product Name],SalesData[[#This Row],[Product Name]]),
    SalesData[[#This Row],[Unit Price]])</f>
        <v>40</v>
      </c>
      <c r="M405" s="15">
        <v>14.68</v>
      </c>
      <c r="N405" s="15">
        <f>SalesData[[#This Row],[Quantity Sold]] * SalesData[[#This Row],[Cleaned Unit Price]]</f>
        <v>160</v>
      </c>
      <c r="O405" s="15">
        <f>SalesData[[#This Row],[Quantity Sold]] * SalesData[[#This Row],[Unit Cost]]</f>
        <v>58.72</v>
      </c>
      <c r="P405" s="15">
        <f>SalesData[[#This Row],[Revenue]] - SalesData[[#This Row],[Cost]]</f>
        <v>101.28</v>
      </c>
      <c r="Q405" s="13">
        <f>IF(SalesData[[#This Row],[Revenue]]=0,0,SalesData[[#This Row],[Profit]]/SalesData[[#This Row],[Revenue]])</f>
        <v>0.63300000000000001</v>
      </c>
      <c r="R405" t="s">
        <v>1140</v>
      </c>
      <c r="S405" t="s">
        <v>1339</v>
      </c>
      <c r="T405" t="str">
        <f>PROPER(SalesData[[#This Row],[Customer Name]])</f>
        <v>Oliver Smith</v>
      </c>
      <c r="U405" t="s">
        <v>1414</v>
      </c>
      <c r="V405" t="s">
        <v>1423</v>
      </c>
    </row>
    <row r="406" spans="1:22" x14ac:dyDescent="0.25">
      <c r="A406" t="s">
        <v>1832</v>
      </c>
      <c r="B406" s="5">
        <v>45426</v>
      </c>
      <c r="C406" s="2" t="str">
        <f>TEXT(SalesData[[#This Row],[Order Date]],"mmm")</f>
        <v>May</v>
      </c>
      <c r="D406" s="7">
        <f>MONTH(SalesData[[#This Row],[Order Date]])</f>
        <v>5</v>
      </c>
      <c r="E406" s="7">
        <f>YEAR(SalesData[[#This Row],[Order Date]])</f>
        <v>2024</v>
      </c>
      <c r="F406" t="s">
        <v>976</v>
      </c>
      <c r="G406" t="str">
        <f>PROPER(SalesData[[#This Row],[Product Name]])</f>
        <v>Compostable Plant Pots</v>
      </c>
      <c r="H406" t="s">
        <v>1011</v>
      </c>
      <c r="I406" t="str">
        <f>UPPER(SalesData[[#This Row],[Product Category]])</f>
        <v>GARDENING</v>
      </c>
      <c r="J406">
        <v>6</v>
      </c>
      <c r="K406">
        <v>12</v>
      </c>
      <c r="L406" s="15">
        <f>IF(SalesData[[#This Row],[Unit Price]]="",
    AVERAGEIFS(SalesData[Unit Price],
               SalesData[Product Name],SalesData[[#This Row],[Product Name]]),
    SalesData[[#This Row],[Unit Price]])</f>
        <v>12</v>
      </c>
      <c r="M406" s="15">
        <v>3.84</v>
      </c>
      <c r="N406" s="15">
        <f>SalesData[[#This Row],[Quantity Sold]] * SalesData[[#This Row],[Cleaned Unit Price]]</f>
        <v>72</v>
      </c>
      <c r="O406" s="15">
        <f>SalesData[[#This Row],[Quantity Sold]] * SalesData[[#This Row],[Unit Cost]]</f>
        <v>23.04</v>
      </c>
      <c r="P406" s="15">
        <f>SalesData[[#This Row],[Revenue]] - SalesData[[#This Row],[Cost]]</f>
        <v>48.96</v>
      </c>
      <c r="Q406" s="13">
        <f>IF(SalesData[[#This Row],[Revenue]]=0,0,SalesData[[#This Row],[Profit]]/SalesData[[#This Row],[Revenue]])</f>
        <v>0.68</v>
      </c>
      <c r="R406" t="s">
        <v>1154</v>
      </c>
      <c r="S406" t="s">
        <v>1353</v>
      </c>
      <c r="T406" t="str">
        <f>PROPER(SalesData[[#This Row],[Customer Name]])</f>
        <v>Olivia Miller</v>
      </c>
      <c r="U406" t="s">
        <v>1417</v>
      </c>
      <c r="V406" t="s">
        <v>1421</v>
      </c>
    </row>
    <row r="407" spans="1:22" x14ac:dyDescent="0.25">
      <c r="A407" t="s">
        <v>1833</v>
      </c>
      <c r="B407" s="5">
        <v>45427</v>
      </c>
      <c r="C407" s="2" t="str">
        <f>TEXT(SalesData[[#This Row],[Order Date]],"mmm")</f>
        <v>May</v>
      </c>
      <c r="D407" s="7">
        <f>MONTH(SalesData[[#This Row],[Order Date]])</f>
        <v>5</v>
      </c>
      <c r="E407" s="7">
        <f>YEAR(SalesData[[#This Row],[Order Date]])</f>
        <v>2024</v>
      </c>
      <c r="F407" t="s">
        <v>879</v>
      </c>
      <c r="G407" t="str">
        <f>PROPER(SalesData[[#This Row],[Product Name]])</f>
        <v>Solar Led Lantern</v>
      </c>
      <c r="H407" t="s">
        <v>1012</v>
      </c>
      <c r="I407" t="str">
        <f>UPPER(SalesData[[#This Row],[Product Category]])</f>
        <v>LIGHTING</v>
      </c>
      <c r="J407">
        <v>7</v>
      </c>
      <c r="K407">
        <v>40</v>
      </c>
      <c r="L407" s="15">
        <f>IF(SalesData[[#This Row],[Unit Price]]="",
    AVERAGEIFS(SalesData[Unit Price],
               SalesData[Product Name],SalesData[[#This Row],[Product Name]]),
    SalesData[[#This Row],[Unit Price]])</f>
        <v>40</v>
      </c>
      <c r="M407" s="15">
        <v>11.74</v>
      </c>
      <c r="N407" s="15">
        <f>SalesData[[#This Row],[Quantity Sold]] * SalesData[[#This Row],[Cleaned Unit Price]]</f>
        <v>280</v>
      </c>
      <c r="O407" s="15">
        <f>SalesData[[#This Row],[Quantity Sold]] * SalesData[[#This Row],[Unit Cost]]</f>
        <v>82.18</v>
      </c>
      <c r="P407" s="15">
        <f>SalesData[[#This Row],[Revenue]] - SalesData[[#This Row],[Cost]]</f>
        <v>197.82</v>
      </c>
      <c r="Q407" s="13">
        <f>IF(SalesData[[#This Row],[Revenue]]=0,0,SalesData[[#This Row],[Profit]]/SalesData[[#This Row],[Revenue]])</f>
        <v>0.70650000000000002</v>
      </c>
      <c r="R407" t="s">
        <v>1154</v>
      </c>
      <c r="S407" t="s">
        <v>1353</v>
      </c>
      <c r="T407" t="str">
        <f>PROPER(SalesData[[#This Row],[Customer Name]])</f>
        <v>Olivia Miller</v>
      </c>
      <c r="U407" t="s">
        <v>1414</v>
      </c>
      <c r="V407" t="s">
        <v>1422</v>
      </c>
    </row>
    <row r="408" spans="1:22" x14ac:dyDescent="0.25">
      <c r="A408" t="s">
        <v>1834</v>
      </c>
      <c r="B408" s="5">
        <v>45428</v>
      </c>
      <c r="C408" s="2" t="str">
        <f>TEXT(SalesData[[#This Row],[Order Date]],"mmm")</f>
        <v>May</v>
      </c>
      <c r="D408" s="7">
        <f>MONTH(SalesData[[#This Row],[Order Date]])</f>
        <v>5</v>
      </c>
      <c r="E408" s="7">
        <f>YEAR(SalesData[[#This Row],[Order Date]])</f>
        <v>2024</v>
      </c>
      <c r="F408" t="s">
        <v>130</v>
      </c>
      <c r="G408" t="str">
        <f>PROPER(SalesData[[#This Row],[Product Name]])</f>
        <v>Biodegradable Cleaning Cloth</v>
      </c>
      <c r="H408" t="s">
        <v>1015</v>
      </c>
      <c r="I408" t="str">
        <f>UPPER(SalesData[[#This Row],[Product Category]])</f>
        <v>CLEANING</v>
      </c>
      <c r="J408">
        <v>2</v>
      </c>
      <c r="K408">
        <v>10</v>
      </c>
      <c r="L408" s="15">
        <f>IF(SalesData[[#This Row],[Unit Price]]="",
    AVERAGEIFS(SalesData[Unit Price],
               SalesData[Product Name],SalesData[[#This Row],[Product Name]]),
    SalesData[[#This Row],[Unit Price]])</f>
        <v>10</v>
      </c>
      <c r="M408" s="15">
        <v>2.6</v>
      </c>
      <c r="N408" s="15">
        <f>SalesData[[#This Row],[Quantity Sold]] * SalesData[[#This Row],[Cleaned Unit Price]]</f>
        <v>20</v>
      </c>
      <c r="O408" s="15">
        <f>SalesData[[#This Row],[Quantity Sold]] * SalesData[[#This Row],[Unit Cost]]</f>
        <v>5.2</v>
      </c>
      <c r="P408" s="15">
        <f>SalesData[[#This Row],[Revenue]] - SalesData[[#This Row],[Cost]]</f>
        <v>14.8</v>
      </c>
      <c r="Q408" s="13">
        <f>IF(SalesData[[#This Row],[Revenue]]=0,0,SalesData[[#This Row],[Profit]]/SalesData[[#This Row],[Revenue]])</f>
        <v>0.74</v>
      </c>
      <c r="R408" t="s">
        <v>1107</v>
      </c>
      <c r="S408" t="s">
        <v>1306</v>
      </c>
      <c r="T408" t="str">
        <f>PROPER(SalesData[[#This Row],[Customer Name]])</f>
        <v>Liam Rodriguez</v>
      </c>
      <c r="U408" t="s">
        <v>1414</v>
      </c>
      <c r="V408" t="s">
        <v>1422</v>
      </c>
    </row>
    <row r="409" spans="1:22" x14ac:dyDescent="0.25">
      <c r="A409" t="s">
        <v>1835</v>
      </c>
      <c r="B409" s="5">
        <v>45428</v>
      </c>
      <c r="C409" s="2" t="str">
        <f>TEXT(SalesData[[#This Row],[Order Date]],"mmm")</f>
        <v>May</v>
      </c>
      <c r="D409" s="7">
        <f>MONTH(SalesData[[#This Row],[Order Date]])</f>
        <v>5</v>
      </c>
      <c r="E409" s="7">
        <f>YEAR(SalesData[[#This Row],[Order Date]])</f>
        <v>2024</v>
      </c>
      <c r="F409" t="s">
        <v>148</v>
      </c>
      <c r="G409" t="str">
        <f>PROPER(SalesData[[#This Row],[Product Name]])</f>
        <v>Eco Canvas Tote Bag</v>
      </c>
      <c r="H409" t="s">
        <v>1013</v>
      </c>
      <c r="I409" t="str">
        <f>UPPER(SalesData[[#This Row],[Product Category]])</f>
        <v>BAGS</v>
      </c>
      <c r="J409">
        <v>6</v>
      </c>
      <c r="K409">
        <v>25</v>
      </c>
      <c r="L409" s="15">
        <f>IF(SalesData[[#This Row],[Unit Price]]="",
    AVERAGEIFS(SalesData[Unit Price],
               SalesData[Product Name],SalesData[[#This Row],[Product Name]]),
    SalesData[[#This Row],[Unit Price]])</f>
        <v>25</v>
      </c>
      <c r="M409" s="15">
        <v>5.69</v>
      </c>
      <c r="N409" s="15">
        <f>SalesData[[#This Row],[Quantity Sold]] * SalesData[[#This Row],[Cleaned Unit Price]]</f>
        <v>150</v>
      </c>
      <c r="O409" s="15">
        <f>SalesData[[#This Row],[Quantity Sold]] * SalesData[[#This Row],[Unit Cost]]</f>
        <v>34.14</v>
      </c>
      <c r="P409" s="15">
        <f>SalesData[[#This Row],[Revenue]] - SalesData[[#This Row],[Cost]]</f>
        <v>115.86</v>
      </c>
      <c r="Q409" s="13">
        <f>IF(SalesData[[#This Row],[Revenue]]=0,0,SalesData[[#This Row],[Profit]]/SalesData[[#This Row],[Revenue]])</f>
        <v>0.77239999999999998</v>
      </c>
      <c r="R409" t="s">
        <v>1047</v>
      </c>
      <c r="S409" t="s">
        <v>1246</v>
      </c>
      <c r="T409" t="str">
        <f>PROPER(SalesData[[#This Row],[Customer Name]])</f>
        <v>Mia Johnson</v>
      </c>
      <c r="U409" t="s">
        <v>1414</v>
      </c>
      <c r="V409" t="s">
        <v>1422</v>
      </c>
    </row>
    <row r="410" spans="1:22" x14ac:dyDescent="0.25">
      <c r="A410" t="s">
        <v>1836</v>
      </c>
      <c r="B410" s="5">
        <v>45428</v>
      </c>
      <c r="C410" s="2" t="str">
        <f>TEXT(SalesData[[#This Row],[Order Date]],"mmm")</f>
        <v>May</v>
      </c>
      <c r="D410" s="7">
        <f>MONTH(SalesData[[#This Row],[Order Date]])</f>
        <v>5</v>
      </c>
      <c r="E410" s="7">
        <f>YEAR(SalesData[[#This Row],[Order Date]])</f>
        <v>2024</v>
      </c>
      <c r="F410" t="s">
        <v>565</v>
      </c>
      <c r="G410" t="str">
        <f>PROPER(SalesData[[#This Row],[Product Name]])</f>
        <v>Eco Canvas Tote Bag</v>
      </c>
      <c r="H410" t="s">
        <v>1013</v>
      </c>
      <c r="I410" t="str">
        <f>UPPER(SalesData[[#This Row],[Product Category]])</f>
        <v>BAGS</v>
      </c>
      <c r="J410">
        <v>10</v>
      </c>
      <c r="L410" s="15">
        <f>IF(SalesData[[#This Row],[Unit Price]]="",
    AVERAGEIFS(SalesData[Unit Price],
               SalesData[Product Name],SalesData[[#This Row],[Product Name]]),
    SalesData[[#This Row],[Unit Price]])</f>
        <v>25</v>
      </c>
      <c r="M410" s="15">
        <v>9.11</v>
      </c>
      <c r="N410" s="15">
        <f>SalesData[[#This Row],[Quantity Sold]] * SalesData[[#This Row],[Cleaned Unit Price]]</f>
        <v>250</v>
      </c>
      <c r="O410" s="15">
        <f>SalesData[[#This Row],[Quantity Sold]] * SalesData[[#This Row],[Unit Cost]]</f>
        <v>91.1</v>
      </c>
      <c r="P410" s="15">
        <f>SalesData[[#This Row],[Revenue]] - SalesData[[#This Row],[Cost]]</f>
        <v>158.9</v>
      </c>
      <c r="Q410" s="13">
        <f>IF(SalesData[[#This Row],[Revenue]]=0,0,SalesData[[#This Row],[Profit]]/SalesData[[#This Row],[Revenue]])</f>
        <v>0.63560000000000005</v>
      </c>
      <c r="R410" t="s">
        <v>1017</v>
      </c>
      <c r="S410" t="s">
        <v>1216</v>
      </c>
      <c r="T410" t="str">
        <f>PROPER(SalesData[[#This Row],[Customer Name]])</f>
        <v>Mia Miller</v>
      </c>
      <c r="U410" t="s">
        <v>1414</v>
      </c>
      <c r="V410" t="s">
        <v>1420</v>
      </c>
    </row>
    <row r="411" spans="1:22" x14ac:dyDescent="0.25">
      <c r="A411" t="s">
        <v>1837</v>
      </c>
      <c r="B411" s="5">
        <v>45429</v>
      </c>
      <c r="C411" s="2" t="str">
        <f>TEXT(SalesData[[#This Row],[Order Date]],"mmm")</f>
        <v>May</v>
      </c>
      <c r="D411" s="7">
        <f>MONTH(SalesData[[#This Row],[Order Date]])</f>
        <v>5</v>
      </c>
      <c r="E411" s="7">
        <f>YEAR(SalesData[[#This Row],[Order Date]])</f>
        <v>2024</v>
      </c>
      <c r="F411" t="s">
        <v>895</v>
      </c>
      <c r="G411" t="str">
        <f>PROPER(SalesData[[#This Row],[Product Name]])</f>
        <v>Solar Led Lantern</v>
      </c>
      <c r="H411" t="s">
        <v>1012</v>
      </c>
      <c r="I411" t="str">
        <f>UPPER(SalesData[[#This Row],[Product Category]])</f>
        <v>LIGHTING</v>
      </c>
      <c r="J411">
        <v>8</v>
      </c>
      <c r="K411">
        <v>40</v>
      </c>
      <c r="L411" s="15">
        <f>IF(SalesData[[#This Row],[Unit Price]]="",
    AVERAGEIFS(SalesData[Unit Price],
               SalesData[Product Name],SalesData[[#This Row],[Product Name]]),
    SalesData[[#This Row],[Unit Price]])</f>
        <v>40</v>
      </c>
      <c r="M411" s="15">
        <v>14.14</v>
      </c>
      <c r="N411" s="15">
        <f>SalesData[[#This Row],[Quantity Sold]] * SalesData[[#This Row],[Cleaned Unit Price]]</f>
        <v>320</v>
      </c>
      <c r="O411" s="15">
        <f>SalesData[[#This Row],[Quantity Sold]] * SalesData[[#This Row],[Unit Cost]]</f>
        <v>113.12</v>
      </c>
      <c r="P411" s="15">
        <f>SalesData[[#This Row],[Revenue]] - SalesData[[#This Row],[Cost]]</f>
        <v>206.88</v>
      </c>
      <c r="Q411" s="13">
        <f>IF(SalesData[[#This Row],[Revenue]]=0,0,SalesData[[#This Row],[Profit]]/SalesData[[#This Row],[Revenue]])</f>
        <v>0.64649999999999996</v>
      </c>
      <c r="R411" t="s">
        <v>1092</v>
      </c>
      <c r="S411" t="s">
        <v>1291</v>
      </c>
      <c r="T411" t="str">
        <f>PROPER(SalesData[[#This Row],[Customer Name]])</f>
        <v>Emma Brown</v>
      </c>
      <c r="U411" t="s">
        <v>1416</v>
      </c>
      <c r="V411" t="s">
        <v>1419</v>
      </c>
    </row>
    <row r="412" spans="1:22" x14ac:dyDescent="0.25">
      <c r="A412" t="s">
        <v>1838</v>
      </c>
      <c r="B412" s="5">
        <v>45430</v>
      </c>
      <c r="C412" s="2" t="str">
        <f>TEXT(SalesData[[#This Row],[Order Date]],"mmm")</f>
        <v>May</v>
      </c>
      <c r="D412" s="7">
        <f>MONTH(SalesData[[#This Row],[Order Date]])</f>
        <v>5</v>
      </c>
      <c r="E412" s="7">
        <f>YEAR(SalesData[[#This Row],[Order Date]])</f>
        <v>2024</v>
      </c>
      <c r="F412" t="s">
        <v>120</v>
      </c>
      <c r="G412" t="str">
        <f>PROPER(SalesData[[#This Row],[Product Name]])</f>
        <v>Biodegradable Cleaning Cloth</v>
      </c>
      <c r="H412" t="s">
        <v>1015</v>
      </c>
      <c r="I412" t="str">
        <f>UPPER(SalesData[[#This Row],[Product Category]])</f>
        <v>CLEANING</v>
      </c>
      <c r="J412">
        <v>8</v>
      </c>
      <c r="K412">
        <v>10</v>
      </c>
      <c r="L412" s="15">
        <f>IF(SalesData[[#This Row],[Unit Price]]="",
    AVERAGEIFS(SalesData[Unit Price],
               SalesData[Product Name],SalesData[[#This Row],[Product Name]]),
    SalesData[[#This Row],[Unit Price]])</f>
        <v>10</v>
      </c>
      <c r="M412" s="15">
        <v>3.2</v>
      </c>
      <c r="N412" s="15">
        <f>SalesData[[#This Row],[Quantity Sold]] * SalesData[[#This Row],[Cleaned Unit Price]]</f>
        <v>80</v>
      </c>
      <c r="O412" s="15">
        <f>SalesData[[#This Row],[Quantity Sold]] * SalesData[[#This Row],[Unit Cost]]</f>
        <v>25.6</v>
      </c>
      <c r="P412" s="15">
        <f>SalesData[[#This Row],[Revenue]] - SalesData[[#This Row],[Cost]]</f>
        <v>54.4</v>
      </c>
      <c r="Q412" s="13">
        <f>IF(SalesData[[#This Row],[Revenue]]=0,0,SalesData[[#This Row],[Profit]]/SalesData[[#This Row],[Revenue]])</f>
        <v>0.67999999999999994</v>
      </c>
      <c r="R412" t="s">
        <v>1100</v>
      </c>
      <c r="S412" t="s">
        <v>1299</v>
      </c>
      <c r="T412" t="str">
        <f>PROPER(SalesData[[#This Row],[Customer Name]])</f>
        <v>Mia Miller</v>
      </c>
      <c r="U412" t="s">
        <v>1417</v>
      </c>
      <c r="V412" t="s">
        <v>1424</v>
      </c>
    </row>
    <row r="413" spans="1:22" x14ac:dyDescent="0.25">
      <c r="A413" t="s">
        <v>1839</v>
      </c>
      <c r="B413" s="5">
        <v>45430</v>
      </c>
      <c r="C413" s="2" t="str">
        <f>TEXT(SalesData[[#This Row],[Order Date]],"mmm")</f>
        <v>May</v>
      </c>
      <c r="D413" s="7">
        <f>MONTH(SalesData[[#This Row],[Order Date]])</f>
        <v>5</v>
      </c>
      <c r="E413" s="7">
        <f>YEAR(SalesData[[#This Row],[Order Date]])</f>
        <v>2024</v>
      </c>
      <c r="F413" t="s">
        <v>277</v>
      </c>
      <c r="G413" t="str">
        <f>PROPER(SalesData[[#This Row],[Product Name]])</f>
        <v>Reusable Bamboo Utensil Set</v>
      </c>
      <c r="H413" t="s">
        <v>1014</v>
      </c>
      <c r="I413" t="str">
        <f>UPPER(SalesData[[#This Row],[Product Category]])</f>
        <v>KITCHENWARE</v>
      </c>
      <c r="J413">
        <v>8</v>
      </c>
      <c r="K413">
        <v>15</v>
      </c>
      <c r="L413" s="15">
        <f>IF(SalesData[[#This Row],[Unit Price]]="",
    AVERAGEIFS(SalesData[Unit Price],
               SalesData[Product Name],SalesData[[#This Row],[Product Name]]),
    SalesData[[#This Row],[Unit Price]])</f>
        <v>15</v>
      </c>
      <c r="M413" s="15">
        <v>5.1100000000000003</v>
      </c>
      <c r="N413" s="15">
        <f>SalesData[[#This Row],[Quantity Sold]] * SalesData[[#This Row],[Cleaned Unit Price]]</f>
        <v>120</v>
      </c>
      <c r="O413" s="15">
        <f>SalesData[[#This Row],[Quantity Sold]] * SalesData[[#This Row],[Unit Cost]]</f>
        <v>40.880000000000003</v>
      </c>
      <c r="P413" s="15">
        <f>SalesData[[#This Row],[Revenue]] - SalesData[[#This Row],[Cost]]</f>
        <v>79.12</v>
      </c>
      <c r="Q413" s="13">
        <f>IF(SalesData[[#This Row],[Revenue]]=0,0,SalesData[[#This Row],[Profit]]/SalesData[[#This Row],[Revenue]])</f>
        <v>0.65933333333333333</v>
      </c>
      <c r="R413" t="s">
        <v>1163</v>
      </c>
      <c r="S413" t="s">
        <v>1362</v>
      </c>
      <c r="T413" t="str">
        <f>PROPER(SalesData[[#This Row],[Customer Name]])</f>
        <v>Ava Rodriguez</v>
      </c>
      <c r="U413" t="s">
        <v>1416</v>
      </c>
      <c r="V413" t="s">
        <v>1427</v>
      </c>
    </row>
    <row r="414" spans="1:22" x14ac:dyDescent="0.25">
      <c r="A414" t="s">
        <v>1840</v>
      </c>
      <c r="B414" s="5">
        <v>45430</v>
      </c>
      <c r="C414" s="2" t="str">
        <f>TEXT(SalesData[[#This Row],[Order Date]],"mmm")</f>
        <v>May</v>
      </c>
      <c r="D414" s="7">
        <f>MONTH(SalesData[[#This Row],[Order Date]])</f>
        <v>5</v>
      </c>
      <c r="E414" s="7">
        <f>YEAR(SalesData[[#This Row],[Order Date]])</f>
        <v>2024</v>
      </c>
      <c r="F414" t="s">
        <v>367</v>
      </c>
      <c r="G414" t="str">
        <f>PROPER(SalesData[[#This Row],[Product Name]])</f>
        <v>Reusable Bamboo Utensil Set</v>
      </c>
      <c r="H414" t="s">
        <v>1014</v>
      </c>
      <c r="I414" t="str">
        <f>UPPER(SalesData[[#This Row],[Product Category]])</f>
        <v>KITCHENWARE</v>
      </c>
      <c r="J414">
        <v>1</v>
      </c>
      <c r="K414">
        <v>15</v>
      </c>
      <c r="L414" s="15">
        <f>IF(SalesData[[#This Row],[Unit Price]]="",
    AVERAGEIFS(SalesData[Unit Price],
               SalesData[Product Name],SalesData[[#This Row],[Product Name]]),
    SalesData[[#This Row],[Unit Price]])</f>
        <v>15</v>
      </c>
      <c r="M414" s="15">
        <v>3.13</v>
      </c>
      <c r="N414" s="15">
        <f>SalesData[[#This Row],[Quantity Sold]] * SalesData[[#This Row],[Cleaned Unit Price]]</f>
        <v>15</v>
      </c>
      <c r="O414" s="15">
        <f>SalesData[[#This Row],[Quantity Sold]] * SalesData[[#This Row],[Unit Cost]]</f>
        <v>3.13</v>
      </c>
      <c r="P414" s="15">
        <f>SalesData[[#This Row],[Revenue]] - SalesData[[#This Row],[Cost]]</f>
        <v>11.870000000000001</v>
      </c>
      <c r="Q414" s="13">
        <f>IF(SalesData[[#This Row],[Revenue]]=0,0,SalesData[[#This Row],[Profit]]/SalesData[[#This Row],[Revenue]])</f>
        <v>0.79133333333333344</v>
      </c>
      <c r="R414" t="s">
        <v>1044</v>
      </c>
      <c r="S414" t="s">
        <v>1243</v>
      </c>
      <c r="T414" t="str">
        <f>PROPER(SalesData[[#This Row],[Customer Name]])</f>
        <v>Sophia Brown</v>
      </c>
      <c r="U414" t="s">
        <v>1414</v>
      </c>
      <c r="V414" t="s">
        <v>1422</v>
      </c>
    </row>
    <row r="415" spans="1:22" x14ac:dyDescent="0.25">
      <c r="A415" t="s">
        <v>1841</v>
      </c>
      <c r="B415" s="5">
        <v>45430</v>
      </c>
      <c r="C415" s="2" t="str">
        <f>TEXT(SalesData[[#This Row],[Order Date]],"mmm")</f>
        <v>May</v>
      </c>
      <c r="D415" s="7">
        <f>MONTH(SalesData[[#This Row],[Order Date]])</f>
        <v>5</v>
      </c>
      <c r="E415" s="7">
        <f>YEAR(SalesData[[#This Row],[Order Date]])</f>
        <v>2024</v>
      </c>
      <c r="F415" t="s">
        <v>402</v>
      </c>
      <c r="G415" t="str">
        <f>PROPER(SalesData[[#This Row],[Product Name]])</f>
        <v>Eco Canvas Tote Bag</v>
      </c>
      <c r="H415" t="s">
        <v>1013</v>
      </c>
      <c r="I415" t="str">
        <f>UPPER(SalesData[[#This Row],[Product Category]])</f>
        <v>BAGS</v>
      </c>
      <c r="J415">
        <v>3</v>
      </c>
      <c r="K415">
        <v>25</v>
      </c>
      <c r="L415" s="15">
        <f>IF(SalesData[[#This Row],[Unit Price]]="",
    AVERAGEIFS(SalesData[Unit Price],
               SalesData[Product Name],SalesData[[#This Row],[Product Name]]),
    SalesData[[#This Row],[Unit Price]])</f>
        <v>25</v>
      </c>
      <c r="M415" s="15">
        <v>5.8</v>
      </c>
      <c r="N415" s="15">
        <f>SalesData[[#This Row],[Quantity Sold]] * SalesData[[#This Row],[Cleaned Unit Price]]</f>
        <v>75</v>
      </c>
      <c r="O415" s="15">
        <f>SalesData[[#This Row],[Quantity Sold]] * SalesData[[#This Row],[Unit Cost]]</f>
        <v>17.399999999999999</v>
      </c>
      <c r="P415" s="15">
        <f>SalesData[[#This Row],[Revenue]] - SalesData[[#This Row],[Cost]]</f>
        <v>57.6</v>
      </c>
      <c r="Q415" s="13">
        <f>IF(SalesData[[#This Row],[Revenue]]=0,0,SalesData[[#This Row],[Profit]]/SalesData[[#This Row],[Revenue]])</f>
        <v>0.76800000000000002</v>
      </c>
      <c r="R415" t="s">
        <v>1182</v>
      </c>
      <c r="S415" t="s">
        <v>1381</v>
      </c>
      <c r="T415" t="str">
        <f>PROPER(SalesData[[#This Row],[Customer Name]])</f>
        <v>Mia Martinez</v>
      </c>
      <c r="U415" t="s">
        <v>1414</v>
      </c>
      <c r="V415" t="s">
        <v>1426</v>
      </c>
    </row>
    <row r="416" spans="1:22" x14ac:dyDescent="0.25">
      <c r="A416" t="s">
        <v>1842</v>
      </c>
      <c r="B416" s="5">
        <v>45430</v>
      </c>
      <c r="C416" s="2" t="str">
        <f>TEXT(SalesData[[#This Row],[Order Date]],"mmm")</f>
        <v>May</v>
      </c>
      <c r="D416" s="7">
        <f>MONTH(SalesData[[#This Row],[Order Date]])</f>
        <v>5</v>
      </c>
      <c r="E416" s="7">
        <f>YEAR(SalesData[[#This Row],[Order Date]])</f>
        <v>2024</v>
      </c>
      <c r="F416" t="s">
        <v>975</v>
      </c>
      <c r="G416" t="str">
        <f>PROPER(SalesData[[#This Row],[Product Name]])</f>
        <v>Biodegradable Cleaning Cloth</v>
      </c>
      <c r="H416" t="s">
        <v>1015</v>
      </c>
      <c r="I416" t="str">
        <f>UPPER(SalesData[[#This Row],[Product Category]])</f>
        <v>CLEANING</v>
      </c>
      <c r="J416">
        <v>10</v>
      </c>
      <c r="K416">
        <v>10</v>
      </c>
      <c r="L416" s="15">
        <f>IF(SalesData[[#This Row],[Unit Price]]="",
    AVERAGEIFS(SalesData[Unit Price],
               SalesData[Product Name],SalesData[[#This Row],[Product Name]]),
    SalesData[[#This Row],[Unit Price]])</f>
        <v>10</v>
      </c>
      <c r="M416" s="15">
        <v>3.45</v>
      </c>
      <c r="N416" s="15">
        <f>SalesData[[#This Row],[Quantity Sold]] * SalesData[[#This Row],[Cleaned Unit Price]]</f>
        <v>100</v>
      </c>
      <c r="O416" s="15">
        <f>SalesData[[#This Row],[Quantity Sold]] * SalesData[[#This Row],[Unit Cost]]</f>
        <v>34.5</v>
      </c>
      <c r="P416" s="15">
        <f>SalesData[[#This Row],[Revenue]] - SalesData[[#This Row],[Cost]]</f>
        <v>65.5</v>
      </c>
      <c r="Q416" s="13">
        <f>IF(SalesData[[#This Row],[Revenue]]=0,0,SalesData[[#This Row],[Profit]]/SalesData[[#This Row],[Revenue]])</f>
        <v>0.65500000000000003</v>
      </c>
      <c r="R416" t="s">
        <v>1207</v>
      </c>
      <c r="S416" t="s">
        <v>1406</v>
      </c>
      <c r="T416" t="str">
        <f>PROPER(SalesData[[#This Row],[Customer Name]])</f>
        <v>Logan Martinez</v>
      </c>
      <c r="U416" t="s">
        <v>1414</v>
      </c>
      <c r="V416" t="s">
        <v>1425</v>
      </c>
    </row>
    <row r="417" spans="1:22" x14ac:dyDescent="0.25">
      <c r="A417" t="s">
        <v>1843</v>
      </c>
      <c r="B417" s="5">
        <v>45431</v>
      </c>
      <c r="C417" s="2" t="str">
        <f>TEXT(SalesData[[#This Row],[Order Date]],"mmm")</f>
        <v>May</v>
      </c>
      <c r="D417" s="7">
        <f>MONTH(SalesData[[#This Row],[Order Date]])</f>
        <v>5</v>
      </c>
      <c r="E417" s="7">
        <f>YEAR(SalesData[[#This Row],[Order Date]])</f>
        <v>2024</v>
      </c>
      <c r="F417" t="s">
        <v>32</v>
      </c>
      <c r="G417" t="str">
        <f>PROPER(SalesData[[#This Row],[Product Name]])</f>
        <v>Solar Led Lantern</v>
      </c>
      <c r="H417" t="s">
        <v>1012</v>
      </c>
      <c r="I417" t="str">
        <f>UPPER(SalesData[[#This Row],[Product Category]])</f>
        <v>LIGHTING</v>
      </c>
      <c r="J417">
        <v>8</v>
      </c>
      <c r="K417">
        <v>40</v>
      </c>
      <c r="L417" s="15">
        <f>IF(SalesData[[#This Row],[Unit Price]]="",
    AVERAGEIFS(SalesData[Unit Price],
               SalesData[Product Name],SalesData[[#This Row],[Product Name]]),
    SalesData[[#This Row],[Unit Price]])</f>
        <v>40</v>
      </c>
      <c r="M417" s="15">
        <v>11.29</v>
      </c>
      <c r="N417" s="15">
        <f>SalesData[[#This Row],[Quantity Sold]] * SalesData[[#This Row],[Cleaned Unit Price]]</f>
        <v>320</v>
      </c>
      <c r="O417" s="15">
        <f>SalesData[[#This Row],[Quantity Sold]] * SalesData[[#This Row],[Unit Cost]]</f>
        <v>90.32</v>
      </c>
      <c r="P417" s="15">
        <f>SalesData[[#This Row],[Revenue]] - SalesData[[#This Row],[Cost]]</f>
        <v>229.68</v>
      </c>
      <c r="Q417" s="13">
        <f>IF(SalesData[[#This Row],[Revenue]]=0,0,SalesData[[#This Row],[Profit]]/SalesData[[#This Row],[Revenue]])</f>
        <v>0.71775</v>
      </c>
      <c r="R417" t="s">
        <v>1035</v>
      </c>
      <c r="S417" t="s">
        <v>1234</v>
      </c>
      <c r="T417" t="str">
        <f>PROPER(SalesData[[#This Row],[Customer Name]])</f>
        <v>Olivia Martinez</v>
      </c>
      <c r="U417" t="s">
        <v>1415</v>
      </c>
      <c r="V417" t="s">
        <v>1421</v>
      </c>
    </row>
    <row r="418" spans="1:22" x14ac:dyDescent="0.25">
      <c r="A418" t="s">
        <v>1844</v>
      </c>
      <c r="B418" s="5">
        <v>45431</v>
      </c>
      <c r="C418" s="2" t="str">
        <f>TEXT(SalesData[[#This Row],[Order Date]],"mmm")</f>
        <v>May</v>
      </c>
      <c r="D418" s="7">
        <f>MONTH(SalesData[[#This Row],[Order Date]])</f>
        <v>5</v>
      </c>
      <c r="E418" s="7">
        <f>YEAR(SalesData[[#This Row],[Order Date]])</f>
        <v>2024</v>
      </c>
      <c r="F418" t="s">
        <v>159</v>
      </c>
      <c r="G418" t="str">
        <f>PROPER(SalesData[[#This Row],[Product Name]])</f>
        <v>Compostable Plant Pots</v>
      </c>
      <c r="H418" t="s">
        <v>1011</v>
      </c>
      <c r="I418" t="str">
        <f>UPPER(SalesData[[#This Row],[Product Category]])</f>
        <v>GARDENING</v>
      </c>
      <c r="J418">
        <v>6</v>
      </c>
      <c r="K418">
        <v>12</v>
      </c>
      <c r="L418" s="15">
        <f>IF(SalesData[[#This Row],[Unit Price]]="",
    AVERAGEIFS(SalesData[Unit Price],
               SalesData[Product Name],SalesData[[#This Row],[Product Name]]),
    SalesData[[#This Row],[Unit Price]])</f>
        <v>12</v>
      </c>
      <c r="M418" s="15">
        <v>3.5</v>
      </c>
      <c r="N418" s="15">
        <f>SalesData[[#This Row],[Quantity Sold]] * SalesData[[#This Row],[Cleaned Unit Price]]</f>
        <v>72</v>
      </c>
      <c r="O418" s="15">
        <f>SalesData[[#This Row],[Quantity Sold]] * SalesData[[#This Row],[Unit Cost]]</f>
        <v>21</v>
      </c>
      <c r="P418" s="15">
        <f>SalesData[[#This Row],[Revenue]] - SalesData[[#This Row],[Cost]]</f>
        <v>51</v>
      </c>
      <c r="Q418" s="13">
        <f>IF(SalesData[[#This Row],[Revenue]]=0,0,SalesData[[#This Row],[Profit]]/SalesData[[#This Row],[Revenue]])</f>
        <v>0.70833333333333337</v>
      </c>
      <c r="R418" t="s">
        <v>1022</v>
      </c>
      <c r="S418" t="s">
        <v>1221</v>
      </c>
      <c r="T418" t="str">
        <f>PROPER(SalesData[[#This Row],[Customer Name]])</f>
        <v>Liam Johnson</v>
      </c>
      <c r="U418" t="s">
        <v>1414</v>
      </c>
      <c r="V418" t="s">
        <v>1424</v>
      </c>
    </row>
    <row r="419" spans="1:22" x14ac:dyDescent="0.25">
      <c r="A419" t="s">
        <v>1845</v>
      </c>
      <c r="B419" s="5">
        <v>45431</v>
      </c>
      <c r="C419" s="2" t="str">
        <f>TEXT(SalesData[[#This Row],[Order Date]],"mmm")</f>
        <v>May</v>
      </c>
      <c r="D419" s="7">
        <f>MONTH(SalesData[[#This Row],[Order Date]])</f>
        <v>5</v>
      </c>
      <c r="E419" s="7">
        <f>YEAR(SalesData[[#This Row],[Order Date]])</f>
        <v>2024</v>
      </c>
      <c r="F419" t="s">
        <v>297</v>
      </c>
      <c r="G419" t="str">
        <f>PROPER(SalesData[[#This Row],[Product Name]])</f>
        <v>Reusable Bamboo Utensil Set</v>
      </c>
      <c r="H419" t="s">
        <v>1014</v>
      </c>
      <c r="I419" t="str">
        <f>UPPER(SalesData[[#This Row],[Product Category]])</f>
        <v>KITCHENWARE</v>
      </c>
      <c r="J419">
        <v>8</v>
      </c>
      <c r="K419">
        <v>15</v>
      </c>
      <c r="L419" s="15">
        <f>IF(SalesData[[#This Row],[Unit Price]]="",
    AVERAGEIFS(SalesData[Unit Price],
               SalesData[Product Name],SalesData[[#This Row],[Product Name]]),
    SalesData[[#This Row],[Unit Price]])</f>
        <v>15</v>
      </c>
      <c r="M419" s="15">
        <v>5.56</v>
      </c>
      <c r="N419" s="15">
        <f>SalesData[[#This Row],[Quantity Sold]] * SalesData[[#This Row],[Cleaned Unit Price]]</f>
        <v>120</v>
      </c>
      <c r="O419" s="15">
        <f>SalesData[[#This Row],[Quantity Sold]] * SalesData[[#This Row],[Unit Cost]]</f>
        <v>44.48</v>
      </c>
      <c r="P419" s="15">
        <f>SalesData[[#This Row],[Revenue]] - SalesData[[#This Row],[Cost]]</f>
        <v>75.52000000000001</v>
      </c>
      <c r="Q419" s="13">
        <f>IF(SalesData[[#This Row],[Revenue]]=0,0,SalesData[[#This Row],[Profit]]/SalesData[[#This Row],[Revenue]])</f>
        <v>0.62933333333333341</v>
      </c>
      <c r="R419" t="s">
        <v>1114</v>
      </c>
      <c r="S419" t="s">
        <v>1313</v>
      </c>
      <c r="T419" t="str">
        <f>PROPER(SalesData[[#This Row],[Customer Name]])</f>
        <v>James Williams</v>
      </c>
      <c r="U419" t="s">
        <v>1416</v>
      </c>
      <c r="V419" t="s">
        <v>1424</v>
      </c>
    </row>
    <row r="420" spans="1:22" x14ac:dyDescent="0.25">
      <c r="A420" t="s">
        <v>1846</v>
      </c>
      <c r="B420" s="5">
        <v>45431</v>
      </c>
      <c r="C420" s="2" t="str">
        <f>TEXT(SalesData[[#This Row],[Order Date]],"mmm")</f>
        <v>May</v>
      </c>
      <c r="D420" s="7">
        <f>MONTH(SalesData[[#This Row],[Order Date]])</f>
        <v>5</v>
      </c>
      <c r="E420" s="7">
        <f>YEAR(SalesData[[#This Row],[Order Date]])</f>
        <v>2024</v>
      </c>
      <c r="F420" t="s">
        <v>387</v>
      </c>
      <c r="G420" t="str">
        <f>PROPER(SalesData[[#This Row],[Product Name]])</f>
        <v>Compostable Plant Pots</v>
      </c>
      <c r="H420" t="s">
        <v>1011</v>
      </c>
      <c r="I420" t="str">
        <f>UPPER(SalesData[[#This Row],[Product Category]])</f>
        <v>GARDENING</v>
      </c>
      <c r="J420">
        <v>3</v>
      </c>
      <c r="L420" s="15">
        <f>IF(SalesData[[#This Row],[Unit Price]]="",
    AVERAGEIFS(SalesData[Unit Price],
               SalesData[Product Name],SalesData[[#This Row],[Product Name]]),
    SalesData[[#This Row],[Unit Price]])</f>
        <v>12</v>
      </c>
      <c r="M420" s="15">
        <v>3.51</v>
      </c>
      <c r="N420" s="15">
        <f>SalesData[[#This Row],[Quantity Sold]] * SalesData[[#This Row],[Cleaned Unit Price]]</f>
        <v>36</v>
      </c>
      <c r="O420" s="15">
        <f>SalesData[[#This Row],[Quantity Sold]] * SalesData[[#This Row],[Unit Cost]]</f>
        <v>10.53</v>
      </c>
      <c r="P420" s="15">
        <f>SalesData[[#This Row],[Revenue]] - SalesData[[#This Row],[Cost]]</f>
        <v>25.47</v>
      </c>
      <c r="Q420" s="13">
        <f>IF(SalesData[[#This Row],[Revenue]]=0,0,SalesData[[#This Row],[Profit]]/SalesData[[#This Row],[Revenue]])</f>
        <v>0.70750000000000002</v>
      </c>
      <c r="R420" t="s">
        <v>1109</v>
      </c>
      <c r="S420" t="s">
        <v>1308</v>
      </c>
      <c r="T420" t="str">
        <f>PROPER(SalesData[[#This Row],[Customer Name]])</f>
        <v>Lucas Smith</v>
      </c>
      <c r="U420" t="s">
        <v>1414</v>
      </c>
      <c r="V420" t="s">
        <v>1422</v>
      </c>
    </row>
    <row r="421" spans="1:22" x14ac:dyDescent="0.25">
      <c r="A421" t="s">
        <v>1847</v>
      </c>
      <c r="B421" s="5">
        <v>45431</v>
      </c>
      <c r="C421" s="2" t="str">
        <f>TEXT(SalesData[[#This Row],[Order Date]],"mmm")</f>
        <v>May</v>
      </c>
      <c r="D421" s="7">
        <f>MONTH(SalesData[[#This Row],[Order Date]])</f>
        <v>5</v>
      </c>
      <c r="E421" s="7">
        <f>YEAR(SalesData[[#This Row],[Order Date]])</f>
        <v>2024</v>
      </c>
      <c r="F421" t="s">
        <v>832</v>
      </c>
      <c r="G421" t="str">
        <f>PROPER(SalesData[[#This Row],[Product Name]])</f>
        <v>Eco Canvas Tote Bag</v>
      </c>
      <c r="H421" t="s">
        <v>1013</v>
      </c>
      <c r="I421" t="str">
        <f>UPPER(SalesData[[#This Row],[Product Category]])</f>
        <v>BAGS</v>
      </c>
      <c r="J421">
        <v>6</v>
      </c>
      <c r="K421">
        <v>25</v>
      </c>
      <c r="L421" s="15">
        <f>IF(SalesData[[#This Row],[Unit Price]]="",
    AVERAGEIFS(SalesData[Unit Price],
               SalesData[Product Name],SalesData[[#This Row],[Product Name]]),
    SalesData[[#This Row],[Unit Price]])</f>
        <v>25</v>
      </c>
      <c r="M421" s="15">
        <v>6.75</v>
      </c>
      <c r="N421" s="15">
        <f>SalesData[[#This Row],[Quantity Sold]] * SalesData[[#This Row],[Cleaned Unit Price]]</f>
        <v>150</v>
      </c>
      <c r="O421" s="15">
        <f>SalesData[[#This Row],[Quantity Sold]] * SalesData[[#This Row],[Unit Cost]]</f>
        <v>40.5</v>
      </c>
      <c r="P421" s="15">
        <f>SalesData[[#This Row],[Revenue]] - SalesData[[#This Row],[Cost]]</f>
        <v>109.5</v>
      </c>
      <c r="Q421" s="13">
        <f>IF(SalesData[[#This Row],[Revenue]]=0,0,SalesData[[#This Row],[Profit]]/SalesData[[#This Row],[Revenue]])</f>
        <v>0.73</v>
      </c>
      <c r="R421" t="s">
        <v>1066</v>
      </c>
      <c r="S421" t="s">
        <v>1265</v>
      </c>
      <c r="T421" t="str">
        <f>PROPER(SalesData[[#This Row],[Customer Name]])</f>
        <v>Liam Rodriguez</v>
      </c>
      <c r="U421" t="s">
        <v>1416</v>
      </c>
      <c r="V421" t="s">
        <v>1425</v>
      </c>
    </row>
    <row r="422" spans="1:22" x14ac:dyDescent="0.25">
      <c r="A422" t="s">
        <v>1848</v>
      </c>
      <c r="B422" s="5">
        <v>45432</v>
      </c>
      <c r="C422" s="2" t="str">
        <f>TEXT(SalesData[[#This Row],[Order Date]],"mmm")</f>
        <v>May</v>
      </c>
      <c r="D422" s="7">
        <f>MONTH(SalesData[[#This Row],[Order Date]])</f>
        <v>5</v>
      </c>
      <c r="E422" s="7">
        <f>YEAR(SalesData[[#This Row],[Order Date]])</f>
        <v>2024</v>
      </c>
      <c r="F422" t="s">
        <v>399</v>
      </c>
      <c r="G422" t="str">
        <f>PROPER(SalesData[[#This Row],[Product Name]])</f>
        <v>Compostable Plant Pots</v>
      </c>
      <c r="H422" t="s">
        <v>1011</v>
      </c>
      <c r="I422" t="str">
        <f>UPPER(SalesData[[#This Row],[Product Category]])</f>
        <v>GARDENING</v>
      </c>
      <c r="J422">
        <v>1</v>
      </c>
      <c r="K422">
        <v>12</v>
      </c>
      <c r="L422" s="15">
        <f>IF(SalesData[[#This Row],[Unit Price]]="",
    AVERAGEIFS(SalesData[Unit Price],
               SalesData[Product Name],SalesData[[#This Row],[Product Name]]),
    SalesData[[#This Row],[Unit Price]])</f>
        <v>12</v>
      </c>
      <c r="M422" s="15">
        <v>4</v>
      </c>
      <c r="N422" s="15">
        <f>SalesData[[#This Row],[Quantity Sold]] * SalesData[[#This Row],[Cleaned Unit Price]]</f>
        <v>12</v>
      </c>
      <c r="O422" s="15">
        <f>SalesData[[#This Row],[Quantity Sold]] * SalesData[[#This Row],[Unit Cost]]</f>
        <v>4</v>
      </c>
      <c r="P422" s="15">
        <f>SalesData[[#This Row],[Revenue]] - SalesData[[#This Row],[Cost]]</f>
        <v>8</v>
      </c>
      <c r="Q422" s="13">
        <f>IF(SalesData[[#This Row],[Revenue]]=0,0,SalesData[[#This Row],[Profit]]/SalesData[[#This Row],[Revenue]])</f>
        <v>0.66666666666666663</v>
      </c>
      <c r="R422" t="s">
        <v>1159</v>
      </c>
      <c r="S422" t="s">
        <v>1358</v>
      </c>
      <c r="T422" t="str">
        <f>PROPER(SalesData[[#This Row],[Customer Name]])</f>
        <v>Sophia Rodriguez</v>
      </c>
      <c r="U422" t="s">
        <v>1416</v>
      </c>
      <c r="V422" t="s">
        <v>1425</v>
      </c>
    </row>
    <row r="423" spans="1:22" x14ac:dyDescent="0.25">
      <c r="A423" t="s">
        <v>1849</v>
      </c>
      <c r="B423" s="5">
        <v>45433</v>
      </c>
      <c r="C423" s="2" t="str">
        <f>TEXT(SalesData[[#This Row],[Order Date]],"mmm")</f>
        <v>May</v>
      </c>
      <c r="D423" s="7">
        <f>MONTH(SalesData[[#This Row],[Order Date]])</f>
        <v>5</v>
      </c>
      <c r="E423" s="7">
        <f>YEAR(SalesData[[#This Row],[Order Date]])</f>
        <v>2024</v>
      </c>
      <c r="F423" t="s">
        <v>314</v>
      </c>
      <c r="G423" t="str">
        <f>PROPER(SalesData[[#This Row],[Product Name]])</f>
        <v>Solar Led Lantern</v>
      </c>
      <c r="H423" t="s">
        <v>1012</v>
      </c>
      <c r="I423" t="str">
        <f>UPPER(SalesData[[#This Row],[Product Category]])</f>
        <v>LIGHTING</v>
      </c>
      <c r="J423">
        <v>7</v>
      </c>
      <c r="K423">
        <v>40</v>
      </c>
      <c r="L423" s="15">
        <f>IF(SalesData[[#This Row],[Unit Price]]="",
    AVERAGEIFS(SalesData[Unit Price],
               SalesData[Product Name],SalesData[[#This Row],[Product Name]]),
    SalesData[[#This Row],[Unit Price]])</f>
        <v>40</v>
      </c>
      <c r="M423" s="15">
        <v>14.84</v>
      </c>
      <c r="N423" s="15">
        <f>SalesData[[#This Row],[Quantity Sold]] * SalesData[[#This Row],[Cleaned Unit Price]]</f>
        <v>280</v>
      </c>
      <c r="O423" s="15">
        <f>SalesData[[#This Row],[Quantity Sold]] * SalesData[[#This Row],[Unit Cost]]</f>
        <v>103.88</v>
      </c>
      <c r="P423" s="15">
        <f>SalesData[[#This Row],[Revenue]] - SalesData[[#This Row],[Cost]]</f>
        <v>176.12</v>
      </c>
      <c r="Q423" s="13">
        <f>IF(SalesData[[#This Row],[Revenue]]=0,0,SalesData[[#This Row],[Profit]]/SalesData[[#This Row],[Revenue]])</f>
        <v>0.629</v>
      </c>
      <c r="R423" t="s">
        <v>1049</v>
      </c>
      <c r="S423" t="s">
        <v>1248</v>
      </c>
      <c r="T423" t="str">
        <f>PROPER(SalesData[[#This Row],[Customer Name]])</f>
        <v>Noah Rodriguez</v>
      </c>
      <c r="U423" t="s">
        <v>1414</v>
      </c>
      <c r="V423" t="s">
        <v>1421</v>
      </c>
    </row>
    <row r="424" spans="1:22" x14ac:dyDescent="0.25">
      <c r="A424" t="s">
        <v>1850</v>
      </c>
      <c r="B424" s="5">
        <v>45433</v>
      </c>
      <c r="C424" s="2" t="str">
        <f>TEXT(SalesData[[#This Row],[Order Date]],"mmm")</f>
        <v>May</v>
      </c>
      <c r="D424" s="7">
        <f>MONTH(SalesData[[#This Row],[Order Date]])</f>
        <v>5</v>
      </c>
      <c r="E424" s="7">
        <f>YEAR(SalesData[[#This Row],[Order Date]])</f>
        <v>2024</v>
      </c>
      <c r="F424" t="s">
        <v>683</v>
      </c>
      <c r="G424" t="str">
        <f>PROPER(SalesData[[#This Row],[Product Name]])</f>
        <v>Solar Led Lantern</v>
      </c>
      <c r="H424" t="s">
        <v>1012</v>
      </c>
      <c r="I424" t="str">
        <f>UPPER(SalesData[[#This Row],[Product Category]])</f>
        <v>LIGHTING</v>
      </c>
      <c r="J424">
        <v>5</v>
      </c>
      <c r="L424" s="15">
        <f>IF(SalesData[[#This Row],[Unit Price]]="",
    AVERAGEIFS(SalesData[Unit Price],
               SalesData[Product Name],SalesData[[#This Row],[Product Name]]),
    SalesData[[#This Row],[Unit Price]])</f>
        <v>40</v>
      </c>
      <c r="M424" s="15">
        <v>10.58</v>
      </c>
      <c r="N424" s="15">
        <f>SalesData[[#This Row],[Quantity Sold]] * SalesData[[#This Row],[Cleaned Unit Price]]</f>
        <v>200</v>
      </c>
      <c r="O424" s="15">
        <f>SalesData[[#This Row],[Quantity Sold]] * SalesData[[#This Row],[Unit Cost]]</f>
        <v>52.9</v>
      </c>
      <c r="P424" s="15">
        <f>SalesData[[#This Row],[Revenue]] - SalesData[[#This Row],[Cost]]</f>
        <v>147.1</v>
      </c>
      <c r="Q424" s="13">
        <f>IF(SalesData[[#This Row],[Revenue]]=0,0,SalesData[[#This Row],[Profit]]/SalesData[[#This Row],[Revenue]])</f>
        <v>0.73549999999999993</v>
      </c>
      <c r="R424" t="s">
        <v>1131</v>
      </c>
      <c r="S424" t="s">
        <v>1330</v>
      </c>
      <c r="T424" t="str">
        <f>PROPER(SalesData[[#This Row],[Customer Name]])</f>
        <v>Oliver Miller</v>
      </c>
      <c r="U424" t="s">
        <v>1414</v>
      </c>
      <c r="V424" t="s">
        <v>1422</v>
      </c>
    </row>
    <row r="425" spans="1:22" x14ac:dyDescent="0.25">
      <c r="A425" t="s">
        <v>1851</v>
      </c>
      <c r="B425" s="5">
        <v>45433</v>
      </c>
      <c r="C425" s="2" t="str">
        <f>TEXT(SalesData[[#This Row],[Order Date]],"mmm")</f>
        <v>May</v>
      </c>
      <c r="D425" s="7">
        <f>MONTH(SalesData[[#This Row],[Order Date]])</f>
        <v>5</v>
      </c>
      <c r="E425" s="7">
        <f>YEAR(SalesData[[#This Row],[Order Date]])</f>
        <v>2024</v>
      </c>
      <c r="F425" t="s">
        <v>869</v>
      </c>
      <c r="G425" t="str">
        <f>PROPER(SalesData[[#This Row],[Product Name]])</f>
        <v>Reusable Bamboo Utensil Set</v>
      </c>
      <c r="H425" t="s">
        <v>1014</v>
      </c>
      <c r="I425" t="str">
        <f>UPPER(SalesData[[#This Row],[Product Category]])</f>
        <v>KITCHENWARE</v>
      </c>
      <c r="J425">
        <v>9</v>
      </c>
      <c r="K425">
        <v>15</v>
      </c>
      <c r="L425" s="15">
        <f>IF(SalesData[[#This Row],[Unit Price]]="",
    AVERAGEIFS(SalesData[Unit Price],
               SalesData[Product Name],SalesData[[#This Row],[Product Name]]),
    SalesData[[#This Row],[Unit Price]])</f>
        <v>15</v>
      </c>
      <c r="M425" s="15">
        <v>5.77</v>
      </c>
      <c r="N425" s="15">
        <f>SalesData[[#This Row],[Quantity Sold]] * SalesData[[#This Row],[Cleaned Unit Price]]</f>
        <v>135</v>
      </c>
      <c r="O425" s="15">
        <f>SalesData[[#This Row],[Quantity Sold]] * SalesData[[#This Row],[Unit Cost]]</f>
        <v>51.929999999999993</v>
      </c>
      <c r="P425" s="15">
        <f>SalesData[[#This Row],[Revenue]] - SalesData[[#This Row],[Cost]]</f>
        <v>83.070000000000007</v>
      </c>
      <c r="Q425" s="13">
        <f>IF(SalesData[[#This Row],[Revenue]]=0,0,SalesData[[#This Row],[Profit]]/SalesData[[#This Row],[Revenue]])</f>
        <v>0.6153333333333334</v>
      </c>
      <c r="R425" t="s">
        <v>1114</v>
      </c>
      <c r="S425" t="s">
        <v>1313</v>
      </c>
      <c r="T425" t="str">
        <f>PROPER(SalesData[[#This Row],[Customer Name]])</f>
        <v>James Williams</v>
      </c>
      <c r="U425" t="s">
        <v>1414</v>
      </c>
      <c r="V425" t="s">
        <v>1418</v>
      </c>
    </row>
    <row r="426" spans="1:22" x14ac:dyDescent="0.25">
      <c r="A426" t="s">
        <v>1852</v>
      </c>
      <c r="B426" s="5">
        <v>45434</v>
      </c>
      <c r="C426" s="2" t="str">
        <f>TEXT(SalesData[[#This Row],[Order Date]],"mmm")</f>
        <v>May</v>
      </c>
      <c r="D426" s="7">
        <f>MONTH(SalesData[[#This Row],[Order Date]])</f>
        <v>5</v>
      </c>
      <c r="E426" s="7">
        <f>YEAR(SalesData[[#This Row],[Order Date]])</f>
        <v>2024</v>
      </c>
      <c r="F426" t="s">
        <v>665</v>
      </c>
      <c r="G426" t="str">
        <f>PROPER(SalesData[[#This Row],[Product Name]])</f>
        <v>Reusable Bamboo Utensil Set</v>
      </c>
      <c r="H426" t="s">
        <v>1014</v>
      </c>
      <c r="I426" t="str">
        <f>UPPER(SalesData[[#This Row],[Product Category]])</f>
        <v>KITCHENWARE</v>
      </c>
      <c r="J426">
        <v>5</v>
      </c>
      <c r="K426">
        <v>15</v>
      </c>
      <c r="L426" s="15">
        <f>IF(SalesData[[#This Row],[Unit Price]]="",
    AVERAGEIFS(SalesData[Unit Price],
               SalesData[Product Name],SalesData[[#This Row],[Product Name]]),
    SalesData[[#This Row],[Unit Price]])</f>
        <v>15</v>
      </c>
      <c r="M426" s="15">
        <v>5.92</v>
      </c>
      <c r="N426" s="15">
        <f>SalesData[[#This Row],[Quantity Sold]] * SalesData[[#This Row],[Cleaned Unit Price]]</f>
        <v>75</v>
      </c>
      <c r="O426" s="15">
        <f>SalesData[[#This Row],[Quantity Sold]] * SalesData[[#This Row],[Unit Cost]]</f>
        <v>29.6</v>
      </c>
      <c r="P426" s="15">
        <f>SalesData[[#This Row],[Revenue]] - SalesData[[#This Row],[Cost]]</f>
        <v>45.4</v>
      </c>
      <c r="Q426" s="13">
        <f>IF(SalesData[[#This Row],[Revenue]]=0,0,SalesData[[#This Row],[Profit]]/SalesData[[#This Row],[Revenue]])</f>
        <v>0.60533333333333328</v>
      </c>
      <c r="R426" t="s">
        <v>1102</v>
      </c>
      <c r="S426" t="s">
        <v>1301</v>
      </c>
      <c r="T426" t="str">
        <f>PROPER(SalesData[[#This Row],[Customer Name]])</f>
        <v>Aiden Garcia</v>
      </c>
      <c r="U426" t="s">
        <v>1414</v>
      </c>
      <c r="V426" t="s">
        <v>1426</v>
      </c>
    </row>
    <row r="427" spans="1:22" x14ac:dyDescent="0.25">
      <c r="A427" t="s">
        <v>1853</v>
      </c>
      <c r="B427" s="5">
        <v>45435</v>
      </c>
      <c r="C427" s="2" t="str">
        <f>TEXT(SalesData[[#This Row],[Order Date]],"mmm")</f>
        <v>May</v>
      </c>
      <c r="D427" s="7">
        <f>MONTH(SalesData[[#This Row],[Order Date]])</f>
        <v>5</v>
      </c>
      <c r="E427" s="7">
        <f>YEAR(SalesData[[#This Row],[Order Date]])</f>
        <v>2024</v>
      </c>
      <c r="F427" t="s">
        <v>57</v>
      </c>
      <c r="G427" t="str">
        <f>PROPER(SalesData[[#This Row],[Product Name]])</f>
        <v>Solar Led Lantern</v>
      </c>
      <c r="H427" t="s">
        <v>1012</v>
      </c>
      <c r="I427" t="str">
        <f>UPPER(SalesData[[#This Row],[Product Category]])</f>
        <v>LIGHTING</v>
      </c>
      <c r="J427">
        <v>9</v>
      </c>
      <c r="K427">
        <v>40</v>
      </c>
      <c r="L427" s="15">
        <f>IF(SalesData[[#This Row],[Unit Price]]="",
    AVERAGEIFS(SalesData[Unit Price],
               SalesData[Product Name],SalesData[[#This Row],[Product Name]]),
    SalesData[[#This Row],[Unit Price]])</f>
        <v>40</v>
      </c>
      <c r="M427" s="15">
        <v>10.53</v>
      </c>
      <c r="N427" s="15">
        <f>SalesData[[#This Row],[Quantity Sold]] * SalesData[[#This Row],[Cleaned Unit Price]]</f>
        <v>360</v>
      </c>
      <c r="O427" s="15">
        <f>SalesData[[#This Row],[Quantity Sold]] * SalesData[[#This Row],[Unit Cost]]</f>
        <v>94.77</v>
      </c>
      <c r="P427" s="15">
        <f>SalesData[[#This Row],[Revenue]] - SalesData[[#This Row],[Cost]]</f>
        <v>265.23</v>
      </c>
      <c r="Q427" s="13">
        <f>IF(SalesData[[#This Row],[Revenue]]=0,0,SalesData[[#This Row],[Profit]]/SalesData[[#This Row],[Revenue]])</f>
        <v>0.73675000000000002</v>
      </c>
      <c r="R427" t="s">
        <v>1055</v>
      </c>
      <c r="S427" t="s">
        <v>1254</v>
      </c>
      <c r="T427" t="str">
        <f>PROPER(SalesData[[#This Row],[Customer Name]])</f>
        <v>Lucas Brown</v>
      </c>
      <c r="U427" t="s">
        <v>1416</v>
      </c>
      <c r="V427" t="s">
        <v>1418</v>
      </c>
    </row>
    <row r="428" spans="1:22" x14ac:dyDescent="0.25">
      <c r="A428" t="s">
        <v>1854</v>
      </c>
      <c r="B428" s="5">
        <v>45435</v>
      </c>
      <c r="C428" s="2" t="str">
        <f>TEXT(SalesData[[#This Row],[Order Date]],"mmm")</f>
        <v>May</v>
      </c>
      <c r="D428" s="7">
        <f>MONTH(SalesData[[#This Row],[Order Date]])</f>
        <v>5</v>
      </c>
      <c r="E428" s="7">
        <f>YEAR(SalesData[[#This Row],[Order Date]])</f>
        <v>2024</v>
      </c>
      <c r="F428" t="s">
        <v>383</v>
      </c>
      <c r="G428" t="str">
        <f>PROPER(SalesData[[#This Row],[Product Name]])</f>
        <v>Reusable Bamboo Utensil Set</v>
      </c>
      <c r="H428" t="s">
        <v>1014</v>
      </c>
      <c r="I428" t="str">
        <f>UPPER(SalesData[[#This Row],[Product Category]])</f>
        <v>KITCHENWARE</v>
      </c>
      <c r="J428">
        <v>10</v>
      </c>
      <c r="K428">
        <v>15</v>
      </c>
      <c r="L428" s="15">
        <f>IF(SalesData[[#This Row],[Unit Price]]="",
    AVERAGEIFS(SalesData[Unit Price],
               SalesData[Product Name],SalesData[[#This Row],[Product Name]]),
    SalesData[[#This Row],[Unit Price]])</f>
        <v>15</v>
      </c>
      <c r="M428" s="15">
        <v>3.43</v>
      </c>
      <c r="N428" s="15">
        <f>SalesData[[#This Row],[Quantity Sold]] * SalesData[[#This Row],[Cleaned Unit Price]]</f>
        <v>150</v>
      </c>
      <c r="O428" s="15">
        <f>SalesData[[#This Row],[Quantity Sold]] * SalesData[[#This Row],[Unit Cost]]</f>
        <v>34.300000000000004</v>
      </c>
      <c r="P428" s="15">
        <f>SalesData[[#This Row],[Revenue]] - SalesData[[#This Row],[Cost]]</f>
        <v>115.69999999999999</v>
      </c>
      <c r="Q428" s="13">
        <f>IF(SalesData[[#This Row],[Revenue]]=0,0,SalesData[[#This Row],[Profit]]/SalesData[[#This Row],[Revenue]])</f>
        <v>0.7713333333333332</v>
      </c>
      <c r="R428" t="s">
        <v>1145</v>
      </c>
      <c r="S428" t="s">
        <v>1344</v>
      </c>
      <c r="T428" t="str">
        <f>PROPER(SalesData[[#This Row],[Customer Name]])</f>
        <v>James Jones</v>
      </c>
      <c r="U428" t="s">
        <v>1414</v>
      </c>
      <c r="V428" t="s">
        <v>1422</v>
      </c>
    </row>
    <row r="429" spans="1:22" x14ac:dyDescent="0.25">
      <c r="A429" t="s">
        <v>1855</v>
      </c>
      <c r="B429" s="5">
        <v>45435</v>
      </c>
      <c r="C429" s="2" t="str">
        <f>TEXT(SalesData[[#This Row],[Order Date]],"mmm")</f>
        <v>May</v>
      </c>
      <c r="D429" s="7">
        <f>MONTH(SalesData[[#This Row],[Order Date]])</f>
        <v>5</v>
      </c>
      <c r="E429" s="7">
        <f>YEAR(SalesData[[#This Row],[Order Date]])</f>
        <v>2024</v>
      </c>
      <c r="F429" t="s">
        <v>779</v>
      </c>
      <c r="G429" t="str">
        <f>PROPER(SalesData[[#This Row],[Product Name]])</f>
        <v>Solar Led Lantern</v>
      </c>
      <c r="H429" t="s">
        <v>1012</v>
      </c>
      <c r="I429" t="str">
        <f>UPPER(SalesData[[#This Row],[Product Category]])</f>
        <v>LIGHTING</v>
      </c>
      <c r="J429">
        <v>1</v>
      </c>
      <c r="K429">
        <v>40</v>
      </c>
      <c r="L429" s="15">
        <f>IF(SalesData[[#This Row],[Unit Price]]="",
    AVERAGEIFS(SalesData[Unit Price],
               SalesData[Product Name],SalesData[[#This Row],[Product Name]]),
    SalesData[[#This Row],[Unit Price]])</f>
        <v>40</v>
      </c>
      <c r="M429" s="15">
        <v>12.59</v>
      </c>
      <c r="N429" s="15">
        <f>SalesData[[#This Row],[Quantity Sold]] * SalesData[[#This Row],[Cleaned Unit Price]]</f>
        <v>40</v>
      </c>
      <c r="O429" s="15">
        <f>SalesData[[#This Row],[Quantity Sold]] * SalesData[[#This Row],[Unit Cost]]</f>
        <v>12.59</v>
      </c>
      <c r="P429" s="15">
        <f>SalesData[[#This Row],[Revenue]] - SalesData[[#This Row],[Cost]]</f>
        <v>27.41</v>
      </c>
      <c r="Q429" s="13">
        <f>IF(SalesData[[#This Row],[Revenue]]=0,0,SalesData[[#This Row],[Profit]]/SalesData[[#This Row],[Revenue]])</f>
        <v>0.68525000000000003</v>
      </c>
      <c r="R429" t="s">
        <v>1097</v>
      </c>
      <c r="S429" t="s">
        <v>1296</v>
      </c>
      <c r="T429" t="str">
        <f>PROPER(SalesData[[#This Row],[Customer Name]])</f>
        <v>Elijah Brown</v>
      </c>
      <c r="U429" t="s">
        <v>1414</v>
      </c>
      <c r="V429" t="s">
        <v>1425</v>
      </c>
    </row>
    <row r="430" spans="1:22" x14ac:dyDescent="0.25">
      <c r="A430" t="s">
        <v>1856</v>
      </c>
      <c r="B430" s="5">
        <v>45435</v>
      </c>
      <c r="C430" s="2" t="str">
        <f>TEXT(SalesData[[#This Row],[Order Date]],"mmm")</f>
        <v>May</v>
      </c>
      <c r="D430" s="7">
        <f>MONTH(SalesData[[#This Row],[Order Date]])</f>
        <v>5</v>
      </c>
      <c r="E430" s="7">
        <f>YEAR(SalesData[[#This Row],[Order Date]])</f>
        <v>2024</v>
      </c>
      <c r="F430" t="s">
        <v>792</v>
      </c>
      <c r="G430" t="str">
        <f>PROPER(SalesData[[#This Row],[Product Name]])</f>
        <v>Compostable Plant Pots</v>
      </c>
      <c r="H430" t="s">
        <v>1011</v>
      </c>
      <c r="I430" t="str">
        <f>UPPER(SalesData[[#This Row],[Product Category]])</f>
        <v>GARDENING</v>
      </c>
      <c r="J430">
        <v>3</v>
      </c>
      <c r="K430">
        <v>12</v>
      </c>
      <c r="L430" s="15">
        <f>IF(SalesData[[#This Row],[Unit Price]]="",
    AVERAGEIFS(SalesData[Unit Price],
               SalesData[Product Name],SalesData[[#This Row],[Product Name]]),
    SalesData[[#This Row],[Unit Price]])</f>
        <v>12</v>
      </c>
      <c r="M430" s="15">
        <v>3.18</v>
      </c>
      <c r="N430" s="15">
        <f>SalesData[[#This Row],[Quantity Sold]] * SalesData[[#This Row],[Cleaned Unit Price]]</f>
        <v>36</v>
      </c>
      <c r="O430" s="15">
        <f>SalesData[[#This Row],[Quantity Sold]] * SalesData[[#This Row],[Unit Cost]]</f>
        <v>9.5400000000000009</v>
      </c>
      <c r="P430" s="15">
        <f>SalesData[[#This Row],[Revenue]] - SalesData[[#This Row],[Cost]]</f>
        <v>26.46</v>
      </c>
      <c r="Q430" s="13">
        <f>IF(SalesData[[#This Row],[Revenue]]=0,0,SalesData[[#This Row],[Profit]]/SalesData[[#This Row],[Revenue]])</f>
        <v>0.73499999999999999</v>
      </c>
      <c r="R430" t="s">
        <v>1122</v>
      </c>
      <c r="S430" t="s">
        <v>1321</v>
      </c>
      <c r="T430" t="str">
        <f>PROPER(SalesData[[#This Row],[Customer Name]])</f>
        <v>Harper Rodriguez</v>
      </c>
      <c r="U430" t="s">
        <v>1414</v>
      </c>
      <c r="V430" t="s">
        <v>1423</v>
      </c>
    </row>
    <row r="431" spans="1:22" x14ac:dyDescent="0.25">
      <c r="A431" t="s">
        <v>1857</v>
      </c>
      <c r="B431" s="5">
        <v>45435</v>
      </c>
      <c r="C431" s="2" t="str">
        <f>TEXT(SalesData[[#This Row],[Order Date]],"mmm")</f>
        <v>May</v>
      </c>
      <c r="D431" s="7">
        <f>MONTH(SalesData[[#This Row],[Order Date]])</f>
        <v>5</v>
      </c>
      <c r="E431" s="7">
        <f>YEAR(SalesData[[#This Row],[Order Date]])</f>
        <v>2024</v>
      </c>
      <c r="F431" t="s">
        <v>936</v>
      </c>
      <c r="G431" t="str">
        <f>PROPER(SalesData[[#This Row],[Product Name]])</f>
        <v>Solar Led Lantern</v>
      </c>
      <c r="H431" t="s">
        <v>1012</v>
      </c>
      <c r="I431" t="str">
        <f>UPPER(SalesData[[#This Row],[Product Category]])</f>
        <v>LIGHTING</v>
      </c>
      <c r="J431">
        <v>9</v>
      </c>
      <c r="K431">
        <v>40</v>
      </c>
      <c r="L431" s="15">
        <f>IF(SalesData[[#This Row],[Unit Price]]="",
    AVERAGEIFS(SalesData[Unit Price],
               SalesData[Product Name],SalesData[[#This Row],[Product Name]]),
    SalesData[[#This Row],[Unit Price]])</f>
        <v>40</v>
      </c>
      <c r="M431" s="15">
        <v>8.0399999999999991</v>
      </c>
      <c r="N431" s="15">
        <f>SalesData[[#This Row],[Quantity Sold]] * SalesData[[#This Row],[Cleaned Unit Price]]</f>
        <v>360</v>
      </c>
      <c r="O431" s="15">
        <f>SalesData[[#This Row],[Quantity Sold]] * SalesData[[#This Row],[Unit Cost]]</f>
        <v>72.359999999999985</v>
      </c>
      <c r="P431" s="15">
        <f>SalesData[[#This Row],[Revenue]] - SalesData[[#This Row],[Cost]]</f>
        <v>287.64</v>
      </c>
      <c r="Q431" s="13">
        <f>IF(SalesData[[#This Row],[Revenue]]=0,0,SalesData[[#This Row],[Profit]]/SalesData[[#This Row],[Revenue]])</f>
        <v>0.79899999999999993</v>
      </c>
      <c r="R431" t="s">
        <v>1202</v>
      </c>
      <c r="S431" t="s">
        <v>1401</v>
      </c>
      <c r="T431" t="str">
        <f>PROPER(SalesData[[#This Row],[Customer Name]])</f>
        <v>Aiden Smith</v>
      </c>
      <c r="U431" t="s">
        <v>1415</v>
      </c>
      <c r="V431" t="s">
        <v>1421</v>
      </c>
    </row>
    <row r="432" spans="1:22" x14ac:dyDescent="0.25">
      <c r="A432" t="s">
        <v>1858</v>
      </c>
      <c r="B432" s="5">
        <v>45436</v>
      </c>
      <c r="C432" s="2" t="str">
        <f>TEXT(SalesData[[#This Row],[Order Date]],"mmm")</f>
        <v>May</v>
      </c>
      <c r="D432" s="7">
        <f>MONTH(SalesData[[#This Row],[Order Date]])</f>
        <v>5</v>
      </c>
      <c r="E432" s="7">
        <f>YEAR(SalesData[[#This Row],[Order Date]])</f>
        <v>2024</v>
      </c>
      <c r="F432" t="s">
        <v>360</v>
      </c>
      <c r="G432" t="str">
        <f>PROPER(SalesData[[#This Row],[Product Name]])</f>
        <v>Eco Canvas Tote Bag</v>
      </c>
      <c r="H432" t="s">
        <v>1013</v>
      </c>
      <c r="I432" t="str">
        <f>UPPER(SalesData[[#This Row],[Product Category]])</f>
        <v>BAGS</v>
      </c>
      <c r="J432">
        <v>6</v>
      </c>
      <c r="K432">
        <v>25</v>
      </c>
      <c r="L432" s="15">
        <f>IF(SalesData[[#This Row],[Unit Price]]="",
    AVERAGEIFS(SalesData[Unit Price],
               SalesData[Product Name],SalesData[[#This Row],[Product Name]]),
    SalesData[[#This Row],[Unit Price]])</f>
        <v>25</v>
      </c>
      <c r="M432" s="15">
        <v>6.37</v>
      </c>
      <c r="N432" s="15">
        <f>SalesData[[#This Row],[Quantity Sold]] * SalesData[[#This Row],[Cleaned Unit Price]]</f>
        <v>150</v>
      </c>
      <c r="O432" s="15">
        <f>SalesData[[#This Row],[Quantity Sold]] * SalesData[[#This Row],[Unit Cost]]</f>
        <v>38.22</v>
      </c>
      <c r="P432" s="15">
        <f>SalesData[[#This Row],[Revenue]] - SalesData[[#This Row],[Cost]]</f>
        <v>111.78</v>
      </c>
      <c r="Q432" s="13">
        <f>IF(SalesData[[#This Row],[Revenue]]=0,0,SalesData[[#This Row],[Profit]]/SalesData[[#This Row],[Revenue]])</f>
        <v>0.74519999999999997</v>
      </c>
      <c r="R432" t="s">
        <v>1134</v>
      </c>
      <c r="S432" t="s">
        <v>1333</v>
      </c>
      <c r="T432" t="str">
        <f>PROPER(SalesData[[#This Row],[Customer Name]])</f>
        <v>Ava Martinez</v>
      </c>
      <c r="U432" t="s">
        <v>1416</v>
      </c>
      <c r="V432" t="s">
        <v>1420</v>
      </c>
    </row>
    <row r="433" spans="1:22" x14ac:dyDescent="0.25">
      <c r="A433" t="s">
        <v>1859</v>
      </c>
      <c r="B433" s="5">
        <v>45436</v>
      </c>
      <c r="C433" s="2" t="str">
        <f>TEXT(SalesData[[#This Row],[Order Date]],"mmm")</f>
        <v>May</v>
      </c>
      <c r="D433" s="7">
        <f>MONTH(SalesData[[#This Row],[Order Date]])</f>
        <v>5</v>
      </c>
      <c r="E433" s="7">
        <f>YEAR(SalesData[[#This Row],[Order Date]])</f>
        <v>2024</v>
      </c>
      <c r="F433" t="s">
        <v>619</v>
      </c>
      <c r="G433" t="str">
        <f>PROPER(SalesData[[#This Row],[Product Name]])</f>
        <v>Eco Canvas Tote Bag</v>
      </c>
      <c r="H433" t="s">
        <v>1013</v>
      </c>
      <c r="I433" t="str">
        <f>UPPER(SalesData[[#This Row],[Product Category]])</f>
        <v>BAGS</v>
      </c>
      <c r="J433">
        <v>2</v>
      </c>
      <c r="L433" s="15">
        <f>IF(SalesData[[#This Row],[Unit Price]]="",
    AVERAGEIFS(SalesData[Unit Price],
               SalesData[Product Name],SalesData[[#This Row],[Product Name]]),
    SalesData[[#This Row],[Unit Price]])</f>
        <v>25</v>
      </c>
      <c r="M433" s="15">
        <v>9.68</v>
      </c>
      <c r="N433" s="15">
        <f>SalesData[[#This Row],[Quantity Sold]] * SalesData[[#This Row],[Cleaned Unit Price]]</f>
        <v>50</v>
      </c>
      <c r="O433" s="15">
        <f>SalesData[[#This Row],[Quantity Sold]] * SalesData[[#This Row],[Unit Cost]]</f>
        <v>19.36</v>
      </c>
      <c r="P433" s="15">
        <f>SalesData[[#This Row],[Revenue]] - SalesData[[#This Row],[Cost]]</f>
        <v>30.64</v>
      </c>
      <c r="Q433" s="13">
        <f>IF(SalesData[[#This Row],[Revenue]]=0,0,SalesData[[#This Row],[Profit]]/SalesData[[#This Row],[Revenue]])</f>
        <v>0.61280000000000001</v>
      </c>
      <c r="R433" t="s">
        <v>1207</v>
      </c>
      <c r="S433" t="s">
        <v>1406</v>
      </c>
      <c r="T433" t="str">
        <f>PROPER(SalesData[[#This Row],[Customer Name]])</f>
        <v>Logan Martinez</v>
      </c>
      <c r="U433" t="s">
        <v>1416</v>
      </c>
      <c r="V433" t="s">
        <v>1423</v>
      </c>
    </row>
    <row r="434" spans="1:22" x14ac:dyDescent="0.25">
      <c r="A434" t="s">
        <v>1860</v>
      </c>
      <c r="B434" s="5">
        <v>45437</v>
      </c>
      <c r="C434" s="2" t="str">
        <f>TEXT(SalesData[[#This Row],[Order Date]],"mmm")</f>
        <v>May</v>
      </c>
      <c r="D434" s="7">
        <f>MONTH(SalesData[[#This Row],[Order Date]])</f>
        <v>5</v>
      </c>
      <c r="E434" s="7">
        <f>YEAR(SalesData[[#This Row],[Order Date]])</f>
        <v>2024</v>
      </c>
      <c r="F434" t="s">
        <v>106</v>
      </c>
      <c r="G434" t="str">
        <f>PROPER(SalesData[[#This Row],[Product Name]])</f>
        <v>Eco Canvas Tote Bag</v>
      </c>
      <c r="H434" t="s">
        <v>1013</v>
      </c>
      <c r="I434" t="str">
        <f>UPPER(SalesData[[#This Row],[Product Category]])</f>
        <v>BAGS</v>
      </c>
      <c r="J434">
        <v>4</v>
      </c>
      <c r="K434">
        <v>25</v>
      </c>
      <c r="L434" s="15">
        <f>IF(SalesData[[#This Row],[Unit Price]]="",
    AVERAGEIFS(SalesData[Unit Price],
               SalesData[Product Name],SalesData[[#This Row],[Product Name]]),
    SalesData[[#This Row],[Unit Price]])</f>
        <v>25</v>
      </c>
      <c r="M434" s="15">
        <v>6.63</v>
      </c>
      <c r="N434" s="15">
        <f>SalesData[[#This Row],[Quantity Sold]] * SalesData[[#This Row],[Cleaned Unit Price]]</f>
        <v>100</v>
      </c>
      <c r="O434" s="15">
        <f>SalesData[[#This Row],[Quantity Sold]] * SalesData[[#This Row],[Unit Cost]]</f>
        <v>26.52</v>
      </c>
      <c r="P434" s="15">
        <f>SalesData[[#This Row],[Revenue]] - SalesData[[#This Row],[Cost]]</f>
        <v>73.48</v>
      </c>
      <c r="Q434" s="13">
        <f>IF(SalesData[[#This Row],[Revenue]]=0,0,SalesData[[#This Row],[Profit]]/SalesData[[#This Row],[Revenue]])</f>
        <v>0.73480000000000001</v>
      </c>
      <c r="R434" t="s">
        <v>1088</v>
      </c>
      <c r="S434" t="s">
        <v>1287</v>
      </c>
      <c r="T434" t="str">
        <f>PROPER(SalesData[[#This Row],[Customer Name]])</f>
        <v>Evelyn Brown</v>
      </c>
      <c r="U434" t="s">
        <v>1416</v>
      </c>
      <c r="V434" t="s">
        <v>1422</v>
      </c>
    </row>
    <row r="435" spans="1:22" x14ac:dyDescent="0.25">
      <c r="A435" t="s">
        <v>1861</v>
      </c>
      <c r="B435" s="5">
        <v>45437</v>
      </c>
      <c r="C435" s="2" t="str">
        <f>TEXT(SalesData[[#This Row],[Order Date]],"mmm")</f>
        <v>May</v>
      </c>
      <c r="D435" s="7">
        <f>MONTH(SalesData[[#This Row],[Order Date]])</f>
        <v>5</v>
      </c>
      <c r="E435" s="7">
        <f>YEAR(SalesData[[#This Row],[Order Date]])</f>
        <v>2024</v>
      </c>
      <c r="F435" t="s">
        <v>678</v>
      </c>
      <c r="G435" t="str">
        <f>PROPER(SalesData[[#This Row],[Product Name]])</f>
        <v>Reusable Bamboo Utensil Set</v>
      </c>
      <c r="H435" t="s">
        <v>1014</v>
      </c>
      <c r="I435" t="str">
        <f>UPPER(SalesData[[#This Row],[Product Category]])</f>
        <v>KITCHENWARE</v>
      </c>
      <c r="J435">
        <v>5</v>
      </c>
      <c r="L435" s="15">
        <f>IF(SalesData[[#This Row],[Unit Price]]="",
    AVERAGEIFS(SalesData[Unit Price],
               SalesData[Product Name],SalesData[[#This Row],[Product Name]]),
    SalesData[[#This Row],[Unit Price]])</f>
        <v>15</v>
      </c>
      <c r="M435" s="15">
        <v>5.99</v>
      </c>
      <c r="N435" s="15">
        <f>SalesData[[#This Row],[Quantity Sold]] * SalesData[[#This Row],[Cleaned Unit Price]]</f>
        <v>75</v>
      </c>
      <c r="O435" s="15">
        <f>SalesData[[#This Row],[Quantity Sold]] * SalesData[[#This Row],[Unit Cost]]</f>
        <v>29.950000000000003</v>
      </c>
      <c r="P435" s="15">
        <f>SalesData[[#This Row],[Revenue]] - SalesData[[#This Row],[Cost]]</f>
        <v>45.05</v>
      </c>
      <c r="Q435" s="13">
        <f>IF(SalesData[[#This Row],[Revenue]]=0,0,SalesData[[#This Row],[Profit]]/SalesData[[#This Row],[Revenue]])</f>
        <v>0.60066666666666668</v>
      </c>
      <c r="R435" t="s">
        <v>1072</v>
      </c>
      <c r="S435" t="s">
        <v>1271</v>
      </c>
      <c r="T435" t="str">
        <f>PROPER(SalesData[[#This Row],[Customer Name]])</f>
        <v>Ethan Garcia</v>
      </c>
      <c r="U435" t="s">
        <v>1414</v>
      </c>
      <c r="V435" t="s">
        <v>1424</v>
      </c>
    </row>
    <row r="436" spans="1:22" x14ac:dyDescent="0.25">
      <c r="A436" t="s">
        <v>1862</v>
      </c>
      <c r="B436" s="5">
        <v>45437</v>
      </c>
      <c r="C436" s="2" t="str">
        <f>TEXT(SalesData[[#This Row],[Order Date]],"mmm")</f>
        <v>May</v>
      </c>
      <c r="D436" s="7">
        <f>MONTH(SalesData[[#This Row],[Order Date]])</f>
        <v>5</v>
      </c>
      <c r="E436" s="7">
        <f>YEAR(SalesData[[#This Row],[Order Date]])</f>
        <v>2024</v>
      </c>
      <c r="F436" t="s">
        <v>968</v>
      </c>
      <c r="G436" t="str">
        <f>PROPER(SalesData[[#This Row],[Product Name]])</f>
        <v>Reusable Bamboo Utensil Set</v>
      </c>
      <c r="H436" t="s">
        <v>1014</v>
      </c>
      <c r="I436" t="str">
        <f>UPPER(SalesData[[#This Row],[Product Category]])</f>
        <v>KITCHENWARE</v>
      </c>
      <c r="J436">
        <v>8</v>
      </c>
      <c r="K436">
        <v>15</v>
      </c>
      <c r="L436" s="15">
        <f>IF(SalesData[[#This Row],[Unit Price]]="",
    AVERAGEIFS(SalesData[Unit Price],
               SalesData[Product Name],SalesData[[#This Row],[Product Name]]),
    SalesData[[#This Row],[Unit Price]])</f>
        <v>15</v>
      </c>
      <c r="M436" s="15">
        <v>4.1100000000000003</v>
      </c>
      <c r="N436" s="15">
        <f>SalesData[[#This Row],[Quantity Sold]] * SalesData[[#This Row],[Cleaned Unit Price]]</f>
        <v>120</v>
      </c>
      <c r="O436" s="15">
        <f>SalesData[[#This Row],[Quantity Sold]] * SalesData[[#This Row],[Unit Cost]]</f>
        <v>32.880000000000003</v>
      </c>
      <c r="P436" s="15">
        <f>SalesData[[#This Row],[Revenue]] - SalesData[[#This Row],[Cost]]</f>
        <v>87.12</v>
      </c>
      <c r="Q436" s="13">
        <f>IF(SalesData[[#This Row],[Revenue]]=0,0,SalesData[[#This Row],[Profit]]/SalesData[[#This Row],[Revenue]])</f>
        <v>0.72600000000000009</v>
      </c>
      <c r="R436" t="s">
        <v>1166</v>
      </c>
      <c r="S436" t="s">
        <v>1365</v>
      </c>
      <c r="T436" t="str">
        <f>PROPER(SalesData[[#This Row],[Customer Name]])</f>
        <v>Olivia Garcia</v>
      </c>
      <c r="U436" t="s">
        <v>1417</v>
      </c>
      <c r="V436" t="s">
        <v>1418</v>
      </c>
    </row>
    <row r="437" spans="1:22" x14ac:dyDescent="0.25">
      <c r="A437" t="s">
        <v>1863</v>
      </c>
      <c r="B437" s="5">
        <v>45438</v>
      </c>
      <c r="C437" s="2" t="str">
        <f>TEXT(SalesData[[#This Row],[Order Date]],"mmm")</f>
        <v>May</v>
      </c>
      <c r="D437" s="7">
        <f>MONTH(SalesData[[#This Row],[Order Date]])</f>
        <v>5</v>
      </c>
      <c r="E437" s="7">
        <f>YEAR(SalesData[[#This Row],[Order Date]])</f>
        <v>2024</v>
      </c>
      <c r="F437" t="s">
        <v>717</v>
      </c>
      <c r="G437" t="str">
        <f>PROPER(SalesData[[#This Row],[Product Name]])</f>
        <v>Biodegradable Cleaning Cloth</v>
      </c>
      <c r="H437" t="s">
        <v>1015</v>
      </c>
      <c r="I437" t="str">
        <f>UPPER(SalesData[[#This Row],[Product Category]])</f>
        <v>CLEANING</v>
      </c>
      <c r="J437">
        <v>1</v>
      </c>
      <c r="K437">
        <v>10</v>
      </c>
      <c r="L437" s="15">
        <f>IF(SalesData[[#This Row],[Unit Price]]="",
    AVERAGEIFS(SalesData[Unit Price],
               SalesData[Product Name],SalesData[[#This Row],[Product Name]]),
    SalesData[[#This Row],[Unit Price]])</f>
        <v>10</v>
      </c>
      <c r="M437" s="15">
        <v>2.81</v>
      </c>
      <c r="N437" s="15">
        <f>SalesData[[#This Row],[Quantity Sold]] * SalesData[[#This Row],[Cleaned Unit Price]]</f>
        <v>10</v>
      </c>
      <c r="O437" s="15">
        <f>SalesData[[#This Row],[Quantity Sold]] * SalesData[[#This Row],[Unit Cost]]</f>
        <v>2.81</v>
      </c>
      <c r="P437" s="15">
        <f>SalesData[[#This Row],[Revenue]] - SalesData[[#This Row],[Cost]]</f>
        <v>7.1899999999999995</v>
      </c>
      <c r="Q437" s="13">
        <f>IF(SalesData[[#This Row],[Revenue]]=0,0,SalesData[[#This Row],[Profit]]/SalesData[[#This Row],[Revenue]])</f>
        <v>0.71899999999999997</v>
      </c>
      <c r="R437" t="s">
        <v>1095</v>
      </c>
      <c r="S437" t="s">
        <v>1294</v>
      </c>
      <c r="T437" t="str">
        <f>PROPER(SalesData[[#This Row],[Customer Name]])</f>
        <v>Evelyn Miller</v>
      </c>
      <c r="U437" t="s">
        <v>1414</v>
      </c>
      <c r="V437" t="s">
        <v>1418</v>
      </c>
    </row>
    <row r="438" spans="1:22" x14ac:dyDescent="0.25">
      <c r="A438" t="s">
        <v>1864</v>
      </c>
      <c r="B438" s="5">
        <v>45439</v>
      </c>
      <c r="C438" s="2" t="str">
        <f>TEXT(SalesData[[#This Row],[Order Date]],"mmm")</f>
        <v>May</v>
      </c>
      <c r="D438" s="7">
        <f>MONTH(SalesData[[#This Row],[Order Date]])</f>
        <v>5</v>
      </c>
      <c r="E438" s="7">
        <f>YEAR(SalesData[[#This Row],[Order Date]])</f>
        <v>2024</v>
      </c>
      <c r="F438" t="s">
        <v>274</v>
      </c>
      <c r="G438" t="str">
        <f>PROPER(SalesData[[#This Row],[Product Name]])</f>
        <v>Solar Led Lantern</v>
      </c>
      <c r="H438" t="s">
        <v>1012</v>
      </c>
      <c r="I438" t="str">
        <f>UPPER(SalesData[[#This Row],[Product Category]])</f>
        <v>LIGHTING</v>
      </c>
      <c r="J438">
        <v>5</v>
      </c>
      <c r="K438">
        <v>40</v>
      </c>
      <c r="L438" s="15">
        <f>IF(SalesData[[#This Row],[Unit Price]]="",
    AVERAGEIFS(SalesData[Unit Price],
               SalesData[Product Name],SalesData[[#This Row],[Product Name]]),
    SalesData[[#This Row],[Unit Price]])</f>
        <v>40</v>
      </c>
      <c r="M438" s="15">
        <v>9.7200000000000006</v>
      </c>
      <c r="N438" s="15">
        <f>SalesData[[#This Row],[Quantity Sold]] * SalesData[[#This Row],[Cleaned Unit Price]]</f>
        <v>200</v>
      </c>
      <c r="O438" s="15">
        <f>SalesData[[#This Row],[Quantity Sold]] * SalesData[[#This Row],[Unit Cost]]</f>
        <v>48.6</v>
      </c>
      <c r="P438" s="15">
        <f>SalesData[[#This Row],[Revenue]] - SalesData[[#This Row],[Cost]]</f>
        <v>151.4</v>
      </c>
      <c r="Q438" s="13">
        <f>IF(SalesData[[#This Row],[Revenue]]=0,0,SalesData[[#This Row],[Profit]]/SalesData[[#This Row],[Revenue]])</f>
        <v>0.75700000000000001</v>
      </c>
      <c r="R438" t="s">
        <v>1161</v>
      </c>
      <c r="S438" t="s">
        <v>1360</v>
      </c>
      <c r="T438" t="str">
        <f>PROPER(SalesData[[#This Row],[Customer Name]])</f>
        <v>Elijah Davis</v>
      </c>
      <c r="U438" t="s">
        <v>1415</v>
      </c>
      <c r="V438" t="s">
        <v>1421</v>
      </c>
    </row>
    <row r="439" spans="1:22" x14ac:dyDescent="0.25">
      <c r="A439" t="s">
        <v>1865</v>
      </c>
      <c r="B439" s="5">
        <v>45439</v>
      </c>
      <c r="C439" s="2" t="str">
        <f>TEXT(SalesData[[#This Row],[Order Date]],"mmm")</f>
        <v>May</v>
      </c>
      <c r="D439" s="7">
        <f>MONTH(SalesData[[#This Row],[Order Date]])</f>
        <v>5</v>
      </c>
      <c r="E439" s="7">
        <f>YEAR(SalesData[[#This Row],[Order Date]])</f>
        <v>2024</v>
      </c>
      <c r="F439" t="s">
        <v>955</v>
      </c>
      <c r="G439" t="str">
        <f>PROPER(SalesData[[#This Row],[Product Name]])</f>
        <v>Compostable Plant Pots</v>
      </c>
      <c r="H439" t="s">
        <v>1011</v>
      </c>
      <c r="I439" t="str">
        <f>UPPER(SalesData[[#This Row],[Product Category]])</f>
        <v>GARDENING</v>
      </c>
      <c r="J439">
        <v>8</v>
      </c>
      <c r="K439">
        <v>12</v>
      </c>
      <c r="L439" s="15">
        <f>IF(SalesData[[#This Row],[Unit Price]]="",
    AVERAGEIFS(SalesData[Unit Price],
               SalesData[Product Name],SalesData[[#This Row],[Product Name]]),
    SalesData[[#This Row],[Unit Price]])</f>
        <v>12</v>
      </c>
      <c r="M439" s="15">
        <v>4.46</v>
      </c>
      <c r="N439" s="15">
        <f>SalesData[[#This Row],[Quantity Sold]] * SalesData[[#This Row],[Cleaned Unit Price]]</f>
        <v>96</v>
      </c>
      <c r="O439" s="15">
        <f>SalesData[[#This Row],[Quantity Sold]] * SalesData[[#This Row],[Unit Cost]]</f>
        <v>35.68</v>
      </c>
      <c r="P439" s="15">
        <f>SalesData[[#This Row],[Revenue]] - SalesData[[#This Row],[Cost]]</f>
        <v>60.32</v>
      </c>
      <c r="Q439" s="13">
        <f>IF(SalesData[[#This Row],[Revenue]]=0,0,SalesData[[#This Row],[Profit]]/SalesData[[#This Row],[Revenue]])</f>
        <v>0.6283333333333333</v>
      </c>
      <c r="R439" t="s">
        <v>1190</v>
      </c>
      <c r="S439" t="s">
        <v>1389</v>
      </c>
      <c r="T439" t="str">
        <f>PROPER(SalesData[[#This Row],[Customer Name]])</f>
        <v>James Garcia</v>
      </c>
      <c r="U439" t="s">
        <v>1415</v>
      </c>
      <c r="V439" t="s">
        <v>1427</v>
      </c>
    </row>
    <row r="440" spans="1:22" x14ac:dyDescent="0.25">
      <c r="A440" t="s">
        <v>1866</v>
      </c>
      <c r="B440" s="5">
        <v>45440</v>
      </c>
      <c r="C440" s="2" t="str">
        <f>TEXT(SalesData[[#This Row],[Order Date]],"mmm")</f>
        <v>May</v>
      </c>
      <c r="D440" s="7">
        <f>MONTH(SalesData[[#This Row],[Order Date]])</f>
        <v>5</v>
      </c>
      <c r="E440" s="7">
        <f>YEAR(SalesData[[#This Row],[Order Date]])</f>
        <v>2024</v>
      </c>
      <c r="F440" t="s">
        <v>266</v>
      </c>
      <c r="G440" t="str">
        <f>PROPER(SalesData[[#This Row],[Product Name]])</f>
        <v>Eco Canvas Tote Bag</v>
      </c>
      <c r="H440" t="s">
        <v>1013</v>
      </c>
      <c r="I440" t="str">
        <f>UPPER(SalesData[[#This Row],[Product Category]])</f>
        <v>BAGS</v>
      </c>
      <c r="J440">
        <v>5</v>
      </c>
      <c r="K440">
        <v>25</v>
      </c>
      <c r="L440" s="15">
        <f>IF(SalesData[[#This Row],[Unit Price]]="",
    AVERAGEIFS(SalesData[Unit Price],
               SalesData[Product Name],SalesData[[#This Row],[Product Name]]),
    SalesData[[#This Row],[Unit Price]])</f>
        <v>25</v>
      </c>
      <c r="M440" s="15">
        <v>7.88</v>
      </c>
      <c r="N440" s="15">
        <f>SalesData[[#This Row],[Quantity Sold]] * SalesData[[#This Row],[Cleaned Unit Price]]</f>
        <v>125</v>
      </c>
      <c r="O440" s="15">
        <f>SalesData[[#This Row],[Quantity Sold]] * SalesData[[#This Row],[Unit Cost]]</f>
        <v>39.4</v>
      </c>
      <c r="P440" s="15">
        <f>SalesData[[#This Row],[Revenue]] - SalesData[[#This Row],[Cost]]</f>
        <v>85.6</v>
      </c>
      <c r="Q440" s="13">
        <f>IF(SalesData[[#This Row],[Revenue]]=0,0,SalesData[[#This Row],[Profit]]/SalesData[[#This Row],[Revenue]])</f>
        <v>0.68479999999999996</v>
      </c>
      <c r="R440" t="s">
        <v>1131</v>
      </c>
      <c r="S440" t="s">
        <v>1330</v>
      </c>
      <c r="T440" t="str">
        <f>PROPER(SalesData[[#This Row],[Customer Name]])</f>
        <v>Oliver Miller</v>
      </c>
      <c r="U440" t="s">
        <v>1414</v>
      </c>
      <c r="V440" t="s">
        <v>1421</v>
      </c>
    </row>
    <row r="441" spans="1:22" x14ac:dyDescent="0.25">
      <c r="A441" t="s">
        <v>1867</v>
      </c>
      <c r="B441" s="5">
        <v>45440</v>
      </c>
      <c r="C441" s="2" t="str">
        <f>TEXT(SalesData[[#This Row],[Order Date]],"mmm")</f>
        <v>May</v>
      </c>
      <c r="D441" s="7">
        <f>MONTH(SalesData[[#This Row],[Order Date]])</f>
        <v>5</v>
      </c>
      <c r="E441" s="7">
        <f>YEAR(SalesData[[#This Row],[Order Date]])</f>
        <v>2024</v>
      </c>
      <c r="F441" t="s">
        <v>340</v>
      </c>
      <c r="G441" t="str">
        <f>PROPER(SalesData[[#This Row],[Product Name]])</f>
        <v>Reusable Bamboo Utensil Set</v>
      </c>
      <c r="H441" t="s">
        <v>1014</v>
      </c>
      <c r="I441" t="str">
        <f>UPPER(SalesData[[#This Row],[Product Category]])</f>
        <v>KITCHENWARE</v>
      </c>
      <c r="J441">
        <v>1</v>
      </c>
      <c r="K441">
        <v>15</v>
      </c>
      <c r="L441" s="15">
        <f>IF(SalesData[[#This Row],[Unit Price]]="",
    AVERAGEIFS(SalesData[Unit Price],
               SalesData[Product Name],SalesData[[#This Row],[Product Name]]),
    SalesData[[#This Row],[Unit Price]])</f>
        <v>15</v>
      </c>
      <c r="M441" s="15">
        <v>4.3499999999999996</v>
      </c>
      <c r="N441" s="15">
        <f>SalesData[[#This Row],[Quantity Sold]] * SalesData[[#This Row],[Cleaned Unit Price]]</f>
        <v>15</v>
      </c>
      <c r="O441" s="15">
        <f>SalesData[[#This Row],[Quantity Sold]] * SalesData[[#This Row],[Unit Cost]]</f>
        <v>4.3499999999999996</v>
      </c>
      <c r="P441" s="15">
        <f>SalesData[[#This Row],[Revenue]] - SalesData[[#This Row],[Cost]]</f>
        <v>10.65</v>
      </c>
      <c r="Q441" s="13">
        <f>IF(SalesData[[#This Row],[Revenue]]=0,0,SalesData[[#This Row],[Profit]]/SalesData[[#This Row],[Revenue]])</f>
        <v>0.71000000000000008</v>
      </c>
      <c r="R441" t="s">
        <v>1175</v>
      </c>
      <c r="S441" t="s">
        <v>1374</v>
      </c>
      <c r="T441" t="str">
        <f>PROPER(SalesData[[#This Row],[Customer Name]])</f>
        <v>Ava Rodriguez</v>
      </c>
      <c r="U441" t="s">
        <v>1414</v>
      </c>
      <c r="V441" t="s">
        <v>1423</v>
      </c>
    </row>
    <row r="442" spans="1:22" x14ac:dyDescent="0.25">
      <c r="A442" t="s">
        <v>1868</v>
      </c>
      <c r="B442" s="5">
        <v>45440</v>
      </c>
      <c r="C442" s="2" t="str">
        <f>TEXT(SalesData[[#This Row],[Order Date]],"mmm")</f>
        <v>May</v>
      </c>
      <c r="D442" s="7">
        <f>MONTH(SalesData[[#This Row],[Order Date]])</f>
        <v>5</v>
      </c>
      <c r="E442" s="7">
        <f>YEAR(SalesData[[#This Row],[Order Date]])</f>
        <v>2024</v>
      </c>
      <c r="F442" t="s">
        <v>357</v>
      </c>
      <c r="G442" t="str">
        <f>PROPER(SalesData[[#This Row],[Product Name]])</f>
        <v>Eco Canvas Tote Bag</v>
      </c>
      <c r="H442" t="s">
        <v>1013</v>
      </c>
      <c r="I442" t="str">
        <f>UPPER(SalesData[[#This Row],[Product Category]])</f>
        <v>BAGS</v>
      </c>
      <c r="J442">
        <v>2</v>
      </c>
      <c r="L442" s="15">
        <f>IF(SalesData[[#This Row],[Unit Price]]="",
    AVERAGEIFS(SalesData[Unit Price],
               SalesData[Product Name],SalesData[[#This Row],[Product Name]]),
    SalesData[[#This Row],[Unit Price]])</f>
        <v>25</v>
      </c>
      <c r="M442" s="15">
        <v>6.85</v>
      </c>
      <c r="N442" s="15">
        <f>SalesData[[#This Row],[Quantity Sold]] * SalesData[[#This Row],[Cleaned Unit Price]]</f>
        <v>50</v>
      </c>
      <c r="O442" s="15">
        <f>SalesData[[#This Row],[Quantity Sold]] * SalesData[[#This Row],[Unit Cost]]</f>
        <v>13.7</v>
      </c>
      <c r="P442" s="15">
        <f>SalesData[[#This Row],[Revenue]] - SalesData[[#This Row],[Cost]]</f>
        <v>36.299999999999997</v>
      </c>
      <c r="Q442" s="13">
        <f>IF(SalesData[[#This Row],[Revenue]]=0,0,SalesData[[#This Row],[Profit]]/SalesData[[#This Row],[Revenue]])</f>
        <v>0.72599999999999998</v>
      </c>
      <c r="R442" t="s">
        <v>1110</v>
      </c>
      <c r="S442" t="s">
        <v>1309</v>
      </c>
      <c r="T442" t="str">
        <f>PROPER(SalesData[[#This Row],[Customer Name]])</f>
        <v>Sophia Martinez</v>
      </c>
      <c r="U442" t="s">
        <v>1416</v>
      </c>
      <c r="V442" t="s">
        <v>1421</v>
      </c>
    </row>
    <row r="443" spans="1:22" x14ac:dyDescent="0.25">
      <c r="A443" t="s">
        <v>1869</v>
      </c>
      <c r="B443" s="5">
        <v>45440</v>
      </c>
      <c r="C443" s="2" t="str">
        <f>TEXT(SalesData[[#This Row],[Order Date]],"mmm")</f>
        <v>May</v>
      </c>
      <c r="D443" s="7">
        <f>MONTH(SalesData[[#This Row],[Order Date]])</f>
        <v>5</v>
      </c>
      <c r="E443" s="7">
        <f>YEAR(SalesData[[#This Row],[Order Date]])</f>
        <v>2024</v>
      </c>
      <c r="F443" t="s">
        <v>467</v>
      </c>
      <c r="G443" t="str">
        <f>PROPER(SalesData[[#This Row],[Product Name]])</f>
        <v>Compostable Plant Pots</v>
      </c>
      <c r="H443" t="s">
        <v>1011</v>
      </c>
      <c r="I443" t="str">
        <f>UPPER(SalesData[[#This Row],[Product Category]])</f>
        <v>GARDENING</v>
      </c>
      <c r="J443">
        <v>9</v>
      </c>
      <c r="K443">
        <v>12</v>
      </c>
      <c r="L443" s="15">
        <f>IF(SalesData[[#This Row],[Unit Price]]="",
    AVERAGEIFS(SalesData[Unit Price],
               SalesData[Product Name],SalesData[[#This Row],[Product Name]]),
    SalesData[[#This Row],[Unit Price]])</f>
        <v>12</v>
      </c>
      <c r="M443" s="15">
        <v>4.32</v>
      </c>
      <c r="N443" s="15">
        <f>SalesData[[#This Row],[Quantity Sold]] * SalesData[[#This Row],[Cleaned Unit Price]]</f>
        <v>108</v>
      </c>
      <c r="O443" s="15">
        <f>SalesData[[#This Row],[Quantity Sold]] * SalesData[[#This Row],[Unit Cost]]</f>
        <v>38.880000000000003</v>
      </c>
      <c r="P443" s="15">
        <f>SalesData[[#This Row],[Revenue]] - SalesData[[#This Row],[Cost]]</f>
        <v>69.12</v>
      </c>
      <c r="Q443" s="13">
        <f>IF(SalesData[[#This Row],[Revenue]]=0,0,SalesData[[#This Row],[Profit]]/SalesData[[#This Row],[Revenue]])</f>
        <v>0.64</v>
      </c>
      <c r="R443" t="s">
        <v>1196</v>
      </c>
      <c r="S443" t="s">
        <v>1395</v>
      </c>
      <c r="T443" t="str">
        <f>PROPER(SalesData[[#This Row],[Customer Name]])</f>
        <v>Aiden Miller</v>
      </c>
      <c r="U443" t="s">
        <v>1414</v>
      </c>
      <c r="V443" t="s">
        <v>1420</v>
      </c>
    </row>
    <row r="444" spans="1:22" x14ac:dyDescent="0.25">
      <c r="A444" t="s">
        <v>1870</v>
      </c>
      <c r="B444" s="5">
        <v>45440</v>
      </c>
      <c r="C444" s="2" t="str">
        <f>TEXT(SalesData[[#This Row],[Order Date]],"mmm")</f>
        <v>May</v>
      </c>
      <c r="D444" s="7">
        <f>MONTH(SalesData[[#This Row],[Order Date]])</f>
        <v>5</v>
      </c>
      <c r="E444" s="7">
        <f>YEAR(SalesData[[#This Row],[Order Date]])</f>
        <v>2024</v>
      </c>
      <c r="F444" t="s">
        <v>575</v>
      </c>
      <c r="G444" t="str">
        <f>PROPER(SalesData[[#This Row],[Product Name]])</f>
        <v>Reusable Bamboo Utensil Set</v>
      </c>
      <c r="H444" t="s">
        <v>1014</v>
      </c>
      <c r="I444" t="str">
        <f>UPPER(SalesData[[#This Row],[Product Category]])</f>
        <v>KITCHENWARE</v>
      </c>
      <c r="J444">
        <v>4</v>
      </c>
      <c r="K444">
        <v>15</v>
      </c>
      <c r="L444" s="15">
        <f>IF(SalesData[[#This Row],[Unit Price]]="",
    AVERAGEIFS(SalesData[Unit Price],
               SalesData[Product Name],SalesData[[#This Row],[Product Name]]),
    SalesData[[#This Row],[Unit Price]])</f>
        <v>15</v>
      </c>
      <c r="M444" s="15">
        <v>5.41</v>
      </c>
      <c r="N444" s="15">
        <f>SalesData[[#This Row],[Quantity Sold]] * SalesData[[#This Row],[Cleaned Unit Price]]</f>
        <v>60</v>
      </c>
      <c r="O444" s="15">
        <f>SalesData[[#This Row],[Quantity Sold]] * SalesData[[#This Row],[Unit Cost]]</f>
        <v>21.64</v>
      </c>
      <c r="P444" s="15">
        <f>SalesData[[#This Row],[Revenue]] - SalesData[[#This Row],[Cost]]</f>
        <v>38.36</v>
      </c>
      <c r="Q444" s="13">
        <f>IF(SalesData[[#This Row],[Revenue]]=0,0,SalesData[[#This Row],[Profit]]/SalesData[[#This Row],[Revenue]])</f>
        <v>0.63933333333333331</v>
      </c>
      <c r="R444" t="s">
        <v>1079</v>
      </c>
      <c r="S444" t="s">
        <v>1278</v>
      </c>
      <c r="T444" t="str">
        <f>PROPER(SalesData[[#This Row],[Customer Name]])</f>
        <v>Harper Smith</v>
      </c>
      <c r="U444" t="s">
        <v>1416</v>
      </c>
      <c r="V444" t="s">
        <v>1420</v>
      </c>
    </row>
    <row r="445" spans="1:22" x14ac:dyDescent="0.25">
      <c r="A445" t="s">
        <v>1871</v>
      </c>
      <c r="B445" s="5">
        <v>45441</v>
      </c>
      <c r="C445" s="2" t="str">
        <f>TEXT(SalesData[[#This Row],[Order Date]],"mmm")</f>
        <v>May</v>
      </c>
      <c r="D445" s="7">
        <f>MONTH(SalesData[[#This Row],[Order Date]])</f>
        <v>5</v>
      </c>
      <c r="E445" s="7">
        <f>YEAR(SalesData[[#This Row],[Order Date]])</f>
        <v>2024</v>
      </c>
      <c r="F445" t="s">
        <v>80</v>
      </c>
      <c r="G445" t="str">
        <f>PROPER(SalesData[[#This Row],[Product Name]])</f>
        <v>Solar Led Lantern</v>
      </c>
      <c r="H445" t="s">
        <v>1012</v>
      </c>
      <c r="I445" t="str">
        <f>UPPER(SalesData[[#This Row],[Product Category]])</f>
        <v>LIGHTING</v>
      </c>
      <c r="J445">
        <v>6</v>
      </c>
      <c r="K445">
        <v>40</v>
      </c>
      <c r="L445" s="15">
        <f>IF(SalesData[[#This Row],[Unit Price]]="",
    AVERAGEIFS(SalesData[Unit Price],
               SalesData[Product Name],SalesData[[#This Row],[Product Name]]),
    SalesData[[#This Row],[Unit Price]])</f>
        <v>40</v>
      </c>
      <c r="M445" s="15">
        <v>9.43</v>
      </c>
      <c r="N445" s="15">
        <f>SalesData[[#This Row],[Quantity Sold]] * SalesData[[#This Row],[Cleaned Unit Price]]</f>
        <v>240</v>
      </c>
      <c r="O445" s="15">
        <f>SalesData[[#This Row],[Quantity Sold]] * SalesData[[#This Row],[Unit Cost]]</f>
        <v>56.58</v>
      </c>
      <c r="P445" s="15">
        <f>SalesData[[#This Row],[Revenue]] - SalesData[[#This Row],[Cost]]</f>
        <v>183.42000000000002</v>
      </c>
      <c r="Q445" s="13">
        <f>IF(SalesData[[#This Row],[Revenue]]=0,0,SalesData[[#This Row],[Profit]]/SalesData[[#This Row],[Revenue]])</f>
        <v>0.7642500000000001</v>
      </c>
      <c r="R445" t="s">
        <v>1072</v>
      </c>
      <c r="S445" t="s">
        <v>1271</v>
      </c>
      <c r="T445" t="str">
        <f>PROPER(SalesData[[#This Row],[Customer Name]])</f>
        <v>Ethan Garcia</v>
      </c>
      <c r="U445" t="s">
        <v>1414</v>
      </c>
      <c r="V445" t="s">
        <v>1419</v>
      </c>
    </row>
    <row r="446" spans="1:22" x14ac:dyDescent="0.25">
      <c r="A446" t="s">
        <v>1872</v>
      </c>
      <c r="B446" s="5">
        <v>45441</v>
      </c>
      <c r="C446" s="2" t="str">
        <f>TEXT(SalesData[[#This Row],[Order Date]],"mmm")</f>
        <v>May</v>
      </c>
      <c r="D446" s="7">
        <f>MONTH(SalesData[[#This Row],[Order Date]])</f>
        <v>5</v>
      </c>
      <c r="E446" s="7">
        <f>YEAR(SalesData[[#This Row],[Order Date]])</f>
        <v>2024</v>
      </c>
      <c r="F446" t="s">
        <v>112</v>
      </c>
      <c r="G446" t="str">
        <f>PROPER(SalesData[[#This Row],[Product Name]])</f>
        <v>Solar Led Lantern</v>
      </c>
      <c r="H446" t="s">
        <v>1012</v>
      </c>
      <c r="I446" t="str">
        <f>UPPER(SalesData[[#This Row],[Product Category]])</f>
        <v>LIGHTING</v>
      </c>
      <c r="J446">
        <v>4</v>
      </c>
      <c r="K446">
        <v>40</v>
      </c>
      <c r="L446" s="15">
        <f>IF(SalesData[[#This Row],[Unit Price]]="",
    AVERAGEIFS(SalesData[Unit Price],
               SalesData[Product Name],SalesData[[#This Row],[Product Name]]),
    SalesData[[#This Row],[Unit Price]])</f>
        <v>40</v>
      </c>
      <c r="M446" s="15">
        <v>13.02</v>
      </c>
      <c r="N446" s="15">
        <f>SalesData[[#This Row],[Quantity Sold]] * SalesData[[#This Row],[Cleaned Unit Price]]</f>
        <v>160</v>
      </c>
      <c r="O446" s="15">
        <f>SalesData[[#This Row],[Quantity Sold]] * SalesData[[#This Row],[Unit Cost]]</f>
        <v>52.08</v>
      </c>
      <c r="P446" s="15">
        <f>SalesData[[#This Row],[Revenue]] - SalesData[[#This Row],[Cost]]</f>
        <v>107.92</v>
      </c>
      <c r="Q446" s="13">
        <f>IF(SalesData[[#This Row],[Revenue]]=0,0,SalesData[[#This Row],[Profit]]/SalesData[[#This Row],[Revenue]])</f>
        <v>0.67449999999999999</v>
      </c>
      <c r="R446" t="s">
        <v>1039</v>
      </c>
      <c r="S446" t="s">
        <v>1238</v>
      </c>
      <c r="T446" t="str">
        <f>PROPER(SalesData[[#This Row],[Customer Name]])</f>
        <v>Mia Jones</v>
      </c>
      <c r="U446" t="s">
        <v>1414</v>
      </c>
      <c r="V446" t="s">
        <v>1418</v>
      </c>
    </row>
    <row r="447" spans="1:22" x14ac:dyDescent="0.25">
      <c r="A447" t="s">
        <v>1873</v>
      </c>
      <c r="B447" s="5">
        <v>45442</v>
      </c>
      <c r="C447" s="2" t="str">
        <f>TEXT(SalesData[[#This Row],[Order Date]],"mmm")</f>
        <v>May</v>
      </c>
      <c r="D447" s="7">
        <f>MONTH(SalesData[[#This Row],[Order Date]])</f>
        <v>5</v>
      </c>
      <c r="E447" s="7">
        <f>YEAR(SalesData[[#This Row],[Order Date]])</f>
        <v>2024</v>
      </c>
      <c r="F447" t="s">
        <v>93</v>
      </c>
      <c r="G447" t="str">
        <f>PROPER(SalesData[[#This Row],[Product Name]])</f>
        <v>Reusable Bamboo Utensil Set</v>
      </c>
      <c r="H447" t="s">
        <v>1014</v>
      </c>
      <c r="I447" t="str">
        <f>UPPER(SalesData[[#This Row],[Product Category]])</f>
        <v>KITCHENWARE</v>
      </c>
      <c r="J447">
        <v>1</v>
      </c>
      <c r="K447">
        <v>15</v>
      </c>
      <c r="L447" s="15">
        <f>IF(SalesData[[#This Row],[Unit Price]]="",
    AVERAGEIFS(SalesData[Unit Price],
               SalesData[Product Name],SalesData[[#This Row],[Product Name]]),
    SalesData[[#This Row],[Unit Price]])</f>
        <v>15</v>
      </c>
      <c r="M447" s="15">
        <v>3.05</v>
      </c>
      <c r="N447" s="15">
        <f>SalesData[[#This Row],[Quantity Sold]] * SalesData[[#This Row],[Cleaned Unit Price]]</f>
        <v>15</v>
      </c>
      <c r="O447" s="15">
        <f>SalesData[[#This Row],[Quantity Sold]] * SalesData[[#This Row],[Unit Cost]]</f>
        <v>3.05</v>
      </c>
      <c r="P447" s="15">
        <f>SalesData[[#This Row],[Revenue]] - SalesData[[#This Row],[Cost]]</f>
        <v>11.95</v>
      </c>
      <c r="Q447" s="13">
        <f>IF(SalesData[[#This Row],[Revenue]]=0,0,SalesData[[#This Row],[Profit]]/SalesData[[#This Row],[Revenue]])</f>
        <v>0.79666666666666663</v>
      </c>
      <c r="R447" t="s">
        <v>1079</v>
      </c>
      <c r="S447" t="s">
        <v>1278</v>
      </c>
      <c r="T447" t="str">
        <f>PROPER(SalesData[[#This Row],[Customer Name]])</f>
        <v>Harper Smith</v>
      </c>
      <c r="U447" t="s">
        <v>1414</v>
      </c>
      <c r="V447" t="s">
        <v>1422</v>
      </c>
    </row>
    <row r="448" spans="1:22" x14ac:dyDescent="0.25">
      <c r="A448" t="s">
        <v>1874</v>
      </c>
      <c r="B448" s="5">
        <v>45442</v>
      </c>
      <c r="C448" s="2" t="str">
        <f>TEXT(SalesData[[#This Row],[Order Date]],"mmm")</f>
        <v>May</v>
      </c>
      <c r="D448" s="7">
        <f>MONTH(SalesData[[#This Row],[Order Date]])</f>
        <v>5</v>
      </c>
      <c r="E448" s="7">
        <f>YEAR(SalesData[[#This Row],[Order Date]])</f>
        <v>2024</v>
      </c>
      <c r="F448" t="s">
        <v>715</v>
      </c>
      <c r="G448" t="str">
        <f>PROPER(SalesData[[#This Row],[Product Name]])</f>
        <v>Compostable Plant Pots</v>
      </c>
      <c r="H448" t="s">
        <v>1011</v>
      </c>
      <c r="I448" t="str">
        <f>UPPER(SalesData[[#This Row],[Product Category]])</f>
        <v>GARDENING</v>
      </c>
      <c r="J448">
        <v>7</v>
      </c>
      <c r="K448">
        <v>12</v>
      </c>
      <c r="L448" s="15">
        <f>IF(SalesData[[#This Row],[Unit Price]]="",
    AVERAGEIFS(SalesData[Unit Price],
               SalesData[Product Name],SalesData[[#This Row],[Product Name]]),
    SalesData[[#This Row],[Unit Price]])</f>
        <v>12</v>
      </c>
      <c r="M448" s="15">
        <v>4.2</v>
      </c>
      <c r="N448" s="15">
        <f>SalesData[[#This Row],[Quantity Sold]] * SalesData[[#This Row],[Cleaned Unit Price]]</f>
        <v>84</v>
      </c>
      <c r="O448" s="15">
        <f>SalesData[[#This Row],[Quantity Sold]] * SalesData[[#This Row],[Unit Cost]]</f>
        <v>29.400000000000002</v>
      </c>
      <c r="P448" s="15">
        <f>SalesData[[#This Row],[Revenue]] - SalesData[[#This Row],[Cost]]</f>
        <v>54.599999999999994</v>
      </c>
      <c r="Q448" s="13">
        <f>IF(SalesData[[#This Row],[Revenue]]=0,0,SalesData[[#This Row],[Profit]]/SalesData[[#This Row],[Revenue]])</f>
        <v>0.64999999999999991</v>
      </c>
      <c r="R448" t="s">
        <v>1096</v>
      </c>
      <c r="S448" t="s">
        <v>1295</v>
      </c>
      <c r="T448" t="str">
        <f>PROPER(SalesData[[#This Row],[Customer Name]])</f>
        <v>Mason Davis</v>
      </c>
      <c r="U448" t="s">
        <v>1414</v>
      </c>
      <c r="V448" t="s">
        <v>1424</v>
      </c>
    </row>
    <row r="449" spans="1:22" x14ac:dyDescent="0.25">
      <c r="A449" t="s">
        <v>1875</v>
      </c>
      <c r="B449" s="5">
        <v>45443</v>
      </c>
      <c r="C449" s="2" t="str">
        <f>TEXT(SalesData[[#This Row],[Order Date]],"mmm")</f>
        <v>May</v>
      </c>
      <c r="D449" s="7">
        <f>MONTH(SalesData[[#This Row],[Order Date]])</f>
        <v>5</v>
      </c>
      <c r="E449" s="7">
        <f>YEAR(SalesData[[#This Row],[Order Date]])</f>
        <v>2024</v>
      </c>
      <c r="F449" t="s">
        <v>324</v>
      </c>
      <c r="G449" t="str">
        <f>PROPER(SalesData[[#This Row],[Product Name]])</f>
        <v>Solar Led Lantern</v>
      </c>
      <c r="H449" t="s">
        <v>1012</v>
      </c>
      <c r="I449" t="str">
        <f>UPPER(SalesData[[#This Row],[Product Category]])</f>
        <v>LIGHTING</v>
      </c>
      <c r="J449">
        <v>3</v>
      </c>
      <c r="K449">
        <v>40</v>
      </c>
      <c r="L449" s="15">
        <f>IF(SalesData[[#This Row],[Unit Price]]="",
    AVERAGEIFS(SalesData[Unit Price],
               SalesData[Product Name],SalesData[[#This Row],[Product Name]]),
    SalesData[[#This Row],[Unit Price]])</f>
        <v>40</v>
      </c>
      <c r="M449" s="15">
        <v>14.46</v>
      </c>
      <c r="N449" s="15">
        <f>SalesData[[#This Row],[Quantity Sold]] * SalesData[[#This Row],[Cleaned Unit Price]]</f>
        <v>120</v>
      </c>
      <c r="O449" s="15">
        <f>SalesData[[#This Row],[Quantity Sold]] * SalesData[[#This Row],[Unit Cost]]</f>
        <v>43.38</v>
      </c>
      <c r="P449" s="15">
        <f>SalesData[[#This Row],[Revenue]] - SalesData[[#This Row],[Cost]]</f>
        <v>76.62</v>
      </c>
      <c r="Q449" s="13">
        <f>IF(SalesData[[#This Row],[Revenue]]=0,0,SalesData[[#This Row],[Profit]]/SalesData[[#This Row],[Revenue]])</f>
        <v>0.63850000000000007</v>
      </c>
      <c r="R449" t="s">
        <v>1131</v>
      </c>
      <c r="S449" t="s">
        <v>1330</v>
      </c>
      <c r="T449" t="str">
        <f>PROPER(SalesData[[#This Row],[Customer Name]])</f>
        <v>Oliver Miller</v>
      </c>
      <c r="U449" t="s">
        <v>1414</v>
      </c>
      <c r="V449" t="s">
        <v>1424</v>
      </c>
    </row>
    <row r="450" spans="1:22" x14ac:dyDescent="0.25">
      <c r="A450" t="s">
        <v>1876</v>
      </c>
      <c r="B450" s="5">
        <v>45443</v>
      </c>
      <c r="C450" s="2" t="str">
        <f>TEXT(SalesData[[#This Row],[Order Date]],"mmm")</f>
        <v>May</v>
      </c>
      <c r="D450" s="7">
        <f>MONTH(SalesData[[#This Row],[Order Date]])</f>
        <v>5</v>
      </c>
      <c r="E450" s="7">
        <f>YEAR(SalesData[[#This Row],[Order Date]])</f>
        <v>2024</v>
      </c>
      <c r="F450" t="s">
        <v>545</v>
      </c>
      <c r="G450" t="str">
        <f>PROPER(SalesData[[#This Row],[Product Name]])</f>
        <v>Compostable Plant Pots</v>
      </c>
      <c r="H450" t="s">
        <v>1011</v>
      </c>
      <c r="I450" t="str">
        <f>UPPER(SalesData[[#This Row],[Product Category]])</f>
        <v>GARDENING</v>
      </c>
      <c r="J450">
        <v>10</v>
      </c>
      <c r="K450">
        <v>12</v>
      </c>
      <c r="L450" s="15">
        <f>IF(SalesData[[#This Row],[Unit Price]]="",
    AVERAGEIFS(SalesData[Unit Price],
               SalesData[Product Name],SalesData[[#This Row],[Product Name]]),
    SalesData[[#This Row],[Unit Price]])</f>
        <v>12</v>
      </c>
      <c r="M450" s="15">
        <v>4.5999999999999996</v>
      </c>
      <c r="N450" s="15">
        <f>SalesData[[#This Row],[Quantity Sold]] * SalesData[[#This Row],[Cleaned Unit Price]]</f>
        <v>120</v>
      </c>
      <c r="O450" s="15">
        <f>SalesData[[#This Row],[Quantity Sold]] * SalesData[[#This Row],[Unit Cost]]</f>
        <v>46</v>
      </c>
      <c r="P450" s="15">
        <f>SalesData[[#This Row],[Revenue]] - SalesData[[#This Row],[Cost]]</f>
        <v>74</v>
      </c>
      <c r="Q450" s="13">
        <f>IF(SalesData[[#This Row],[Revenue]]=0,0,SalesData[[#This Row],[Profit]]/SalesData[[#This Row],[Revenue]])</f>
        <v>0.6166666666666667</v>
      </c>
      <c r="R450" t="s">
        <v>1114</v>
      </c>
      <c r="S450" t="s">
        <v>1313</v>
      </c>
      <c r="T450" t="str">
        <f>PROPER(SalesData[[#This Row],[Customer Name]])</f>
        <v>James Williams</v>
      </c>
      <c r="U450" t="s">
        <v>1414</v>
      </c>
      <c r="V450" t="s">
        <v>1418</v>
      </c>
    </row>
    <row r="451" spans="1:22" x14ac:dyDescent="0.25">
      <c r="A451" t="s">
        <v>1877</v>
      </c>
      <c r="B451" s="5">
        <v>45445</v>
      </c>
      <c r="C451" s="2" t="str">
        <f>TEXT(SalesData[[#This Row],[Order Date]],"mmm")</f>
        <v>Jun</v>
      </c>
      <c r="D451" s="7">
        <f>MONTH(SalesData[[#This Row],[Order Date]])</f>
        <v>6</v>
      </c>
      <c r="E451" s="7">
        <f>YEAR(SalesData[[#This Row],[Order Date]])</f>
        <v>2024</v>
      </c>
      <c r="F451" t="s">
        <v>86</v>
      </c>
      <c r="G451" t="str">
        <f>PROPER(SalesData[[#This Row],[Product Name]])</f>
        <v>Compostable Plant Pots</v>
      </c>
      <c r="H451" t="s">
        <v>1011</v>
      </c>
      <c r="I451" t="str">
        <f>UPPER(SalesData[[#This Row],[Product Category]])</f>
        <v>GARDENING</v>
      </c>
      <c r="J451">
        <v>4</v>
      </c>
      <c r="K451">
        <v>12</v>
      </c>
      <c r="L451" s="15">
        <f>IF(SalesData[[#This Row],[Unit Price]]="",
    AVERAGEIFS(SalesData[Unit Price],
               SalesData[Product Name],SalesData[[#This Row],[Product Name]]),
    SalesData[[#This Row],[Unit Price]])</f>
        <v>12</v>
      </c>
      <c r="M451" s="15">
        <v>4.3899999999999997</v>
      </c>
      <c r="N451" s="15">
        <f>SalesData[[#This Row],[Quantity Sold]] * SalesData[[#This Row],[Cleaned Unit Price]]</f>
        <v>48</v>
      </c>
      <c r="O451" s="15">
        <f>SalesData[[#This Row],[Quantity Sold]] * SalesData[[#This Row],[Unit Cost]]</f>
        <v>17.559999999999999</v>
      </c>
      <c r="P451" s="15">
        <f>SalesData[[#This Row],[Revenue]] - SalesData[[#This Row],[Cost]]</f>
        <v>30.44</v>
      </c>
      <c r="Q451" s="13">
        <f>IF(SalesData[[#This Row],[Revenue]]=0,0,SalesData[[#This Row],[Profit]]/SalesData[[#This Row],[Revenue]])</f>
        <v>0.63416666666666666</v>
      </c>
      <c r="R451" t="s">
        <v>1075</v>
      </c>
      <c r="S451" t="s">
        <v>1274</v>
      </c>
      <c r="T451" t="str">
        <f>PROPER(SalesData[[#This Row],[Customer Name]])</f>
        <v>Oliver Johnson</v>
      </c>
      <c r="U451" t="s">
        <v>1416</v>
      </c>
      <c r="V451" t="s">
        <v>1425</v>
      </c>
    </row>
    <row r="452" spans="1:22" x14ac:dyDescent="0.25">
      <c r="A452" t="s">
        <v>1878</v>
      </c>
      <c r="B452" s="5">
        <v>45445</v>
      </c>
      <c r="C452" s="2" t="str">
        <f>TEXT(SalesData[[#This Row],[Order Date]],"mmm")</f>
        <v>Jun</v>
      </c>
      <c r="D452" s="7">
        <f>MONTH(SalesData[[#This Row],[Order Date]])</f>
        <v>6</v>
      </c>
      <c r="E452" s="7">
        <f>YEAR(SalesData[[#This Row],[Order Date]])</f>
        <v>2024</v>
      </c>
      <c r="F452" t="s">
        <v>405</v>
      </c>
      <c r="G452" t="str">
        <f>PROPER(SalesData[[#This Row],[Product Name]])</f>
        <v>Solar Led Lantern</v>
      </c>
      <c r="H452" t="s">
        <v>1012</v>
      </c>
      <c r="I452" t="str">
        <f>UPPER(SalesData[[#This Row],[Product Category]])</f>
        <v>LIGHTING</v>
      </c>
      <c r="J452">
        <v>10</v>
      </c>
      <c r="K452">
        <v>40</v>
      </c>
      <c r="L452" s="15">
        <f>IF(SalesData[[#This Row],[Unit Price]]="",
    AVERAGEIFS(SalesData[Unit Price],
               SalesData[Product Name],SalesData[[#This Row],[Product Name]]),
    SalesData[[#This Row],[Unit Price]])</f>
        <v>40</v>
      </c>
      <c r="M452" s="15">
        <v>9.85</v>
      </c>
      <c r="N452" s="15">
        <f>SalesData[[#This Row],[Quantity Sold]] * SalesData[[#This Row],[Cleaned Unit Price]]</f>
        <v>400</v>
      </c>
      <c r="O452" s="15">
        <f>SalesData[[#This Row],[Quantity Sold]] * SalesData[[#This Row],[Unit Cost]]</f>
        <v>98.5</v>
      </c>
      <c r="P452" s="15">
        <f>SalesData[[#This Row],[Revenue]] - SalesData[[#This Row],[Cost]]</f>
        <v>301.5</v>
      </c>
      <c r="Q452" s="13">
        <f>IF(SalesData[[#This Row],[Revenue]]=0,0,SalesData[[#This Row],[Profit]]/SalesData[[#This Row],[Revenue]])</f>
        <v>0.75375000000000003</v>
      </c>
      <c r="R452" t="s">
        <v>1134</v>
      </c>
      <c r="S452" t="s">
        <v>1333</v>
      </c>
      <c r="T452" t="str">
        <f>PROPER(SalesData[[#This Row],[Customer Name]])</f>
        <v>Ava Martinez</v>
      </c>
      <c r="U452" t="s">
        <v>1414</v>
      </c>
      <c r="V452" t="s">
        <v>1418</v>
      </c>
    </row>
    <row r="453" spans="1:22" x14ac:dyDescent="0.25">
      <c r="A453" t="s">
        <v>1879</v>
      </c>
      <c r="B453" s="5">
        <v>45446</v>
      </c>
      <c r="C453" s="2" t="str">
        <f>TEXT(SalesData[[#This Row],[Order Date]],"mmm")</f>
        <v>Jun</v>
      </c>
      <c r="D453" s="7">
        <f>MONTH(SalesData[[#This Row],[Order Date]])</f>
        <v>6</v>
      </c>
      <c r="E453" s="7">
        <f>YEAR(SalesData[[#This Row],[Order Date]])</f>
        <v>2024</v>
      </c>
      <c r="F453" t="s">
        <v>180</v>
      </c>
      <c r="G453" t="str">
        <f>PROPER(SalesData[[#This Row],[Product Name]])</f>
        <v>Compostable Plant Pots</v>
      </c>
      <c r="H453" t="s">
        <v>1011</v>
      </c>
      <c r="I453" t="str">
        <f>UPPER(SalesData[[#This Row],[Product Category]])</f>
        <v>GARDENING</v>
      </c>
      <c r="J453">
        <v>5</v>
      </c>
      <c r="K453">
        <v>12</v>
      </c>
      <c r="L453" s="15">
        <f>IF(SalesData[[#This Row],[Unit Price]]="",
    AVERAGEIFS(SalesData[Unit Price],
               SalesData[Product Name],SalesData[[#This Row],[Product Name]]),
    SalesData[[#This Row],[Unit Price]])</f>
        <v>12</v>
      </c>
      <c r="M453" s="15">
        <v>3.43</v>
      </c>
      <c r="N453" s="15">
        <f>SalesData[[#This Row],[Quantity Sold]] * SalesData[[#This Row],[Cleaned Unit Price]]</f>
        <v>60</v>
      </c>
      <c r="O453" s="15">
        <f>SalesData[[#This Row],[Quantity Sold]] * SalesData[[#This Row],[Unit Cost]]</f>
        <v>17.150000000000002</v>
      </c>
      <c r="P453" s="15">
        <f>SalesData[[#This Row],[Revenue]] - SalesData[[#This Row],[Cost]]</f>
        <v>42.849999999999994</v>
      </c>
      <c r="Q453" s="13">
        <f>IF(SalesData[[#This Row],[Revenue]]=0,0,SalesData[[#This Row],[Profit]]/SalesData[[#This Row],[Revenue]])</f>
        <v>0.71416666666666662</v>
      </c>
      <c r="R453" t="s">
        <v>1131</v>
      </c>
      <c r="S453" t="s">
        <v>1330</v>
      </c>
      <c r="T453" t="str">
        <f>PROPER(SalesData[[#This Row],[Customer Name]])</f>
        <v>Oliver Miller</v>
      </c>
      <c r="U453" t="s">
        <v>1414</v>
      </c>
      <c r="V453" t="s">
        <v>1427</v>
      </c>
    </row>
    <row r="454" spans="1:22" x14ac:dyDescent="0.25">
      <c r="A454" t="s">
        <v>1880</v>
      </c>
      <c r="B454" s="5">
        <v>45446</v>
      </c>
      <c r="C454" s="2" t="str">
        <f>TEXT(SalesData[[#This Row],[Order Date]],"mmm")</f>
        <v>Jun</v>
      </c>
      <c r="D454" s="7">
        <f>MONTH(SalesData[[#This Row],[Order Date]])</f>
        <v>6</v>
      </c>
      <c r="E454" s="7">
        <f>YEAR(SalesData[[#This Row],[Order Date]])</f>
        <v>2024</v>
      </c>
      <c r="F454" t="s">
        <v>291</v>
      </c>
      <c r="G454" t="str">
        <f>PROPER(SalesData[[#This Row],[Product Name]])</f>
        <v>Biodegradable Cleaning Cloth</v>
      </c>
      <c r="H454" t="s">
        <v>1015</v>
      </c>
      <c r="I454" t="str">
        <f>UPPER(SalesData[[#This Row],[Product Category]])</f>
        <v>CLEANING</v>
      </c>
      <c r="J454">
        <v>5</v>
      </c>
      <c r="K454">
        <v>10</v>
      </c>
      <c r="L454" s="15">
        <f>IF(SalesData[[#This Row],[Unit Price]]="",
    AVERAGEIFS(SalesData[Unit Price],
               SalesData[Product Name],SalesData[[#This Row],[Product Name]]),
    SalesData[[#This Row],[Unit Price]])</f>
        <v>10</v>
      </c>
      <c r="M454" s="15">
        <v>3.46</v>
      </c>
      <c r="N454" s="15">
        <f>SalesData[[#This Row],[Quantity Sold]] * SalesData[[#This Row],[Cleaned Unit Price]]</f>
        <v>50</v>
      </c>
      <c r="O454" s="15">
        <f>SalesData[[#This Row],[Quantity Sold]] * SalesData[[#This Row],[Unit Cost]]</f>
        <v>17.3</v>
      </c>
      <c r="P454" s="15">
        <f>SalesData[[#This Row],[Revenue]] - SalesData[[#This Row],[Cost]]</f>
        <v>32.700000000000003</v>
      </c>
      <c r="Q454" s="13">
        <f>IF(SalesData[[#This Row],[Revenue]]=0,0,SalesData[[#This Row],[Profit]]/SalesData[[#This Row],[Revenue]])</f>
        <v>0.65400000000000003</v>
      </c>
      <c r="R454" t="s">
        <v>1152</v>
      </c>
      <c r="S454" t="s">
        <v>1351</v>
      </c>
      <c r="T454" t="str">
        <f>PROPER(SalesData[[#This Row],[Customer Name]])</f>
        <v>Amelia Johnson</v>
      </c>
      <c r="U454" t="s">
        <v>1414</v>
      </c>
      <c r="V454" t="s">
        <v>1418</v>
      </c>
    </row>
    <row r="455" spans="1:22" x14ac:dyDescent="0.25">
      <c r="A455" t="s">
        <v>1881</v>
      </c>
      <c r="B455" s="5">
        <v>45446</v>
      </c>
      <c r="C455" s="2" t="str">
        <f>TEXT(SalesData[[#This Row],[Order Date]],"mmm")</f>
        <v>Jun</v>
      </c>
      <c r="D455" s="7">
        <f>MONTH(SalesData[[#This Row],[Order Date]])</f>
        <v>6</v>
      </c>
      <c r="E455" s="7">
        <f>YEAR(SalesData[[#This Row],[Order Date]])</f>
        <v>2024</v>
      </c>
      <c r="F455" t="s">
        <v>534</v>
      </c>
      <c r="G455" t="str">
        <f>PROPER(SalesData[[#This Row],[Product Name]])</f>
        <v>Eco Canvas Tote Bag</v>
      </c>
      <c r="H455" t="s">
        <v>1013</v>
      </c>
      <c r="I455" t="str">
        <f>UPPER(SalesData[[#This Row],[Product Category]])</f>
        <v>BAGS</v>
      </c>
      <c r="J455">
        <v>1</v>
      </c>
      <c r="K455">
        <v>25</v>
      </c>
      <c r="L455" s="15">
        <f>IF(SalesData[[#This Row],[Unit Price]]="",
    AVERAGEIFS(SalesData[Unit Price],
               SalesData[Product Name],SalesData[[#This Row],[Product Name]]),
    SalesData[[#This Row],[Unit Price]])</f>
        <v>25</v>
      </c>
      <c r="M455" s="15">
        <v>9.2100000000000009</v>
      </c>
      <c r="N455" s="15">
        <f>SalesData[[#This Row],[Quantity Sold]] * SalesData[[#This Row],[Cleaned Unit Price]]</f>
        <v>25</v>
      </c>
      <c r="O455" s="15">
        <f>SalesData[[#This Row],[Quantity Sold]] * SalesData[[#This Row],[Unit Cost]]</f>
        <v>9.2100000000000009</v>
      </c>
      <c r="P455" s="15">
        <f>SalesData[[#This Row],[Revenue]] - SalesData[[#This Row],[Cost]]</f>
        <v>15.79</v>
      </c>
      <c r="Q455" s="13">
        <f>IF(SalesData[[#This Row],[Revenue]]=0,0,SalesData[[#This Row],[Profit]]/SalesData[[#This Row],[Revenue]])</f>
        <v>0.63159999999999994</v>
      </c>
      <c r="R455" t="s">
        <v>1092</v>
      </c>
      <c r="S455" t="s">
        <v>1291</v>
      </c>
      <c r="T455" t="str">
        <f>PROPER(SalesData[[#This Row],[Customer Name]])</f>
        <v>Emma Brown</v>
      </c>
      <c r="U455" t="s">
        <v>1416</v>
      </c>
      <c r="V455" t="s">
        <v>1418</v>
      </c>
    </row>
    <row r="456" spans="1:22" x14ac:dyDescent="0.25">
      <c r="A456" t="s">
        <v>1882</v>
      </c>
      <c r="B456" s="5">
        <v>45446</v>
      </c>
      <c r="C456" s="2" t="str">
        <f>TEXT(SalesData[[#This Row],[Order Date]],"mmm")</f>
        <v>Jun</v>
      </c>
      <c r="D456" s="7">
        <f>MONTH(SalesData[[#This Row],[Order Date]])</f>
        <v>6</v>
      </c>
      <c r="E456" s="7">
        <f>YEAR(SalesData[[#This Row],[Order Date]])</f>
        <v>2024</v>
      </c>
      <c r="F456" t="s">
        <v>918</v>
      </c>
      <c r="G456" t="str">
        <f>PROPER(SalesData[[#This Row],[Product Name]])</f>
        <v>Compostable Plant Pots</v>
      </c>
      <c r="H456" t="s">
        <v>1011</v>
      </c>
      <c r="I456" t="str">
        <f>UPPER(SalesData[[#This Row],[Product Category]])</f>
        <v>GARDENING</v>
      </c>
      <c r="J456">
        <v>7</v>
      </c>
      <c r="K456">
        <v>12</v>
      </c>
      <c r="L456" s="15">
        <f>IF(SalesData[[#This Row],[Unit Price]]="",
    AVERAGEIFS(SalesData[Unit Price],
               SalesData[Product Name],SalesData[[#This Row],[Product Name]]),
    SalesData[[#This Row],[Unit Price]])</f>
        <v>12</v>
      </c>
      <c r="M456" s="15">
        <v>3.5</v>
      </c>
      <c r="N456" s="15">
        <f>SalesData[[#This Row],[Quantity Sold]] * SalesData[[#This Row],[Cleaned Unit Price]]</f>
        <v>84</v>
      </c>
      <c r="O456" s="15">
        <f>SalesData[[#This Row],[Quantity Sold]] * SalesData[[#This Row],[Unit Cost]]</f>
        <v>24.5</v>
      </c>
      <c r="P456" s="15">
        <f>SalesData[[#This Row],[Revenue]] - SalesData[[#This Row],[Cost]]</f>
        <v>59.5</v>
      </c>
      <c r="Q456" s="13">
        <f>IF(SalesData[[#This Row],[Revenue]]=0,0,SalesData[[#This Row],[Profit]]/SalesData[[#This Row],[Revenue]])</f>
        <v>0.70833333333333337</v>
      </c>
      <c r="R456" t="s">
        <v>1069</v>
      </c>
      <c r="S456" t="s">
        <v>1268</v>
      </c>
      <c r="T456" t="str">
        <f>PROPER(SalesData[[#This Row],[Customer Name]])</f>
        <v>Aiden Davis</v>
      </c>
      <c r="U456" t="s">
        <v>1414</v>
      </c>
      <c r="V456" t="s">
        <v>1423</v>
      </c>
    </row>
    <row r="457" spans="1:22" x14ac:dyDescent="0.25">
      <c r="A457" t="s">
        <v>1883</v>
      </c>
      <c r="B457" s="5">
        <v>45446</v>
      </c>
      <c r="C457" s="2" t="str">
        <f>TEXT(SalesData[[#This Row],[Order Date]],"mmm")</f>
        <v>Jun</v>
      </c>
      <c r="D457" s="7">
        <f>MONTH(SalesData[[#This Row],[Order Date]])</f>
        <v>6</v>
      </c>
      <c r="E457" s="7">
        <f>YEAR(SalesData[[#This Row],[Order Date]])</f>
        <v>2024</v>
      </c>
      <c r="F457" t="s">
        <v>979</v>
      </c>
      <c r="G457" t="str">
        <f>PROPER(SalesData[[#This Row],[Product Name]])</f>
        <v>Reusable Bamboo Utensil Set</v>
      </c>
      <c r="H457" t="s">
        <v>1014</v>
      </c>
      <c r="I457" t="str">
        <f>UPPER(SalesData[[#This Row],[Product Category]])</f>
        <v>KITCHENWARE</v>
      </c>
      <c r="J457">
        <v>6</v>
      </c>
      <c r="K457">
        <v>15</v>
      </c>
      <c r="L457" s="15">
        <f>IF(SalesData[[#This Row],[Unit Price]]="",
    AVERAGEIFS(SalesData[Unit Price],
               SalesData[Product Name],SalesData[[#This Row],[Product Name]]),
    SalesData[[#This Row],[Unit Price]])</f>
        <v>15</v>
      </c>
      <c r="M457" s="15">
        <v>5.4</v>
      </c>
      <c r="N457" s="15">
        <f>SalesData[[#This Row],[Quantity Sold]] * SalesData[[#This Row],[Cleaned Unit Price]]</f>
        <v>90</v>
      </c>
      <c r="O457" s="15">
        <f>SalesData[[#This Row],[Quantity Sold]] * SalesData[[#This Row],[Unit Cost]]</f>
        <v>32.400000000000006</v>
      </c>
      <c r="P457" s="15">
        <f>SalesData[[#This Row],[Revenue]] - SalesData[[#This Row],[Cost]]</f>
        <v>57.599999999999994</v>
      </c>
      <c r="Q457" s="13">
        <f>IF(SalesData[[#This Row],[Revenue]]=0,0,SalesData[[#This Row],[Profit]]/SalesData[[#This Row],[Revenue]])</f>
        <v>0.6399999999999999</v>
      </c>
      <c r="R457" t="s">
        <v>1155</v>
      </c>
      <c r="S457" t="s">
        <v>1354</v>
      </c>
      <c r="T457" t="str">
        <f>PROPER(SalesData[[#This Row],[Customer Name]])</f>
        <v>Oliver Jones</v>
      </c>
      <c r="U457" t="s">
        <v>1414</v>
      </c>
      <c r="V457" t="s">
        <v>1418</v>
      </c>
    </row>
    <row r="458" spans="1:22" x14ac:dyDescent="0.25">
      <c r="A458" t="s">
        <v>1884</v>
      </c>
      <c r="B458" s="5">
        <v>45447</v>
      </c>
      <c r="C458" s="2" t="str">
        <f>TEXT(SalesData[[#This Row],[Order Date]],"mmm")</f>
        <v>Jun</v>
      </c>
      <c r="D458" s="7">
        <f>MONTH(SalesData[[#This Row],[Order Date]])</f>
        <v>6</v>
      </c>
      <c r="E458" s="7">
        <f>YEAR(SalesData[[#This Row],[Order Date]])</f>
        <v>2024</v>
      </c>
      <c r="F458" t="s">
        <v>371</v>
      </c>
      <c r="G458" t="str">
        <f>PROPER(SalesData[[#This Row],[Product Name]])</f>
        <v>Eco Canvas Tote Bag</v>
      </c>
      <c r="H458" t="s">
        <v>1013</v>
      </c>
      <c r="I458" t="str">
        <f>UPPER(SalesData[[#This Row],[Product Category]])</f>
        <v>BAGS</v>
      </c>
      <c r="J458">
        <v>6</v>
      </c>
      <c r="K458">
        <v>25</v>
      </c>
      <c r="L458" s="15">
        <f>IF(SalesData[[#This Row],[Unit Price]]="",
    AVERAGEIFS(SalesData[Unit Price],
               SalesData[Product Name],SalesData[[#This Row],[Product Name]]),
    SalesData[[#This Row],[Unit Price]])</f>
        <v>25</v>
      </c>
      <c r="M458" s="15">
        <v>6.04</v>
      </c>
      <c r="N458" s="15">
        <f>SalesData[[#This Row],[Quantity Sold]] * SalesData[[#This Row],[Cleaned Unit Price]]</f>
        <v>150</v>
      </c>
      <c r="O458" s="15">
        <f>SalesData[[#This Row],[Quantity Sold]] * SalesData[[#This Row],[Unit Cost]]</f>
        <v>36.24</v>
      </c>
      <c r="P458" s="15">
        <f>SalesData[[#This Row],[Revenue]] - SalesData[[#This Row],[Cost]]</f>
        <v>113.75999999999999</v>
      </c>
      <c r="Q458" s="13">
        <f>IF(SalesData[[#This Row],[Revenue]]=0,0,SalesData[[#This Row],[Profit]]/SalesData[[#This Row],[Revenue]])</f>
        <v>0.75839999999999996</v>
      </c>
      <c r="R458" t="s">
        <v>1030</v>
      </c>
      <c r="S458" t="s">
        <v>1229</v>
      </c>
      <c r="T458" t="str">
        <f>PROPER(SalesData[[#This Row],[Customer Name]])</f>
        <v>Olivia Garcia</v>
      </c>
      <c r="U458" t="s">
        <v>1414</v>
      </c>
      <c r="V458" t="s">
        <v>1426</v>
      </c>
    </row>
    <row r="459" spans="1:22" x14ac:dyDescent="0.25">
      <c r="A459" t="s">
        <v>1885</v>
      </c>
      <c r="B459" s="5">
        <v>45447</v>
      </c>
      <c r="C459" s="2" t="str">
        <f>TEXT(SalesData[[#This Row],[Order Date]],"mmm")</f>
        <v>Jun</v>
      </c>
      <c r="D459" s="7">
        <f>MONTH(SalesData[[#This Row],[Order Date]])</f>
        <v>6</v>
      </c>
      <c r="E459" s="7">
        <f>YEAR(SalesData[[#This Row],[Order Date]])</f>
        <v>2024</v>
      </c>
      <c r="F459" t="s">
        <v>842</v>
      </c>
      <c r="G459" t="str">
        <f>PROPER(SalesData[[#This Row],[Product Name]])</f>
        <v>Biodegradable Cleaning Cloth</v>
      </c>
      <c r="H459" t="s">
        <v>1015</v>
      </c>
      <c r="I459" t="str">
        <f>UPPER(SalesData[[#This Row],[Product Category]])</f>
        <v>CLEANING</v>
      </c>
      <c r="J459">
        <v>10</v>
      </c>
      <c r="K459">
        <v>10</v>
      </c>
      <c r="L459" s="15">
        <f>IF(SalesData[[#This Row],[Unit Price]]="",
    AVERAGEIFS(SalesData[Unit Price],
               SalesData[Product Name],SalesData[[#This Row],[Product Name]]),
    SalesData[[#This Row],[Unit Price]])</f>
        <v>10</v>
      </c>
      <c r="M459" s="15">
        <v>3.34</v>
      </c>
      <c r="N459" s="15">
        <f>SalesData[[#This Row],[Quantity Sold]] * SalesData[[#This Row],[Cleaned Unit Price]]</f>
        <v>100</v>
      </c>
      <c r="O459" s="15">
        <f>SalesData[[#This Row],[Quantity Sold]] * SalesData[[#This Row],[Unit Cost]]</f>
        <v>33.4</v>
      </c>
      <c r="P459" s="15">
        <f>SalesData[[#This Row],[Revenue]] - SalesData[[#This Row],[Cost]]</f>
        <v>66.599999999999994</v>
      </c>
      <c r="Q459" s="13">
        <f>IF(SalesData[[#This Row],[Revenue]]=0,0,SalesData[[#This Row],[Profit]]/SalesData[[#This Row],[Revenue]])</f>
        <v>0.66599999999999993</v>
      </c>
      <c r="R459" t="s">
        <v>1161</v>
      </c>
      <c r="S459" t="s">
        <v>1360</v>
      </c>
      <c r="T459" t="str">
        <f>PROPER(SalesData[[#This Row],[Customer Name]])</f>
        <v>Elijah Davis</v>
      </c>
      <c r="U459" t="s">
        <v>1415</v>
      </c>
      <c r="V459" t="s">
        <v>1423</v>
      </c>
    </row>
    <row r="460" spans="1:22" x14ac:dyDescent="0.25">
      <c r="A460" t="s">
        <v>1886</v>
      </c>
      <c r="B460" s="5">
        <v>45447</v>
      </c>
      <c r="C460" s="2" t="str">
        <f>TEXT(SalesData[[#This Row],[Order Date]],"mmm")</f>
        <v>Jun</v>
      </c>
      <c r="D460" s="7">
        <f>MONTH(SalesData[[#This Row],[Order Date]])</f>
        <v>6</v>
      </c>
      <c r="E460" s="7">
        <f>YEAR(SalesData[[#This Row],[Order Date]])</f>
        <v>2024</v>
      </c>
      <c r="F460" t="s">
        <v>861</v>
      </c>
      <c r="G460" t="str">
        <f>PROPER(SalesData[[#This Row],[Product Name]])</f>
        <v>Compostable Plant Pots</v>
      </c>
      <c r="H460" t="s">
        <v>1011</v>
      </c>
      <c r="I460" t="str">
        <f>UPPER(SalesData[[#This Row],[Product Category]])</f>
        <v>GARDENING</v>
      </c>
      <c r="J460">
        <v>3</v>
      </c>
      <c r="K460">
        <v>12</v>
      </c>
      <c r="L460" s="15">
        <f>IF(SalesData[[#This Row],[Unit Price]]="",
    AVERAGEIFS(SalesData[Unit Price],
               SalesData[Product Name],SalesData[[#This Row],[Product Name]]),
    SalesData[[#This Row],[Unit Price]])</f>
        <v>12</v>
      </c>
      <c r="M460" s="15">
        <v>3.94</v>
      </c>
      <c r="N460" s="15">
        <f>SalesData[[#This Row],[Quantity Sold]] * SalesData[[#This Row],[Cleaned Unit Price]]</f>
        <v>36</v>
      </c>
      <c r="O460" s="15">
        <f>SalesData[[#This Row],[Quantity Sold]] * SalesData[[#This Row],[Unit Cost]]</f>
        <v>11.82</v>
      </c>
      <c r="P460" s="15">
        <f>SalesData[[#This Row],[Revenue]] - SalesData[[#This Row],[Cost]]</f>
        <v>24.18</v>
      </c>
      <c r="Q460" s="13">
        <f>IF(SalesData[[#This Row],[Revenue]]=0,0,SalesData[[#This Row],[Profit]]/SalesData[[#This Row],[Revenue]])</f>
        <v>0.67166666666666663</v>
      </c>
      <c r="R460" t="s">
        <v>1026</v>
      </c>
      <c r="S460" t="s">
        <v>1225</v>
      </c>
      <c r="T460" t="str">
        <f>PROPER(SalesData[[#This Row],[Customer Name]])</f>
        <v>Evelyn Martinez</v>
      </c>
      <c r="U460" t="s">
        <v>1417</v>
      </c>
      <c r="V460" t="s">
        <v>1421</v>
      </c>
    </row>
    <row r="461" spans="1:22" x14ac:dyDescent="0.25">
      <c r="A461" t="s">
        <v>1887</v>
      </c>
      <c r="B461" s="5">
        <v>45448</v>
      </c>
      <c r="C461" s="2" t="str">
        <f>TEXT(SalesData[[#This Row],[Order Date]],"mmm")</f>
        <v>Jun</v>
      </c>
      <c r="D461" s="7">
        <f>MONTH(SalesData[[#This Row],[Order Date]])</f>
        <v>6</v>
      </c>
      <c r="E461" s="7">
        <f>YEAR(SalesData[[#This Row],[Order Date]])</f>
        <v>2024</v>
      </c>
      <c r="F461" t="s">
        <v>984</v>
      </c>
      <c r="G461" t="str">
        <f>PROPER(SalesData[[#This Row],[Product Name]])</f>
        <v>Biodegradable Cleaning Cloth</v>
      </c>
      <c r="H461" t="s">
        <v>1015</v>
      </c>
      <c r="I461" t="str">
        <f>UPPER(SalesData[[#This Row],[Product Category]])</f>
        <v>CLEANING</v>
      </c>
      <c r="J461">
        <v>3</v>
      </c>
      <c r="K461">
        <v>10</v>
      </c>
      <c r="L461" s="15">
        <f>IF(SalesData[[#This Row],[Unit Price]]="",
    AVERAGEIFS(SalesData[Unit Price],
               SalesData[Product Name],SalesData[[#This Row],[Product Name]]),
    SalesData[[#This Row],[Unit Price]])</f>
        <v>10</v>
      </c>
      <c r="M461" s="15">
        <v>3.12</v>
      </c>
      <c r="N461" s="15">
        <f>SalesData[[#This Row],[Quantity Sold]] * SalesData[[#This Row],[Cleaned Unit Price]]</f>
        <v>30</v>
      </c>
      <c r="O461" s="15">
        <f>SalesData[[#This Row],[Quantity Sold]] * SalesData[[#This Row],[Unit Cost]]</f>
        <v>9.36</v>
      </c>
      <c r="P461" s="15">
        <f>SalesData[[#This Row],[Revenue]] - SalesData[[#This Row],[Cost]]</f>
        <v>20.64</v>
      </c>
      <c r="Q461" s="13">
        <f>IF(SalesData[[#This Row],[Revenue]]=0,0,SalesData[[#This Row],[Profit]]/SalesData[[#This Row],[Revenue]])</f>
        <v>0.68800000000000006</v>
      </c>
      <c r="R461" t="s">
        <v>1064</v>
      </c>
      <c r="S461" t="s">
        <v>1263</v>
      </c>
      <c r="T461" t="str">
        <f>PROPER(SalesData[[#This Row],[Customer Name]])</f>
        <v>Isabella Miller</v>
      </c>
      <c r="U461" t="s">
        <v>1416</v>
      </c>
      <c r="V461" t="s">
        <v>1427</v>
      </c>
    </row>
    <row r="462" spans="1:22" x14ac:dyDescent="0.25">
      <c r="A462" t="s">
        <v>1888</v>
      </c>
      <c r="B462" s="5">
        <v>45450</v>
      </c>
      <c r="C462" s="2" t="str">
        <f>TEXT(SalesData[[#This Row],[Order Date]],"mmm")</f>
        <v>Jun</v>
      </c>
      <c r="D462" s="7">
        <f>MONTH(SalesData[[#This Row],[Order Date]])</f>
        <v>6</v>
      </c>
      <c r="E462" s="7">
        <f>YEAR(SalesData[[#This Row],[Order Date]])</f>
        <v>2024</v>
      </c>
      <c r="F462" t="s">
        <v>175</v>
      </c>
      <c r="G462" t="str">
        <f>PROPER(SalesData[[#This Row],[Product Name]])</f>
        <v>Compostable Plant Pots</v>
      </c>
      <c r="H462" t="s">
        <v>1011</v>
      </c>
      <c r="I462" t="str">
        <f>UPPER(SalesData[[#This Row],[Product Category]])</f>
        <v>GARDENING</v>
      </c>
      <c r="J462">
        <v>7</v>
      </c>
      <c r="K462">
        <v>12</v>
      </c>
      <c r="L462" s="15">
        <f>IF(SalesData[[#This Row],[Unit Price]]="",
    AVERAGEIFS(SalesData[Unit Price],
               SalesData[Product Name],SalesData[[#This Row],[Product Name]]),
    SalesData[[#This Row],[Unit Price]])</f>
        <v>12</v>
      </c>
      <c r="M462" s="15">
        <v>4.5599999999999996</v>
      </c>
      <c r="N462" s="15">
        <f>SalesData[[#This Row],[Quantity Sold]] * SalesData[[#This Row],[Cleaned Unit Price]]</f>
        <v>84</v>
      </c>
      <c r="O462" s="15">
        <f>SalesData[[#This Row],[Quantity Sold]] * SalesData[[#This Row],[Unit Cost]]</f>
        <v>31.919999999999998</v>
      </c>
      <c r="P462" s="15">
        <f>SalesData[[#This Row],[Revenue]] - SalesData[[#This Row],[Cost]]</f>
        <v>52.08</v>
      </c>
      <c r="Q462" s="13">
        <f>IF(SalesData[[#This Row],[Revenue]]=0,0,SalesData[[#This Row],[Profit]]/SalesData[[#This Row],[Revenue]])</f>
        <v>0.62</v>
      </c>
      <c r="R462" t="s">
        <v>1061</v>
      </c>
      <c r="S462" t="s">
        <v>1260</v>
      </c>
      <c r="T462" t="str">
        <f>PROPER(SalesData[[#This Row],[Customer Name]])</f>
        <v>Lucas Williams</v>
      </c>
      <c r="U462" t="s">
        <v>1414</v>
      </c>
      <c r="V462" t="s">
        <v>1422</v>
      </c>
    </row>
    <row r="463" spans="1:22" x14ac:dyDescent="0.25">
      <c r="A463" t="s">
        <v>1889</v>
      </c>
      <c r="B463" s="5">
        <v>45450</v>
      </c>
      <c r="C463" s="2" t="str">
        <f>TEXT(SalesData[[#This Row],[Order Date]],"mmm")</f>
        <v>Jun</v>
      </c>
      <c r="D463" s="7">
        <f>MONTH(SalesData[[#This Row],[Order Date]])</f>
        <v>6</v>
      </c>
      <c r="E463" s="7">
        <f>YEAR(SalesData[[#This Row],[Order Date]])</f>
        <v>2024</v>
      </c>
      <c r="F463" t="s">
        <v>825</v>
      </c>
      <c r="G463" t="str">
        <f>PROPER(SalesData[[#This Row],[Product Name]])</f>
        <v>Eco Canvas Tote Bag</v>
      </c>
      <c r="H463" t="s">
        <v>1013</v>
      </c>
      <c r="I463" t="str">
        <f>UPPER(SalesData[[#This Row],[Product Category]])</f>
        <v>BAGS</v>
      </c>
      <c r="J463">
        <v>3</v>
      </c>
      <c r="K463">
        <v>25</v>
      </c>
      <c r="L463" s="15">
        <f>IF(SalesData[[#This Row],[Unit Price]]="",
    AVERAGEIFS(SalesData[Unit Price],
               SalesData[Product Name],SalesData[[#This Row],[Product Name]]),
    SalesData[[#This Row],[Unit Price]])</f>
        <v>25</v>
      </c>
      <c r="M463" s="15">
        <v>6.29</v>
      </c>
      <c r="N463" s="15">
        <f>SalesData[[#This Row],[Quantity Sold]] * SalesData[[#This Row],[Cleaned Unit Price]]</f>
        <v>75</v>
      </c>
      <c r="O463" s="15">
        <f>SalesData[[#This Row],[Quantity Sold]] * SalesData[[#This Row],[Unit Cost]]</f>
        <v>18.87</v>
      </c>
      <c r="P463" s="15">
        <f>SalesData[[#This Row],[Revenue]] - SalesData[[#This Row],[Cost]]</f>
        <v>56.129999999999995</v>
      </c>
      <c r="Q463" s="13">
        <f>IF(SalesData[[#This Row],[Revenue]]=0,0,SalesData[[#This Row],[Profit]]/SalesData[[#This Row],[Revenue]])</f>
        <v>0.74839999999999995</v>
      </c>
      <c r="R463" t="s">
        <v>1037</v>
      </c>
      <c r="S463" t="s">
        <v>1236</v>
      </c>
      <c r="T463" t="str">
        <f>PROPER(SalesData[[#This Row],[Customer Name]])</f>
        <v>Amelia Johnson</v>
      </c>
      <c r="U463" t="s">
        <v>1414</v>
      </c>
      <c r="V463" t="s">
        <v>1419</v>
      </c>
    </row>
    <row r="464" spans="1:22" x14ac:dyDescent="0.25">
      <c r="A464" t="s">
        <v>1890</v>
      </c>
      <c r="B464" s="5">
        <v>45450</v>
      </c>
      <c r="C464" s="2" t="str">
        <f>TEXT(SalesData[[#This Row],[Order Date]],"mmm")</f>
        <v>Jun</v>
      </c>
      <c r="D464" s="7">
        <f>MONTH(SalesData[[#This Row],[Order Date]])</f>
        <v>6</v>
      </c>
      <c r="E464" s="7">
        <f>YEAR(SalesData[[#This Row],[Order Date]])</f>
        <v>2024</v>
      </c>
      <c r="F464" t="s">
        <v>937</v>
      </c>
      <c r="G464" t="str">
        <f>PROPER(SalesData[[#This Row],[Product Name]])</f>
        <v>Solar Led Lantern</v>
      </c>
      <c r="H464" t="s">
        <v>1012</v>
      </c>
      <c r="I464" t="str">
        <f>UPPER(SalesData[[#This Row],[Product Category]])</f>
        <v>LIGHTING</v>
      </c>
      <c r="J464">
        <v>2</v>
      </c>
      <c r="K464">
        <v>40</v>
      </c>
      <c r="L464" s="15">
        <f>IF(SalesData[[#This Row],[Unit Price]]="",
    AVERAGEIFS(SalesData[Unit Price],
               SalesData[Product Name],SalesData[[#This Row],[Product Name]]),
    SalesData[[#This Row],[Unit Price]])</f>
        <v>40</v>
      </c>
      <c r="M464" s="15">
        <v>8.93</v>
      </c>
      <c r="N464" s="15">
        <f>SalesData[[#This Row],[Quantity Sold]] * SalesData[[#This Row],[Cleaned Unit Price]]</f>
        <v>80</v>
      </c>
      <c r="O464" s="15">
        <f>SalesData[[#This Row],[Quantity Sold]] * SalesData[[#This Row],[Unit Cost]]</f>
        <v>17.86</v>
      </c>
      <c r="P464" s="15">
        <f>SalesData[[#This Row],[Revenue]] - SalesData[[#This Row],[Cost]]</f>
        <v>62.14</v>
      </c>
      <c r="Q464" s="13">
        <f>IF(SalesData[[#This Row],[Revenue]]=0,0,SalesData[[#This Row],[Profit]]/SalesData[[#This Row],[Revenue]])</f>
        <v>0.77675000000000005</v>
      </c>
      <c r="R464" t="s">
        <v>1160</v>
      </c>
      <c r="S464" t="s">
        <v>1359</v>
      </c>
      <c r="T464" t="str">
        <f>PROPER(SalesData[[#This Row],[Customer Name]])</f>
        <v>Emma Davis</v>
      </c>
      <c r="U464" t="s">
        <v>1415</v>
      </c>
      <c r="V464" t="s">
        <v>1419</v>
      </c>
    </row>
    <row r="465" spans="1:22" x14ac:dyDescent="0.25">
      <c r="A465" t="s">
        <v>1891</v>
      </c>
      <c r="B465" s="5">
        <v>45451</v>
      </c>
      <c r="C465" s="2" t="str">
        <f>TEXT(SalesData[[#This Row],[Order Date]],"mmm")</f>
        <v>Jun</v>
      </c>
      <c r="D465" s="7">
        <f>MONTH(SalesData[[#This Row],[Order Date]])</f>
        <v>6</v>
      </c>
      <c r="E465" s="7">
        <f>YEAR(SalesData[[#This Row],[Order Date]])</f>
        <v>2024</v>
      </c>
      <c r="F465" t="s">
        <v>88</v>
      </c>
      <c r="G465" t="str">
        <f>PROPER(SalesData[[#This Row],[Product Name]])</f>
        <v>Eco Canvas Tote Bag</v>
      </c>
      <c r="H465" t="s">
        <v>1013</v>
      </c>
      <c r="I465" t="str">
        <f>UPPER(SalesData[[#This Row],[Product Category]])</f>
        <v>BAGS</v>
      </c>
      <c r="J465">
        <v>3</v>
      </c>
      <c r="K465">
        <v>25</v>
      </c>
      <c r="L465" s="15">
        <f>IF(SalesData[[#This Row],[Unit Price]]="",
    AVERAGEIFS(SalesData[Unit Price],
               SalesData[Product Name],SalesData[[#This Row],[Product Name]]),
    SalesData[[#This Row],[Unit Price]])</f>
        <v>25</v>
      </c>
      <c r="M465" s="15">
        <v>9.02</v>
      </c>
      <c r="N465" s="15">
        <f>SalesData[[#This Row],[Quantity Sold]] * SalesData[[#This Row],[Cleaned Unit Price]]</f>
        <v>75</v>
      </c>
      <c r="O465" s="15">
        <f>SalesData[[#This Row],[Quantity Sold]] * SalesData[[#This Row],[Unit Cost]]</f>
        <v>27.06</v>
      </c>
      <c r="P465" s="15">
        <f>SalesData[[#This Row],[Revenue]] - SalesData[[#This Row],[Cost]]</f>
        <v>47.94</v>
      </c>
      <c r="Q465" s="13">
        <f>IF(SalesData[[#This Row],[Revenue]]=0,0,SalesData[[#This Row],[Profit]]/SalesData[[#This Row],[Revenue]])</f>
        <v>0.63919999999999999</v>
      </c>
      <c r="R465" t="s">
        <v>1046</v>
      </c>
      <c r="S465" t="s">
        <v>1245</v>
      </c>
      <c r="T465" t="str">
        <f>PROPER(SalesData[[#This Row],[Customer Name]])</f>
        <v>Lucas Williams</v>
      </c>
      <c r="U465" t="s">
        <v>1416</v>
      </c>
      <c r="V465" t="s">
        <v>1423</v>
      </c>
    </row>
    <row r="466" spans="1:22" x14ac:dyDescent="0.25">
      <c r="A466" t="s">
        <v>1892</v>
      </c>
      <c r="B466" s="5">
        <v>45451</v>
      </c>
      <c r="C466" s="2" t="str">
        <f>TEXT(SalesData[[#This Row],[Order Date]],"mmm")</f>
        <v>Jun</v>
      </c>
      <c r="D466" s="7">
        <f>MONTH(SalesData[[#This Row],[Order Date]])</f>
        <v>6</v>
      </c>
      <c r="E466" s="7">
        <f>YEAR(SalesData[[#This Row],[Order Date]])</f>
        <v>2024</v>
      </c>
      <c r="F466" t="s">
        <v>89</v>
      </c>
      <c r="G466" t="str">
        <f>PROPER(SalesData[[#This Row],[Product Name]])</f>
        <v>Compostable Plant Pots</v>
      </c>
      <c r="H466" t="s">
        <v>1011</v>
      </c>
      <c r="I466" t="str">
        <f>UPPER(SalesData[[#This Row],[Product Category]])</f>
        <v>GARDENING</v>
      </c>
      <c r="J466">
        <v>2</v>
      </c>
      <c r="K466">
        <v>12</v>
      </c>
      <c r="L466" s="15">
        <f>IF(SalesData[[#This Row],[Unit Price]]="",
    AVERAGEIFS(SalesData[Unit Price],
               SalesData[Product Name],SalesData[[#This Row],[Product Name]]),
    SalesData[[#This Row],[Unit Price]])</f>
        <v>12</v>
      </c>
      <c r="M466" s="15">
        <v>4.6100000000000003</v>
      </c>
      <c r="N466" s="15">
        <f>SalesData[[#This Row],[Quantity Sold]] * SalesData[[#This Row],[Cleaned Unit Price]]</f>
        <v>24</v>
      </c>
      <c r="O466" s="15">
        <f>SalesData[[#This Row],[Quantity Sold]] * SalesData[[#This Row],[Unit Cost]]</f>
        <v>9.2200000000000006</v>
      </c>
      <c r="P466" s="15">
        <f>SalesData[[#This Row],[Revenue]] - SalesData[[#This Row],[Cost]]</f>
        <v>14.78</v>
      </c>
      <c r="Q466" s="13">
        <f>IF(SalesData[[#This Row],[Revenue]]=0,0,SalesData[[#This Row],[Profit]]/SalesData[[#This Row],[Revenue]])</f>
        <v>0.61583333333333334</v>
      </c>
      <c r="R466" t="s">
        <v>1076</v>
      </c>
      <c r="S466" t="s">
        <v>1275</v>
      </c>
      <c r="T466" t="str">
        <f>PROPER(SalesData[[#This Row],[Customer Name]])</f>
        <v>Harper Smith</v>
      </c>
      <c r="U466" t="s">
        <v>1416</v>
      </c>
      <c r="V466" t="s">
        <v>1425</v>
      </c>
    </row>
    <row r="467" spans="1:22" x14ac:dyDescent="0.25">
      <c r="A467" t="s">
        <v>1893</v>
      </c>
      <c r="B467" s="5">
        <v>45451</v>
      </c>
      <c r="C467" s="2" t="str">
        <f>TEXT(SalesData[[#This Row],[Order Date]],"mmm")</f>
        <v>Jun</v>
      </c>
      <c r="D467" s="7">
        <f>MONTH(SalesData[[#This Row],[Order Date]])</f>
        <v>6</v>
      </c>
      <c r="E467" s="7">
        <f>YEAR(SalesData[[#This Row],[Order Date]])</f>
        <v>2024</v>
      </c>
      <c r="F467" t="s">
        <v>337</v>
      </c>
      <c r="G467" t="str">
        <f>PROPER(SalesData[[#This Row],[Product Name]])</f>
        <v>Biodegradable Cleaning Cloth</v>
      </c>
      <c r="H467" t="s">
        <v>1015</v>
      </c>
      <c r="I467" t="str">
        <f>UPPER(SalesData[[#This Row],[Product Category]])</f>
        <v>CLEANING</v>
      </c>
      <c r="J467">
        <v>6</v>
      </c>
      <c r="K467">
        <v>10</v>
      </c>
      <c r="L467" s="15">
        <f>IF(SalesData[[#This Row],[Unit Price]]="",
    AVERAGEIFS(SalesData[Unit Price],
               SalesData[Product Name],SalesData[[#This Row],[Product Name]]),
    SalesData[[#This Row],[Unit Price]])</f>
        <v>10</v>
      </c>
      <c r="M467" s="15">
        <v>3.13</v>
      </c>
      <c r="N467" s="15">
        <f>SalesData[[#This Row],[Quantity Sold]] * SalesData[[#This Row],[Cleaned Unit Price]]</f>
        <v>60</v>
      </c>
      <c r="O467" s="15">
        <f>SalesData[[#This Row],[Quantity Sold]] * SalesData[[#This Row],[Unit Cost]]</f>
        <v>18.78</v>
      </c>
      <c r="P467" s="15">
        <f>SalesData[[#This Row],[Revenue]] - SalesData[[#This Row],[Cost]]</f>
        <v>41.22</v>
      </c>
      <c r="Q467" s="13">
        <f>IF(SalesData[[#This Row],[Revenue]]=0,0,SalesData[[#This Row],[Profit]]/SalesData[[#This Row],[Revenue]])</f>
        <v>0.68699999999999994</v>
      </c>
      <c r="R467" t="s">
        <v>1084</v>
      </c>
      <c r="S467" t="s">
        <v>1283</v>
      </c>
      <c r="T467" t="str">
        <f>PROPER(SalesData[[#This Row],[Customer Name]])</f>
        <v>Lucas Brown</v>
      </c>
      <c r="U467" t="s">
        <v>1414</v>
      </c>
      <c r="V467" t="s">
        <v>1422</v>
      </c>
    </row>
    <row r="468" spans="1:22" x14ac:dyDescent="0.25">
      <c r="A468" t="s">
        <v>1894</v>
      </c>
      <c r="B468" s="5">
        <v>45451</v>
      </c>
      <c r="C468" s="2" t="str">
        <f>TEXT(SalesData[[#This Row],[Order Date]],"mmm")</f>
        <v>Jun</v>
      </c>
      <c r="D468" s="7">
        <f>MONTH(SalesData[[#This Row],[Order Date]])</f>
        <v>6</v>
      </c>
      <c r="E468" s="7">
        <f>YEAR(SalesData[[#This Row],[Order Date]])</f>
        <v>2024</v>
      </c>
      <c r="F468" t="s">
        <v>588</v>
      </c>
      <c r="G468" t="str">
        <f>PROPER(SalesData[[#This Row],[Product Name]])</f>
        <v>Solar Led Lantern</v>
      </c>
      <c r="H468" t="s">
        <v>1012</v>
      </c>
      <c r="I468" t="str">
        <f>UPPER(SalesData[[#This Row],[Product Category]])</f>
        <v>LIGHTING</v>
      </c>
      <c r="J468">
        <v>4</v>
      </c>
      <c r="K468">
        <v>40</v>
      </c>
      <c r="L468" s="15">
        <f>IF(SalesData[[#This Row],[Unit Price]]="",
    AVERAGEIFS(SalesData[Unit Price],
               SalesData[Product Name],SalesData[[#This Row],[Product Name]]),
    SalesData[[#This Row],[Unit Price]])</f>
        <v>40</v>
      </c>
      <c r="M468" s="15">
        <v>10.47</v>
      </c>
      <c r="N468" s="15">
        <f>SalesData[[#This Row],[Quantity Sold]] * SalesData[[#This Row],[Cleaned Unit Price]]</f>
        <v>160</v>
      </c>
      <c r="O468" s="15">
        <f>SalesData[[#This Row],[Quantity Sold]] * SalesData[[#This Row],[Unit Cost]]</f>
        <v>41.88</v>
      </c>
      <c r="P468" s="15">
        <f>SalesData[[#This Row],[Revenue]] - SalesData[[#This Row],[Cost]]</f>
        <v>118.12</v>
      </c>
      <c r="Q468" s="13">
        <f>IF(SalesData[[#This Row],[Revenue]]=0,0,SalesData[[#This Row],[Profit]]/SalesData[[#This Row],[Revenue]])</f>
        <v>0.73825000000000007</v>
      </c>
      <c r="R468" t="s">
        <v>1029</v>
      </c>
      <c r="S468" t="s">
        <v>1228</v>
      </c>
      <c r="T468" t="str">
        <f>PROPER(SalesData[[#This Row],[Customer Name]])</f>
        <v>Mason Johnson</v>
      </c>
      <c r="U468" t="s">
        <v>1416</v>
      </c>
      <c r="V468" t="s">
        <v>1421</v>
      </c>
    </row>
    <row r="469" spans="1:22" x14ac:dyDescent="0.25">
      <c r="A469" t="s">
        <v>1895</v>
      </c>
      <c r="B469" s="5">
        <v>45452</v>
      </c>
      <c r="C469" s="2" t="str">
        <f>TEXT(SalesData[[#This Row],[Order Date]],"mmm")</f>
        <v>Jun</v>
      </c>
      <c r="D469" s="7">
        <f>MONTH(SalesData[[#This Row],[Order Date]])</f>
        <v>6</v>
      </c>
      <c r="E469" s="7">
        <f>YEAR(SalesData[[#This Row],[Order Date]])</f>
        <v>2024</v>
      </c>
      <c r="F469" t="s">
        <v>993</v>
      </c>
      <c r="G469" t="str">
        <f>PROPER(SalesData[[#This Row],[Product Name]])</f>
        <v>Reusable Bamboo Utensil Set</v>
      </c>
      <c r="H469" t="s">
        <v>1014</v>
      </c>
      <c r="I469" t="str">
        <f>UPPER(SalesData[[#This Row],[Product Category]])</f>
        <v>KITCHENWARE</v>
      </c>
      <c r="J469">
        <v>9</v>
      </c>
      <c r="K469">
        <v>15</v>
      </c>
      <c r="L469" s="15">
        <f>IF(SalesData[[#This Row],[Unit Price]]="",
    AVERAGEIFS(SalesData[Unit Price],
               SalesData[Product Name],SalesData[[#This Row],[Product Name]]),
    SalesData[[#This Row],[Unit Price]])</f>
        <v>15</v>
      </c>
      <c r="M469" s="15">
        <v>4.75</v>
      </c>
      <c r="N469" s="15">
        <f>SalesData[[#This Row],[Quantity Sold]] * SalesData[[#This Row],[Cleaned Unit Price]]</f>
        <v>135</v>
      </c>
      <c r="O469" s="15">
        <f>SalesData[[#This Row],[Quantity Sold]] * SalesData[[#This Row],[Unit Cost]]</f>
        <v>42.75</v>
      </c>
      <c r="P469" s="15">
        <f>SalesData[[#This Row],[Revenue]] - SalesData[[#This Row],[Cost]]</f>
        <v>92.25</v>
      </c>
      <c r="Q469" s="13">
        <f>IF(SalesData[[#This Row],[Revenue]]=0,0,SalesData[[#This Row],[Profit]]/SalesData[[#This Row],[Revenue]])</f>
        <v>0.68333333333333335</v>
      </c>
      <c r="R469" t="s">
        <v>1147</v>
      </c>
      <c r="S469" t="s">
        <v>1346</v>
      </c>
      <c r="T469" t="str">
        <f>PROPER(SalesData[[#This Row],[Customer Name]])</f>
        <v>Ava Jones</v>
      </c>
      <c r="U469" t="s">
        <v>1417</v>
      </c>
      <c r="V469" t="s">
        <v>1422</v>
      </c>
    </row>
    <row r="470" spans="1:22" x14ac:dyDescent="0.25">
      <c r="A470" t="s">
        <v>1896</v>
      </c>
      <c r="B470" s="5">
        <v>45453</v>
      </c>
      <c r="C470" s="2" t="str">
        <f>TEXT(SalesData[[#This Row],[Order Date]],"mmm")</f>
        <v>Jun</v>
      </c>
      <c r="D470" s="7">
        <f>MONTH(SalesData[[#This Row],[Order Date]])</f>
        <v>6</v>
      </c>
      <c r="E470" s="7">
        <f>YEAR(SalesData[[#This Row],[Order Date]])</f>
        <v>2024</v>
      </c>
      <c r="F470" t="s">
        <v>579</v>
      </c>
      <c r="G470" t="str">
        <f>PROPER(SalesData[[#This Row],[Product Name]])</f>
        <v>Reusable Bamboo Utensil Set</v>
      </c>
      <c r="H470" t="s">
        <v>1014</v>
      </c>
      <c r="I470" t="str">
        <f>UPPER(SalesData[[#This Row],[Product Category]])</f>
        <v>KITCHENWARE</v>
      </c>
      <c r="J470">
        <v>5</v>
      </c>
      <c r="K470">
        <v>15</v>
      </c>
      <c r="L470" s="15">
        <f>IF(SalesData[[#This Row],[Unit Price]]="",
    AVERAGEIFS(SalesData[Unit Price],
               SalesData[Product Name],SalesData[[#This Row],[Product Name]]),
    SalesData[[#This Row],[Unit Price]])</f>
        <v>15</v>
      </c>
      <c r="M470" s="15">
        <v>4.28</v>
      </c>
      <c r="N470" s="15">
        <f>SalesData[[#This Row],[Quantity Sold]] * SalesData[[#This Row],[Cleaned Unit Price]]</f>
        <v>75</v>
      </c>
      <c r="O470" s="15">
        <f>SalesData[[#This Row],[Quantity Sold]] * SalesData[[#This Row],[Unit Cost]]</f>
        <v>21.400000000000002</v>
      </c>
      <c r="P470" s="15">
        <f>SalesData[[#This Row],[Revenue]] - SalesData[[#This Row],[Cost]]</f>
        <v>53.599999999999994</v>
      </c>
      <c r="Q470" s="13">
        <f>IF(SalesData[[#This Row],[Revenue]]=0,0,SalesData[[#This Row],[Profit]]/SalesData[[#This Row],[Revenue]])</f>
        <v>0.71466666666666656</v>
      </c>
      <c r="R470" t="s">
        <v>1164</v>
      </c>
      <c r="S470" t="s">
        <v>1363</v>
      </c>
      <c r="T470" t="str">
        <f>PROPER(SalesData[[#This Row],[Customer Name]])</f>
        <v>Amelia Jones</v>
      </c>
      <c r="U470" t="s">
        <v>1414</v>
      </c>
      <c r="V470" t="s">
        <v>1424</v>
      </c>
    </row>
    <row r="471" spans="1:22" x14ac:dyDescent="0.25">
      <c r="A471" t="s">
        <v>1897</v>
      </c>
      <c r="B471" s="5">
        <v>45455</v>
      </c>
      <c r="C471" s="2" t="str">
        <f>TEXT(SalesData[[#This Row],[Order Date]],"mmm")</f>
        <v>Jun</v>
      </c>
      <c r="D471" s="7">
        <f>MONTH(SalesData[[#This Row],[Order Date]])</f>
        <v>6</v>
      </c>
      <c r="E471" s="7">
        <f>YEAR(SalesData[[#This Row],[Order Date]])</f>
        <v>2024</v>
      </c>
      <c r="F471" t="s">
        <v>261</v>
      </c>
      <c r="G471" t="str">
        <f>PROPER(SalesData[[#This Row],[Product Name]])</f>
        <v>Compostable Plant Pots</v>
      </c>
      <c r="H471" t="s">
        <v>1011</v>
      </c>
      <c r="I471" t="str">
        <f>UPPER(SalesData[[#This Row],[Product Category]])</f>
        <v>GARDENING</v>
      </c>
      <c r="J471">
        <v>1</v>
      </c>
      <c r="K471">
        <v>12</v>
      </c>
      <c r="L471" s="15">
        <f>IF(SalesData[[#This Row],[Unit Price]]="",
    AVERAGEIFS(SalesData[Unit Price],
               SalesData[Product Name],SalesData[[#This Row],[Product Name]]),
    SalesData[[#This Row],[Unit Price]])</f>
        <v>12</v>
      </c>
      <c r="M471" s="15">
        <v>3.81</v>
      </c>
      <c r="N471" s="15">
        <f>SalesData[[#This Row],[Quantity Sold]] * SalesData[[#This Row],[Cleaned Unit Price]]</f>
        <v>12</v>
      </c>
      <c r="O471" s="15">
        <f>SalesData[[#This Row],[Quantity Sold]] * SalesData[[#This Row],[Unit Cost]]</f>
        <v>3.81</v>
      </c>
      <c r="P471" s="15">
        <f>SalesData[[#This Row],[Revenue]] - SalesData[[#This Row],[Cost]]</f>
        <v>8.19</v>
      </c>
      <c r="Q471" s="13">
        <f>IF(SalesData[[#This Row],[Revenue]]=0,0,SalesData[[#This Row],[Profit]]/SalesData[[#This Row],[Revenue]])</f>
        <v>0.6825</v>
      </c>
      <c r="R471" t="s">
        <v>1127</v>
      </c>
      <c r="S471" t="s">
        <v>1326</v>
      </c>
      <c r="T471" t="str">
        <f>PROPER(SalesData[[#This Row],[Customer Name]])</f>
        <v>Mason Williams</v>
      </c>
      <c r="U471" t="s">
        <v>1414</v>
      </c>
      <c r="V471" t="s">
        <v>1423</v>
      </c>
    </row>
    <row r="472" spans="1:22" x14ac:dyDescent="0.25">
      <c r="A472" t="s">
        <v>1898</v>
      </c>
      <c r="B472" s="5">
        <v>45455</v>
      </c>
      <c r="C472" s="2" t="str">
        <f>TEXT(SalesData[[#This Row],[Order Date]],"mmm")</f>
        <v>Jun</v>
      </c>
      <c r="D472" s="7">
        <f>MONTH(SalesData[[#This Row],[Order Date]])</f>
        <v>6</v>
      </c>
      <c r="E472" s="7">
        <f>YEAR(SalesData[[#This Row],[Order Date]])</f>
        <v>2024</v>
      </c>
      <c r="F472" t="s">
        <v>865</v>
      </c>
      <c r="G472" t="str">
        <f>PROPER(SalesData[[#This Row],[Product Name]])</f>
        <v>Compostable Plant Pots</v>
      </c>
      <c r="H472" t="s">
        <v>1011</v>
      </c>
      <c r="I472" t="str">
        <f>UPPER(SalesData[[#This Row],[Product Category]])</f>
        <v>GARDENING</v>
      </c>
      <c r="J472">
        <v>3</v>
      </c>
      <c r="K472">
        <v>12</v>
      </c>
      <c r="L472" s="15">
        <f>IF(SalesData[[#This Row],[Unit Price]]="",
    AVERAGEIFS(SalesData[Unit Price],
               SalesData[Product Name],SalesData[[#This Row],[Product Name]]),
    SalesData[[#This Row],[Unit Price]])</f>
        <v>12</v>
      </c>
      <c r="M472" s="15">
        <v>4.78</v>
      </c>
      <c r="N472" s="15">
        <f>SalesData[[#This Row],[Quantity Sold]] * SalesData[[#This Row],[Cleaned Unit Price]]</f>
        <v>36</v>
      </c>
      <c r="O472" s="15">
        <f>SalesData[[#This Row],[Quantity Sold]] * SalesData[[#This Row],[Unit Cost]]</f>
        <v>14.34</v>
      </c>
      <c r="P472" s="15">
        <f>SalesData[[#This Row],[Revenue]] - SalesData[[#This Row],[Cost]]</f>
        <v>21.66</v>
      </c>
      <c r="Q472" s="13">
        <f>IF(SalesData[[#This Row],[Revenue]]=0,0,SalesData[[#This Row],[Profit]]/SalesData[[#This Row],[Revenue]])</f>
        <v>0.60166666666666668</v>
      </c>
      <c r="R472" t="s">
        <v>1095</v>
      </c>
      <c r="S472" t="s">
        <v>1294</v>
      </c>
      <c r="T472" t="str">
        <f>PROPER(SalesData[[#This Row],[Customer Name]])</f>
        <v>Evelyn Miller</v>
      </c>
      <c r="U472" t="s">
        <v>1414</v>
      </c>
      <c r="V472" t="s">
        <v>1421</v>
      </c>
    </row>
    <row r="473" spans="1:22" x14ac:dyDescent="0.25">
      <c r="A473" t="s">
        <v>1899</v>
      </c>
      <c r="B473" s="5">
        <v>45456</v>
      </c>
      <c r="C473" s="2" t="str">
        <f>TEXT(SalesData[[#This Row],[Order Date]],"mmm")</f>
        <v>Jun</v>
      </c>
      <c r="D473" s="7">
        <f>MONTH(SalesData[[#This Row],[Order Date]])</f>
        <v>6</v>
      </c>
      <c r="E473" s="7">
        <f>YEAR(SalesData[[#This Row],[Order Date]])</f>
        <v>2024</v>
      </c>
      <c r="F473" t="s">
        <v>1007</v>
      </c>
      <c r="G473" t="str">
        <f>PROPER(SalesData[[#This Row],[Product Name]])</f>
        <v>Eco Canvas Tote Bag</v>
      </c>
      <c r="H473" t="s">
        <v>1013</v>
      </c>
      <c r="I473" t="str">
        <f>UPPER(SalesData[[#This Row],[Product Category]])</f>
        <v>BAGS</v>
      </c>
      <c r="J473">
        <v>5</v>
      </c>
      <c r="K473">
        <v>25</v>
      </c>
      <c r="L473" s="15">
        <f>IF(SalesData[[#This Row],[Unit Price]]="",
    AVERAGEIFS(SalesData[Unit Price],
               SalesData[Product Name],SalesData[[#This Row],[Product Name]]),
    SalesData[[#This Row],[Unit Price]])</f>
        <v>25</v>
      </c>
      <c r="M473" s="15">
        <v>6.67</v>
      </c>
      <c r="N473" s="15">
        <f>SalesData[[#This Row],[Quantity Sold]] * SalesData[[#This Row],[Cleaned Unit Price]]</f>
        <v>125</v>
      </c>
      <c r="O473" s="15">
        <f>SalesData[[#This Row],[Quantity Sold]] * SalesData[[#This Row],[Unit Cost]]</f>
        <v>33.35</v>
      </c>
      <c r="P473" s="15">
        <f>SalesData[[#This Row],[Revenue]] - SalesData[[#This Row],[Cost]]</f>
        <v>91.65</v>
      </c>
      <c r="Q473" s="13">
        <f>IF(SalesData[[#This Row],[Revenue]]=0,0,SalesData[[#This Row],[Profit]]/SalesData[[#This Row],[Revenue]])</f>
        <v>0.73320000000000007</v>
      </c>
      <c r="R473" t="s">
        <v>1062</v>
      </c>
      <c r="S473" t="s">
        <v>1261</v>
      </c>
      <c r="T473" t="str">
        <f>PROPER(SalesData[[#This Row],[Customer Name]])</f>
        <v>James Brown</v>
      </c>
      <c r="U473" t="s">
        <v>1416</v>
      </c>
      <c r="V473" t="s">
        <v>1424</v>
      </c>
    </row>
    <row r="474" spans="1:22" x14ac:dyDescent="0.25">
      <c r="A474" t="s">
        <v>1900</v>
      </c>
      <c r="B474" s="5">
        <v>45457</v>
      </c>
      <c r="C474" s="2" t="str">
        <f>TEXT(SalesData[[#This Row],[Order Date]],"mmm")</f>
        <v>Jun</v>
      </c>
      <c r="D474" s="7">
        <f>MONTH(SalesData[[#This Row],[Order Date]])</f>
        <v>6</v>
      </c>
      <c r="E474" s="7">
        <f>YEAR(SalesData[[#This Row],[Order Date]])</f>
        <v>2024</v>
      </c>
      <c r="F474" t="s">
        <v>70</v>
      </c>
      <c r="G474" t="str">
        <f>PROPER(SalesData[[#This Row],[Product Name]])</f>
        <v>Compostable Plant Pots</v>
      </c>
      <c r="H474" t="s">
        <v>1011</v>
      </c>
      <c r="I474" t="str">
        <f>UPPER(SalesData[[#This Row],[Product Category]])</f>
        <v>GARDENING</v>
      </c>
      <c r="J474">
        <v>2</v>
      </c>
      <c r="L474" s="15">
        <f>IF(SalesData[[#This Row],[Unit Price]]="",
    AVERAGEIFS(SalesData[Unit Price],
               SalesData[Product Name],SalesData[[#This Row],[Product Name]]),
    SalesData[[#This Row],[Unit Price]])</f>
        <v>12</v>
      </c>
      <c r="M474" s="15">
        <v>3.25</v>
      </c>
      <c r="N474" s="15">
        <f>SalesData[[#This Row],[Quantity Sold]] * SalesData[[#This Row],[Cleaned Unit Price]]</f>
        <v>24</v>
      </c>
      <c r="O474" s="15">
        <f>SalesData[[#This Row],[Quantity Sold]] * SalesData[[#This Row],[Unit Cost]]</f>
        <v>6.5</v>
      </c>
      <c r="P474" s="15">
        <f>SalesData[[#This Row],[Revenue]] - SalesData[[#This Row],[Cost]]</f>
        <v>17.5</v>
      </c>
      <c r="Q474" s="13">
        <f>IF(SalesData[[#This Row],[Revenue]]=0,0,SalesData[[#This Row],[Profit]]/SalesData[[#This Row],[Revenue]])</f>
        <v>0.72916666666666663</v>
      </c>
      <c r="R474" t="s">
        <v>1064</v>
      </c>
      <c r="S474" t="s">
        <v>1263</v>
      </c>
      <c r="T474" t="str">
        <f>PROPER(SalesData[[#This Row],[Customer Name]])</f>
        <v>Isabella Miller</v>
      </c>
      <c r="U474" t="s">
        <v>1416</v>
      </c>
      <c r="V474" t="s">
        <v>1420</v>
      </c>
    </row>
    <row r="475" spans="1:22" x14ac:dyDescent="0.25">
      <c r="A475" t="s">
        <v>1901</v>
      </c>
      <c r="B475" s="5">
        <v>45457</v>
      </c>
      <c r="C475" s="2" t="str">
        <f>TEXT(SalesData[[#This Row],[Order Date]],"mmm")</f>
        <v>Jun</v>
      </c>
      <c r="D475" s="7">
        <f>MONTH(SalesData[[#This Row],[Order Date]])</f>
        <v>6</v>
      </c>
      <c r="E475" s="7">
        <f>YEAR(SalesData[[#This Row],[Order Date]])</f>
        <v>2024</v>
      </c>
      <c r="F475" t="s">
        <v>283</v>
      </c>
      <c r="G475" t="str">
        <f>PROPER(SalesData[[#This Row],[Product Name]])</f>
        <v>Reusable Bamboo Utensil Set</v>
      </c>
      <c r="H475" t="s">
        <v>1014</v>
      </c>
      <c r="I475" t="str">
        <f>UPPER(SalesData[[#This Row],[Product Category]])</f>
        <v>KITCHENWARE</v>
      </c>
      <c r="J475">
        <v>6</v>
      </c>
      <c r="K475">
        <v>15</v>
      </c>
      <c r="L475" s="15">
        <f>IF(SalesData[[#This Row],[Unit Price]]="",
    AVERAGEIFS(SalesData[Unit Price],
               SalesData[Product Name],SalesData[[#This Row],[Product Name]]),
    SalesData[[#This Row],[Unit Price]])</f>
        <v>15</v>
      </c>
      <c r="M475" s="15">
        <v>5.6</v>
      </c>
      <c r="N475" s="15">
        <f>SalesData[[#This Row],[Quantity Sold]] * SalesData[[#This Row],[Cleaned Unit Price]]</f>
        <v>90</v>
      </c>
      <c r="O475" s="15">
        <f>SalesData[[#This Row],[Quantity Sold]] * SalesData[[#This Row],[Unit Cost]]</f>
        <v>33.599999999999994</v>
      </c>
      <c r="P475" s="15">
        <f>SalesData[[#This Row],[Revenue]] - SalesData[[#This Row],[Cost]]</f>
        <v>56.400000000000006</v>
      </c>
      <c r="Q475" s="13">
        <f>IF(SalesData[[#This Row],[Revenue]]=0,0,SalesData[[#This Row],[Profit]]/SalesData[[#This Row],[Revenue]])</f>
        <v>0.62666666666666671</v>
      </c>
      <c r="R475" t="s">
        <v>1076</v>
      </c>
      <c r="S475" t="s">
        <v>1275</v>
      </c>
      <c r="T475" t="str">
        <f>PROPER(SalesData[[#This Row],[Customer Name]])</f>
        <v>Harper Smith</v>
      </c>
      <c r="U475" t="s">
        <v>1414</v>
      </c>
      <c r="V475" t="s">
        <v>1421</v>
      </c>
    </row>
    <row r="476" spans="1:22" x14ac:dyDescent="0.25">
      <c r="A476" t="s">
        <v>1902</v>
      </c>
      <c r="B476" s="5">
        <v>45457</v>
      </c>
      <c r="C476" s="2" t="str">
        <f>TEXT(SalesData[[#This Row],[Order Date]],"mmm")</f>
        <v>Jun</v>
      </c>
      <c r="D476" s="7">
        <f>MONTH(SalesData[[#This Row],[Order Date]])</f>
        <v>6</v>
      </c>
      <c r="E476" s="7">
        <f>YEAR(SalesData[[#This Row],[Order Date]])</f>
        <v>2024</v>
      </c>
      <c r="F476" t="s">
        <v>995</v>
      </c>
      <c r="G476" t="str">
        <f>PROPER(SalesData[[#This Row],[Product Name]])</f>
        <v>Biodegradable Cleaning Cloth</v>
      </c>
      <c r="H476" t="s">
        <v>1015</v>
      </c>
      <c r="I476" t="str">
        <f>UPPER(SalesData[[#This Row],[Product Category]])</f>
        <v>CLEANING</v>
      </c>
      <c r="J476">
        <v>8</v>
      </c>
      <c r="K476">
        <v>10</v>
      </c>
      <c r="L476" s="15">
        <f>IF(SalesData[[#This Row],[Unit Price]]="",
    AVERAGEIFS(SalesData[Unit Price],
               SalesData[Product Name],SalesData[[#This Row],[Product Name]]),
    SalesData[[#This Row],[Unit Price]])</f>
        <v>10</v>
      </c>
      <c r="M476" s="15">
        <v>2.0699999999999998</v>
      </c>
      <c r="N476" s="15">
        <f>SalesData[[#This Row],[Quantity Sold]] * SalesData[[#This Row],[Cleaned Unit Price]]</f>
        <v>80</v>
      </c>
      <c r="O476" s="15">
        <f>SalesData[[#This Row],[Quantity Sold]] * SalesData[[#This Row],[Unit Cost]]</f>
        <v>16.559999999999999</v>
      </c>
      <c r="P476" s="15">
        <f>SalesData[[#This Row],[Revenue]] - SalesData[[#This Row],[Cost]]</f>
        <v>63.44</v>
      </c>
      <c r="Q476" s="13">
        <f>IF(SalesData[[#This Row],[Revenue]]=0,0,SalesData[[#This Row],[Profit]]/SalesData[[#This Row],[Revenue]])</f>
        <v>0.79299999999999993</v>
      </c>
      <c r="R476" t="s">
        <v>1138</v>
      </c>
      <c r="S476" t="s">
        <v>1337</v>
      </c>
      <c r="T476" t="str">
        <f>PROPER(SalesData[[#This Row],[Customer Name]])</f>
        <v>Noah Williams</v>
      </c>
      <c r="U476" t="s">
        <v>1416</v>
      </c>
      <c r="V476" t="s">
        <v>1426</v>
      </c>
    </row>
    <row r="477" spans="1:22" x14ac:dyDescent="0.25">
      <c r="A477" t="s">
        <v>1903</v>
      </c>
      <c r="B477" s="5">
        <v>45458</v>
      </c>
      <c r="C477" s="2" t="str">
        <f>TEXT(SalesData[[#This Row],[Order Date]],"mmm")</f>
        <v>Jun</v>
      </c>
      <c r="D477" s="7">
        <f>MONTH(SalesData[[#This Row],[Order Date]])</f>
        <v>6</v>
      </c>
      <c r="E477" s="7">
        <f>YEAR(SalesData[[#This Row],[Order Date]])</f>
        <v>2024</v>
      </c>
      <c r="F477" t="s">
        <v>599</v>
      </c>
      <c r="G477" t="str">
        <f>PROPER(SalesData[[#This Row],[Product Name]])</f>
        <v>Reusable Bamboo Utensil Set</v>
      </c>
      <c r="H477" t="s">
        <v>1014</v>
      </c>
      <c r="I477" t="str">
        <f>UPPER(SalesData[[#This Row],[Product Category]])</f>
        <v>KITCHENWARE</v>
      </c>
      <c r="J477">
        <v>6</v>
      </c>
      <c r="K477">
        <v>15</v>
      </c>
      <c r="L477" s="15">
        <f>IF(SalesData[[#This Row],[Unit Price]]="",
    AVERAGEIFS(SalesData[Unit Price],
               SalesData[Product Name],SalesData[[#This Row],[Product Name]]),
    SalesData[[#This Row],[Unit Price]])</f>
        <v>15</v>
      </c>
      <c r="M477" s="15">
        <v>4.13</v>
      </c>
      <c r="N477" s="15">
        <f>SalesData[[#This Row],[Quantity Sold]] * SalesData[[#This Row],[Cleaned Unit Price]]</f>
        <v>90</v>
      </c>
      <c r="O477" s="15">
        <f>SalesData[[#This Row],[Quantity Sold]] * SalesData[[#This Row],[Unit Cost]]</f>
        <v>24.78</v>
      </c>
      <c r="P477" s="15">
        <f>SalesData[[#This Row],[Revenue]] - SalesData[[#This Row],[Cost]]</f>
        <v>65.22</v>
      </c>
      <c r="Q477" s="13">
        <f>IF(SalesData[[#This Row],[Revenue]]=0,0,SalesData[[#This Row],[Profit]]/SalesData[[#This Row],[Revenue]])</f>
        <v>0.72466666666666668</v>
      </c>
      <c r="R477" t="s">
        <v>1060</v>
      </c>
      <c r="S477" t="s">
        <v>1259</v>
      </c>
      <c r="T477" t="str">
        <f>PROPER(SalesData[[#This Row],[Customer Name]])</f>
        <v>Charlotte Davis</v>
      </c>
      <c r="U477" t="s">
        <v>1415</v>
      </c>
      <c r="V477" t="s">
        <v>1420</v>
      </c>
    </row>
    <row r="478" spans="1:22" x14ac:dyDescent="0.25">
      <c r="A478" t="s">
        <v>1904</v>
      </c>
      <c r="B478" s="5">
        <v>45459</v>
      </c>
      <c r="C478" s="2" t="str">
        <f>TEXT(SalesData[[#This Row],[Order Date]],"mmm")</f>
        <v>Jun</v>
      </c>
      <c r="D478" s="7">
        <f>MONTH(SalesData[[#This Row],[Order Date]])</f>
        <v>6</v>
      </c>
      <c r="E478" s="7">
        <f>YEAR(SalesData[[#This Row],[Order Date]])</f>
        <v>2024</v>
      </c>
      <c r="F478" t="s">
        <v>116</v>
      </c>
      <c r="G478" t="str">
        <f>PROPER(SalesData[[#This Row],[Product Name]])</f>
        <v>Reusable Bamboo Utensil Set</v>
      </c>
      <c r="H478" t="s">
        <v>1014</v>
      </c>
      <c r="I478" t="str">
        <f>UPPER(SalesData[[#This Row],[Product Category]])</f>
        <v>KITCHENWARE</v>
      </c>
      <c r="J478">
        <v>4</v>
      </c>
      <c r="K478">
        <v>15</v>
      </c>
      <c r="L478" s="15">
        <f>IF(SalesData[[#This Row],[Unit Price]]="",
    AVERAGEIFS(SalesData[Unit Price],
               SalesData[Product Name],SalesData[[#This Row],[Product Name]]),
    SalesData[[#This Row],[Unit Price]])</f>
        <v>15</v>
      </c>
      <c r="M478" s="15">
        <v>4.33</v>
      </c>
      <c r="N478" s="15">
        <f>SalesData[[#This Row],[Quantity Sold]] * SalesData[[#This Row],[Cleaned Unit Price]]</f>
        <v>60</v>
      </c>
      <c r="O478" s="15">
        <f>SalesData[[#This Row],[Quantity Sold]] * SalesData[[#This Row],[Unit Cost]]</f>
        <v>17.32</v>
      </c>
      <c r="P478" s="15">
        <f>SalesData[[#This Row],[Revenue]] - SalesData[[#This Row],[Cost]]</f>
        <v>42.68</v>
      </c>
      <c r="Q478" s="13">
        <f>IF(SalesData[[#This Row],[Revenue]]=0,0,SalesData[[#This Row],[Profit]]/SalesData[[#This Row],[Revenue]])</f>
        <v>0.71133333333333337</v>
      </c>
      <c r="R478" t="s">
        <v>1096</v>
      </c>
      <c r="S478" t="s">
        <v>1295</v>
      </c>
      <c r="T478" t="str">
        <f>PROPER(SalesData[[#This Row],[Customer Name]])</f>
        <v>Mason Davis</v>
      </c>
      <c r="U478" t="s">
        <v>1414</v>
      </c>
      <c r="V478" t="s">
        <v>1425</v>
      </c>
    </row>
    <row r="479" spans="1:22" x14ac:dyDescent="0.25">
      <c r="A479" t="s">
        <v>1905</v>
      </c>
      <c r="B479" s="5">
        <v>45459</v>
      </c>
      <c r="C479" s="2" t="str">
        <f>TEXT(SalesData[[#This Row],[Order Date]],"mmm")</f>
        <v>Jun</v>
      </c>
      <c r="D479" s="7">
        <f>MONTH(SalesData[[#This Row],[Order Date]])</f>
        <v>6</v>
      </c>
      <c r="E479" s="7">
        <f>YEAR(SalesData[[#This Row],[Order Date]])</f>
        <v>2024</v>
      </c>
      <c r="F479" t="s">
        <v>562</v>
      </c>
      <c r="G479" t="str">
        <f>PROPER(SalesData[[#This Row],[Product Name]])</f>
        <v>Eco Canvas Tote Bag</v>
      </c>
      <c r="H479" t="s">
        <v>1013</v>
      </c>
      <c r="I479" t="str">
        <f>UPPER(SalesData[[#This Row],[Product Category]])</f>
        <v>BAGS</v>
      </c>
      <c r="J479">
        <v>5</v>
      </c>
      <c r="K479">
        <v>25</v>
      </c>
      <c r="L479" s="15">
        <f>IF(SalesData[[#This Row],[Unit Price]]="",
    AVERAGEIFS(SalesData[Unit Price],
               SalesData[Product Name],SalesData[[#This Row],[Product Name]]),
    SalesData[[#This Row],[Unit Price]])</f>
        <v>25</v>
      </c>
      <c r="M479" s="15">
        <v>9.07</v>
      </c>
      <c r="N479" s="15">
        <f>SalesData[[#This Row],[Quantity Sold]] * SalesData[[#This Row],[Cleaned Unit Price]]</f>
        <v>125</v>
      </c>
      <c r="O479" s="15">
        <f>SalesData[[#This Row],[Quantity Sold]] * SalesData[[#This Row],[Unit Cost]]</f>
        <v>45.35</v>
      </c>
      <c r="P479" s="15">
        <f>SalesData[[#This Row],[Revenue]] - SalesData[[#This Row],[Cost]]</f>
        <v>79.650000000000006</v>
      </c>
      <c r="Q479" s="13">
        <f>IF(SalesData[[#This Row],[Revenue]]=0,0,SalesData[[#This Row],[Profit]]/SalesData[[#This Row],[Revenue]])</f>
        <v>0.6372000000000001</v>
      </c>
      <c r="R479" t="s">
        <v>1208</v>
      </c>
      <c r="S479" t="s">
        <v>1407</v>
      </c>
      <c r="T479" t="str">
        <f>PROPER(SalesData[[#This Row],[Customer Name]])</f>
        <v>Evelyn Martinez</v>
      </c>
      <c r="U479" t="s">
        <v>1414</v>
      </c>
      <c r="V479" t="s">
        <v>1420</v>
      </c>
    </row>
    <row r="480" spans="1:22" x14ac:dyDescent="0.25">
      <c r="A480" t="s">
        <v>1906</v>
      </c>
      <c r="B480" s="5">
        <v>45460</v>
      </c>
      <c r="C480" s="2" t="str">
        <f>TEXT(SalesData[[#This Row],[Order Date]],"mmm")</f>
        <v>Jun</v>
      </c>
      <c r="D480" s="7">
        <f>MONTH(SalesData[[#This Row],[Order Date]])</f>
        <v>6</v>
      </c>
      <c r="E480" s="7">
        <f>YEAR(SalesData[[#This Row],[Order Date]])</f>
        <v>2024</v>
      </c>
      <c r="F480" t="s">
        <v>199</v>
      </c>
      <c r="G480" t="str">
        <f>PROPER(SalesData[[#This Row],[Product Name]])</f>
        <v>Reusable Bamboo Utensil Set</v>
      </c>
      <c r="H480" t="s">
        <v>1014</v>
      </c>
      <c r="I480" t="str">
        <f>UPPER(SalesData[[#This Row],[Product Category]])</f>
        <v>KITCHENWARE</v>
      </c>
      <c r="J480">
        <v>9</v>
      </c>
      <c r="K480">
        <v>15</v>
      </c>
      <c r="L480" s="15">
        <f>IF(SalesData[[#This Row],[Unit Price]]="",
    AVERAGEIFS(SalesData[Unit Price],
               SalesData[Product Name],SalesData[[#This Row],[Product Name]]),
    SalesData[[#This Row],[Unit Price]])</f>
        <v>15</v>
      </c>
      <c r="M480" s="15">
        <v>5.65</v>
      </c>
      <c r="N480" s="15">
        <f>SalesData[[#This Row],[Quantity Sold]] * SalesData[[#This Row],[Cleaned Unit Price]]</f>
        <v>135</v>
      </c>
      <c r="O480" s="15">
        <f>SalesData[[#This Row],[Quantity Sold]] * SalesData[[#This Row],[Unit Cost]]</f>
        <v>50.85</v>
      </c>
      <c r="P480" s="15">
        <f>SalesData[[#This Row],[Revenue]] - SalesData[[#This Row],[Cost]]</f>
        <v>84.15</v>
      </c>
      <c r="Q480" s="13">
        <f>IF(SalesData[[#This Row],[Revenue]]=0,0,SalesData[[#This Row],[Profit]]/SalesData[[#This Row],[Revenue]])</f>
        <v>0.62333333333333341</v>
      </c>
      <c r="R480" t="s">
        <v>1031</v>
      </c>
      <c r="S480" t="s">
        <v>1230</v>
      </c>
      <c r="T480" t="str">
        <f>PROPER(SalesData[[#This Row],[Customer Name]])</f>
        <v>Mason Rodriguez</v>
      </c>
      <c r="U480" t="s">
        <v>1414</v>
      </c>
      <c r="V480" t="s">
        <v>1424</v>
      </c>
    </row>
    <row r="481" spans="1:22" x14ac:dyDescent="0.25">
      <c r="A481" t="s">
        <v>1907</v>
      </c>
      <c r="B481" s="5">
        <v>45460</v>
      </c>
      <c r="C481" s="2" t="str">
        <f>TEXT(SalesData[[#This Row],[Order Date]],"mmm")</f>
        <v>Jun</v>
      </c>
      <c r="D481" s="7">
        <f>MONTH(SalesData[[#This Row],[Order Date]])</f>
        <v>6</v>
      </c>
      <c r="E481" s="7">
        <f>YEAR(SalesData[[#This Row],[Order Date]])</f>
        <v>2024</v>
      </c>
      <c r="F481" t="s">
        <v>626</v>
      </c>
      <c r="G481" t="str">
        <f>PROPER(SalesData[[#This Row],[Product Name]])</f>
        <v>Compostable Plant Pots</v>
      </c>
      <c r="H481" t="s">
        <v>1011</v>
      </c>
      <c r="I481" t="str">
        <f>UPPER(SalesData[[#This Row],[Product Category]])</f>
        <v>GARDENING</v>
      </c>
      <c r="J481">
        <v>2</v>
      </c>
      <c r="K481">
        <v>12</v>
      </c>
      <c r="L481" s="15">
        <f>IF(SalesData[[#This Row],[Unit Price]]="",
    AVERAGEIFS(SalesData[Unit Price],
               SalesData[Product Name],SalesData[[#This Row],[Product Name]]),
    SalesData[[#This Row],[Unit Price]])</f>
        <v>12</v>
      </c>
      <c r="M481" s="15">
        <v>3.36</v>
      </c>
      <c r="N481" s="15">
        <f>SalesData[[#This Row],[Quantity Sold]] * SalesData[[#This Row],[Cleaned Unit Price]]</f>
        <v>24</v>
      </c>
      <c r="O481" s="15">
        <f>SalesData[[#This Row],[Quantity Sold]] * SalesData[[#This Row],[Unit Cost]]</f>
        <v>6.72</v>
      </c>
      <c r="P481" s="15">
        <f>SalesData[[#This Row],[Revenue]] - SalesData[[#This Row],[Cost]]</f>
        <v>17.28</v>
      </c>
      <c r="Q481" s="13">
        <f>IF(SalesData[[#This Row],[Revenue]]=0,0,SalesData[[#This Row],[Profit]]/SalesData[[#This Row],[Revenue]])</f>
        <v>0.72000000000000008</v>
      </c>
      <c r="R481" t="s">
        <v>1117</v>
      </c>
      <c r="S481" t="s">
        <v>1316</v>
      </c>
      <c r="T481" t="str">
        <f>PROPER(SalesData[[#This Row],[Customer Name]])</f>
        <v>Isabella Brown</v>
      </c>
      <c r="U481" t="s">
        <v>1414</v>
      </c>
      <c r="V481" t="s">
        <v>1422</v>
      </c>
    </row>
    <row r="482" spans="1:22" x14ac:dyDescent="0.25">
      <c r="A482" t="s">
        <v>1908</v>
      </c>
      <c r="B482" s="5">
        <v>45460</v>
      </c>
      <c r="C482" s="2" t="str">
        <f>TEXT(SalesData[[#This Row],[Order Date]],"mmm")</f>
        <v>Jun</v>
      </c>
      <c r="D482" s="7">
        <f>MONTH(SalesData[[#This Row],[Order Date]])</f>
        <v>6</v>
      </c>
      <c r="E482" s="7">
        <f>YEAR(SalesData[[#This Row],[Order Date]])</f>
        <v>2024</v>
      </c>
      <c r="F482" t="s">
        <v>761</v>
      </c>
      <c r="G482" t="str">
        <f>PROPER(SalesData[[#This Row],[Product Name]])</f>
        <v>Biodegradable Cleaning Cloth</v>
      </c>
      <c r="H482" t="s">
        <v>1015</v>
      </c>
      <c r="I482" t="str">
        <f>UPPER(SalesData[[#This Row],[Product Category]])</f>
        <v>CLEANING</v>
      </c>
      <c r="J482">
        <v>10</v>
      </c>
      <c r="K482">
        <v>10</v>
      </c>
      <c r="L482" s="15">
        <f>IF(SalesData[[#This Row],[Unit Price]]="",
    AVERAGEIFS(SalesData[Unit Price],
               SalesData[Product Name],SalesData[[#This Row],[Product Name]]),
    SalesData[[#This Row],[Unit Price]])</f>
        <v>10</v>
      </c>
      <c r="M482" s="15">
        <v>2.37</v>
      </c>
      <c r="N482" s="15">
        <f>SalesData[[#This Row],[Quantity Sold]] * SalesData[[#This Row],[Cleaned Unit Price]]</f>
        <v>100</v>
      </c>
      <c r="O482" s="15">
        <f>SalesData[[#This Row],[Quantity Sold]] * SalesData[[#This Row],[Unit Cost]]</f>
        <v>23.700000000000003</v>
      </c>
      <c r="P482" s="15">
        <f>SalesData[[#This Row],[Revenue]] - SalesData[[#This Row],[Cost]]</f>
        <v>76.3</v>
      </c>
      <c r="Q482" s="13">
        <f>IF(SalesData[[#This Row],[Revenue]]=0,0,SalesData[[#This Row],[Profit]]/SalesData[[#This Row],[Revenue]])</f>
        <v>0.76300000000000001</v>
      </c>
      <c r="R482" t="s">
        <v>1200</v>
      </c>
      <c r="S482" t="s">
        <v>1399</v>
      </c>
      <c r="T482" t="str">
        <f>PROPER(SalesData[[#This Row],[Customer Name]])</f>
        <v>James Miller</v>
      </c>
      <c r="U482" t="s">
        <v>1414</v>
      </c>
      <c r="V482" t="s">
        <v>1423</v>
      </c>
    </row>
    <row r="483" spans="1:22" x14ac:dyDescent="0.25">
      <c r="A483" t="s">
        <v>1909</v>
      </c>
      <c r="B483" s="5">
        <v>45461</v>
      </c>
      <c r="C483" s="2" t="str">
        <f>TEXT(SalesData[[#This Row],[Order Date]],"mmm")</f>
        <v>Jun</v>
      </c>
      <c r="D483" s="7">
        <f>MONTH(SalesData[[#This Row],[Order Date]])</f>
        <v>6</v>
      </c>
      <c r="E483" s="7">
        <f>YEAR(SalesData[[#This Row],[Order Date]])</f>
        <v>2024</v>
      </c>
      <c r="F483" t="s">
        <v>64</v>
      </c>
      <c r="G483" t="str">
        <f>PROPER(SalesData[[#This Row],[Product Name]])</f>
        <v>Reusable Bamboo Utensil Set</v>
      </c>
      <c r="H483" t="s">
        <v>1014</v>
      </c>
      <c r="I483" t="str">
        <f>UPPER(SalesData[[#This Row],[Product Category]])</f>
        <v>KITCHENWARE</v>
      </c>
      <c r="J483">
        <v>9</v>
      </c>
      <c r="K483">
        <v>15</v>
      </c>
      <c r="L483" s="15">
        <f>IF(SalesData[[#This Row],[Unit Price]]="",
    AVERAGEIFS(SalesData[Unit Price],
               SalesData[Product Name],SalesData[[#This Row],[Product Name]]),
    SalesData[[#This Row],[Unit Price]])</f>
        <v>15</v>
      </c>
      <c r="M483" s="15">
        <v>3.76</v>
      </c>
      <c r="N483" s="15">
        <f>SalesData[[#This Row],[Quantity Sold]] * SalesData[[#This Row],[Cleaned Unit Price]]</f>
        <v>135</v>
      </c>
      <c r="O483" s="15">
        <f>SalesData[[#This Row],[Quantity Sold]] * SalesData[[#This Row],[Unit Cost]]</f>
        <v>33.839999999999996</v>
      </c>
      <c r="P483" s="15">
        <f>SalesData[[#This Row],[Revenue]] - SalesData[[#This Row],[Cost]]</f>
        <v>101.16</v>
      </c>
      <c r="Q483" s="13">
        <f>IF(SalesData[[#This Row],[Revenue]]=0,0,SalesData[[#This Row],[Profit]]/SalesData[[#This Row],[Revenue]])</f>
        <v>0.7493333333333333</v>
      </c>
      <c r="R483" t="s">
        <v>1060</v>
      </c>
      <c r="S483" t="s">
        <v>1259</v>
      </c>
      <c r="T483" t="str">
        <f>PROPER(SalesData[[#This Row],[Customer Name]])</f>
        <v>Charlotte Davis</v>
      </c>
      <c r="U483" t="s">
        <v>1416</v>
      </c>
      <c r="V483" t="s">
        <v>1421</v>
      </c>
    </row>
    <row r="484" spans="1:22" x14ac:dyDescent="0.25">
      <c r="A484" t="s">
        <v>1910</v>
      </c>
      <c r="B484" s="5">
        <v>45461</v>
      </c>
      <c r="C484" s="2" t="str">
        <f>TEXT(SalesData[[#This Row],[Order Date]],"mmm")</f>
        <v>Jun</v>
      </c>
      <c r="D484" s="7">
        <f>MONTH(SalesData[[#This Row],[Order Date]])</f>
        <v>6</v>
      </c>
      <c r="E484" s="7">
        <f>YEAR(SalesData[[#This Row],[Order Date]])</f>
        <v>2024</v>
      </c>
      <c r="F484" t="s">
        <v>650</v>
      </c>
      <c r="G484" t="str">
        <f>PROPER(SalesData[[#This Row],[Product Name]])</f>
        <v>Solar Led Lantern</v>
      </c>
      <c r="H484" t="s">
        <v>1012</v>
      </c>
      <c r="I484" t="str">
        <f>UPPER(SalesData[[#This Row],[Product Category]])</f>
        <v>LIGHTING</v>
      </c>
      <c r="J484">
        <v>3</v>
      </c>
      <c r="K484">
        <v>40</v>
      </c>
      <c r="L484" s="15">
        <f>IF(SalesData[[#This Row],[Unit Price]]="",
    AVERAGEIFS(SalesData[Unit Price],
               SalesData[Product Name],SalesData[[#This Row],[Product Name]]),
    SalesData[[#This Row],[Unit Price]])</f>
        <v>40</v>
      </c>
      <c r="M484" s="15">
        <v>11.38</v>
      </c>
      <c r="N484" s="15">
        <f>SalesData[[#This Row],[Quantity Sold]] * SalesData[[#This Row],[Cleaned Unit Price]]</f>
        <v>120</v>
      </c>
      <c r="O484" s="15">
        <f>SalesData[[#This Row],[Quantity Sold]] * SalesData[[#This Row],[Unit Cost]]</f>
        <v>34.14</v>
      </c>
      <c r="P484" s="15">
        <f>SalesData[[#This Row],[Revenue]] - SalesData[[#This Row],[Cost]]</f>
        <v>85.86</v>
      </c>
      <c r="Q484" s="13">
        <f>IF(SalesData[[#This Row],[Revenue]]=0,0,SalesData[[#This Row],[Profit]]/SalesData[[#This Row],[Revenue]])</f>
        <v>0.71550000000000002</v>
      </c>
      <c r="R484" t="s">
        <v>1195</v>
      </c>
      <c r="S484" t="s">
        <v>1394</v>
      </c>
      <c r="T484" t="str">
        <f>PROPER(SalesData[[#This Row],[Customer Name]])</f>
        <v>Ava Garcia</v>
      </c>
      <c r="U484" t="s">
        <v>1415</v>
      </c>
      <c r="V484" t="s">
        <v>1426</v>
      </c>
    </row>
    <row r="485" spans="1:22" x14ac:dyDescent="0.25">
      <c r="A485" t="s">
        <v>1911</v>
      </c>
      <c r="B485" s="5">
        <v>45461</v>
      </c>
      <c r="C485" s="2" t="str">
        <f>TEXT(SalesData[[#This Row],[Order Date]],"mmm")</f>
        <v>Jun</v>
      </c>
      <c r="D485" s="7">
        <f>MONTH(SalesData[[#This Row],[Order Date]])</f>
        <v>6</v>
      </c>
      <c r="E485" s="7">
        <f>YEAR(SalesData[[#This Row],[Order Date]])</f>
        <v>2024</v>
      </c>
      <c r="F485" t="s">
        <v>656</v>
      </c>
      <c r="G485" t="str">
        <f>PROPER(SalesData[[#This Row],[Product Name]])</f>
        <v>Biodegradable Cleaning Cloth</v>
      </c>
      <c r="H485" t="s">
        <v>1015</v>
      </c>
      <c r="I485" t="str">
        <f>UPPER(SalesData[[#This Row],[Product Category]])</f>
        <v>CLEANING</v>
      </c>
      <c r="J485">
        <v>8</v>
      </c>
      <c r="K485">
        <v>10</v>
      </c>
      <c r="L485" s="15">
        <f>IF(SalesData[[#This Row],[Unit Price]]="",
    AVERAGEIFS(SalesData[Unit Price],
               SalesData[Product Name],SalesData[[#This Row],[Product Name]]),
    SalesData[[#This Row],[Unit Price]])</f>
        <v>10</v>
      </c>
      <c r="M485" s="15">
        <v>3.88</v>
      </c>
      <c r="N485" s="15">
        <f>SalesData[[#This Row],[Quantity Sold]] * SalesData[[#This Row],[Cleaned Unit Price]]</f>
        <v>80</v>
      </c>
      <c r="O485" s="15">
        <f>SalesData[[#This Row],[Quantity Sold]] * SalesData[[#This Row],[Unit Cost]]</f>
        <v>31.04</v>
      </c>
      <c r="P485" s="15">
        <f>SalesData[[#This Row],[Revenue]] - SalesData[[#This Row],[Cost]]</f>
        <v>48.96</v>
      </c>
      <c r="Q485" s="13">
        <f>IF(SalesData[[#This Row],[Revenue]]=0,0,SalesData[[#This Row],[Profit]]/SalesData[[#This Row],[Revenue]])</f>
        <v>0.61199999999999999</v>
      </c>
      <c r="R485" t="s">
        <v>1096</v>
      </c>
      <c r="S485" t="s">
        <v>1295</v>
      </c>
      <c r="T485" t="str">
        <f>PROPER(SalesData[[#This Row],[Customer Name]])</f>
        <v>Mason Davis</v>
      </c>
      <c r="U485" t="s">
        <v>1414</v>
      </c>
      <c r="V485" t="s">
        <v>1418</v>
      </c>
    </row>
    <row r="486" spans="1:22" x14ac:dyDescent="0.25">
      <c r="A486" t="s">
        <v>1912</v>
      </c>
      <c r="B486" s="5">
        <v>45461</v>
      </c>
      <c r="C486" s="2" t="str">
        <f>TEXT(SalesData[[#This Row],[Order Date]],"mmm")</f>
        <v>Jun</v>
      </c>
      <c r="D486" s="7">
        <f>MONTH(SalesData[[#This Row],[Order Date]])</f>
        <v>6</v>
      </c>
      <c r="E486" s="7">
        <f>YEAR(SalesData[[#This Row],[Order Date]])</f>
        <v>2024</v>
      </c>
      <c r="F486" t="s">
        <v>994</v>
      </c>
      <c r="G486" t="str">
        <f>PROPER(SalesData[[#This Row],[Product Name]])</f>
        <v>Solar Led Lantern</v>
      </c>
      <c r="H486" t="s">
        <v>1012</v>
      </c>
      <c r="I486" t="str">
        <f>UPPER(SalesData[[#This Row],[Product Category]])</f>
        <v>LIGHTING</v>
      </c>
      <c r="J486">
        <v>10</v>
      </c>
      <c r="L486" s="15">
        <f>IF(SalesData[[#This Row],[Unit Price]]="",
    AVERAGEIFS(SalesData[Unit Price],
               SalesData[Product Name],SalesData[[#This Row],[Product Name]]),
    SalesData[[#This Row],[Unit Price]])</f>
        <v>40</v>
      </c>
      <c r="M486" s="15">
        <v>13.77</v>
      </c>
      <c r="N486" s="15">
        <f>SalesData[[#This Row],[Quantity Sold]] * SalesData[[#This Row],[Cleaned Unit Price]]</f>
        <v>400</v>
      </c>
      <c r="O486" s="15">
        <f>SalesData[[#This Row],[Quantity Sold]] * SalesData[[#This Row],[Unit Cost]]</f>
        <v>137.69999999999999</v>
      </c>
      <c r="P486" s="15">
        <f>SalesData[[#This Row],[Revenue]] - SalesData[[#This Row],[Cost]]</f>
        <v>262.3</v>
      </c>
      <c r="Q486" s="13">
        <f>IF(SalesData[[#This Row],[Revenue]]=0,0,SalesData[[#This Row],[Profit]]/SalesData[[#This Row],[Revenue]])</f>
        <v>0.65575000000000006</v>
      </c>
      <c r="R486" t="s">
        <v>1075</v>
      </c>
      <c r="S486" t="s">
        <v>1274</v>
      </c>
      <c r="T486" t="str">
        <f>PROPER(SalesData[[#This Row],[Customer Name]])</f>
        <v>Oliver Johnson</v>
      </c>
      <c r="U486" t="s">
        <v>1415</v>
      </c>
      <c r="V486" t="s">
        <v>1423</v>
      </c>
    </row>
    <row r="487" spans="1:22" x14ac:dyDescent="0.25">
      <c r="A487" t="s">
        <v>1913</v>
      </c>
      <c r="B487" s="5">
        <v>45462</v>
      </c>
      <c r="C487" s="2" t="str">
        <f>TEXT(SalesData[[#This Row],[Order Date]],"mmm")</f>
        <v>Jun</v>
      </c>
      <c r="D487" s="7">
        <f>MONTH(SalesData[[#This Row],[Order Date]])</f>
        <v>6</v>
      </c>
      <c r="E487" s="7">
        <f>YEAR(SalesData[[#This Row],[Order Date]])</f>
        <v>2024</v>
      </c>
      <c r="F487" t="s">
        <v>133</v>
      </c>
      <c r="G487" t="str">
        <f>PROPER(SalesData[[#This Row],[Product Name]])</f>
        <v>Solar Led Lantern</v>
      </c>
      <c r="H487" t="s">
        <v>1012</v>
      </c>
      <c r="I487" t="str">
        <f>UPPER(SalesData[[#This Row],[Product Category]])</f>
        <v>LIGHTING</v>
      </c>
      <c r="J487">
        <v>6</v>
      </c>
      <c r="K487">
        <v>40</v>
      </c>
      <c r="L487" s="15">
        <f>IF(SalesData[[#This Row],[Unit Price]]="",
    AVERAGEIFS(SalesData[Unit Price],
               SalesData[Product Name],SalesData[[#This Row],[Product Name]]),
    SalesData[[#This Row],[Unit Price]])</f>
        <v>40</v>
      </c>
      <c r="M487" s="15">
        <v>8.89</v>
      </c>
      <c r="N487" s="15">
        <f>SalesData[[#This Row],[Quantity Sold]] * SalesData[[#This Row],[Cleaned Unit Price]]</f>
        <v>240</v>
      </c>
      <c r="O487" s="15">
        <f>SalesData[[#This Row],[Quantity Sold]] * SalesData[[#This Row],[Unit Cost]]</f>
        <v>53.34</v>
      </c>
      <c r="P487" s="15">
        <f>SalesData[[#This Row],[Revenue]] - SalesData[[#This Row],[Cost]]</f>
        <v>186.66</v>
      </c>
      <c r="Q487" s="13">
        <f>IF(SalesData[[#This Row],[Revenue]]=0,0,SalesData[[#This Row],[Profit]]/SalesData[[#This Row],[Revenue]])</f>
        <v>0.77774999999999994</v>
      </c>
      <c r="R487" t="s">
        <v>1110</v>
      </c>
      <c r="S487" t="s">
        <v>1309</v>
      </c>
      <c r="T487" t="str">
        <f>PROPER(SalesData[[#This Row],[Customer Name]])</f>
        <v>Sophia Martinez</v>
      </c>
      <c r="U487" t="s">
        <v>1414</v>
      </c>
      <c r="V487" t="s">
        <v>1424</v>
      </c>
    </row>
    <row r="488" spans="1:22" x14ac:dyDescent="0.25">
      <c r="A488" t="s">
        <v>1914</v>
      </c>
      <c r="B488" s="5">
        <v>45462</v>
      </c>
      <c r="C488" s="2" t="str">
        <f>TEXT(SalesData[[#This Row],[Order Date]],"mmm")</f>
        <v>Jun</v>
      </c>
      <c r="D488" s="7">
        <f>MONTH(SalesData[[#This Row],[Order Date]])</f>
        <v>6</v>
      </c>
      <c r="E488" s="7">
        <f>YEAR(SalesData[[#This Row],[Order Date]])</f>
        <v>2024</v>
      </c>
      <c r="F488" t="s">
        <v>814</v>
      </c>
      <c r="G488" t="str">
        <f>PROPER(SalesData[[#This Row],[Product Name]])</f>
        <v>Solar Led Lantern</v>
      </c>
      <c r="H488" t="s">
        <v>1012</v>
      </c>
      <c r="I488" t="str">
        <f>UPPER(SalesData[[#This Row],[Product Category]])</f>
        <v>LIGHTING</v>
      </c>
      <c r="J488">
        <v>3</v>
      </c>
      <c r="K488">
        <v>40</v>
      </c>
      <c r="L488" s="15">
        <f>IF(SalesData[[#This Row],[Unit Price]]="",
    AVERAGEIFS(SalesData[Unit Price],
               SalesData[Product Name],SalesData[[#This Row],[Product Name]]),
    SalesData[[#This Row],[Unit Price]])</f>
        <v>40</v>
      </c>
      <c r="M488" s="15">
        <v>11.64</v>
      </c>
      <c r="N488" s="15">
        <f>SalesData[[#This Row],[Quantity Sold]] * SalesData[[#This Row],[Cleaned Unit Price]]</f>
        <v>120</v>
      </c>
      <c r="O488" s="15">
        <f>SalesData[[#This Row],[Quantity Sold]] * SalesData[[#This Row],[Unit Cost]]</f>
        <v>34.92</v>
      </c>
      <c r="P488" s="15">
        <f>SalesData[[#This Row],[Revenue]] - SalesData[[#This Row],[Cost]]</f>
        <v>85.08</v>
      </c>
      <c r="Q488" s="13">
        <f>IF(SalesData[[#This Row],[Revenue]]=0,0,SalesData[[#This Row],[Profit]]/SalesData[[#This Row],[Revenue]])</f>
        <v>0.70899999999999996</v>
      </c>
      <c r="R488" t="s">
        <v>1080</v>
      </c>
      <c r="S488" t="s">
        <v>1279</v>
      </c>
      <c r="T488" t="str">
        <f>PROPER(SalesData[[#This Row],[Customer Name]])</f>
        <v>Mason Johnson</v>
      </c>
      <c r="U488" t="s">
        <v>1414</v>
      </c>
      <c r="V488" t="s">
        <v>1421</v>
      </c>
    </row>
    <row r="489" spans="1:22" x14ac:dyDescent="0.25">
      <c r="A489" t="s">
        <v>1915</v>
      </c>
      <c r="B489" s="5">
        <v>45462</v>
      </c>
      <c r="C489" s="2" t="str">
        <f>TEXT(SalesData[[#This Row],[Order Date]],"mmm")</f>
        <v>Jun</v>
      </c>
      <c r="D489" s="7">
        <f>MONTH(SalesData[[#This Row],[Order Date]])</f>
        <v>6</v>
      </c>
      <c r="E489" s="7">
        <f>YEAR(SalesData[[#This Row],[Order Date]])</f>
        <v>2024</v>
      </c>
      <c r="F489" t="s">
        <v>890</v>
      </c>
      <c r="G489" t="str">
        <f>PROPER(SalesData[[#This Row],[Product Name]])</f>
        <v>Reusable Bamboo Utensil Set</v>
      </c>
      <c r="H489" t="s">
        <v>1014</v>
      </c>
      <c r="I489" t="str">
        <f>UPPER(SalesData[[#This Row],[Product Category]])</f>
        <v>KITCHENWARE</v>
      </c>
      <c r="J489">
        <v>6</v>
      </c>
      <c r="K489">
        <v>15</v>
      </c>
      <c r="L489" s="15">
        <f>IF(SalesData[[#This Row],[Unit Price]]="",
    AVERAGEIFS(SalesData[Unit Price],
               SalesData[Product Name],SalesData[[#This Row],[Product Name]]),
    SalesData[[#This Row],[Unit Price]])</f>
        <v>15</v>
      </c>
      <c r="M489" s="15">
        <v>4.5599999999999996</v>
      </c>
      <c r="N489" s="15">
        <f>SalesData[[#This Row],[Quantity Sold]] * SalesData[[#This Row],[Cleaned Unit Price]]</f>
        <v>90</v>
      </c>
      <c r="O489" s="15">
        <f>SalesData[[#This Row],[Quantity Sold]] * SalesData[[#This Row],[Unit Cost]]</f>
        <v>27.36</v>
      </c>
      <c r="P489" s="15">
        <f>SalesData[[#This Row],[Revenue]] - SalesData[[#This Row],[Cost]]</f>
        <v>62.64</v>
      </c>
      <c r="Q489" s="13">
        <f>IF(SalesData[[#This Row],[Revenue]]=0,0,SalesData[[#This Row],[Profit]]/SalesData[[#This Row],[Revenue]])</f>
        <v>0.69599999999999995</v>
      </c>
      <c r="R489" t="s">
        <v>1099</v>
      </c>
      <c r="S489" t="s">
        <v>1298</v>
      </c>
      <c r="T489" t="str">
        <f>PROPER(SalesData[[#This Row],[Customer Name]])</f>
        <v>Mason Miller</v>
      </c>
      <c r="U489" t="s">
        <v>1417</v>
      </c>
      <c r="V489" t="s">
        <v>1423</v>
      </c>
    </row>
    <row r="490" spans="1:22" x14ac:dyDescent="0.25">
      <c r="A490" t="s">
        <v>1916</v>
      </c>
      <c r="B490" s="5">
        <v>45462</v>
      </c>
      <c r="C490" s="2" t="str">
        <f>TEXT(SalesData[[#This Row],[Order Date]],"mmm")</f>
        <v>Jun</v>
      </c>
      <c r="D490" s="7">
        <f>MONTH(SalesData[[#This Row],[Order Date]])</f>
        <v>6</v>
      </c>
      <c r="E490" s="7">
        <f>YEAR(SalesData[[#This Row],[Order Date]])</f>
        <v>2024</v>
      </c>
      <c r="F490" t="s">
        <v>977</v>
      </c>
      <c r="G490" t="str">
        <f>PROPER(SalesData[[#This Row],[Product Name]])</f>
        <v>Compostable Plant Pots</v>
      </c>
      <c r="H490" t="s">
        <v>1011</v>
      </c>
      <c r="I490" t="str">
        <f>UPPER(SalesData[[#This Row],[Product Category]])</f>
        <v>GARDENING</v>
      </c>
      <c r="J490">
        <v>5</v>
      </c>
      <c r="K490">
        <v>12</v>
      </c>
      <c r="L490" s="15">
        <f>IF(SalesData[[#This Row],[Unit Price]]="",
    AVERAGEIFS(SalesData[Unit Price],
               SalesData[Product Name],SalesData[[#This Row],[Product Name]]),
    SalesData[[#This Row],[Unit Price]])</f>
        <v>12</v>
      </c>
      <c r="M490" s="15">
        <v>4.3499999999999996</v>
      </c>
      <c r="N490" s="15">
        <f>SalesData[[#This Row],[Quantity Sold]] * SalesData[[#This Row],[Cleaned Unit Price]]</f>
        <v>60</v>
      </c>
      <c r="O490" s="15">
        <f>SalesData[[#This Row],[Quantity Sold]] * SalesData[[#This Row],[Unit Cost]]</f>
        <v>21.75</v>
      </c>
      <c r="P490" s="15">
        <f>SalesData[[#This Row],[Revenue]] - SalesData[[#This Row],[Cost]]</f>
        <v>38.25</v>
      </c>
      <c r="Q490" s="13">
        <f>IF(SalesData[[#This Row],[Revenue]]=0,0,SalesData[[#This Row],[Profit]]/SalesData[[#This Row],[Revenue]])</f>
        <v>0.63749999999999996</v>
      </c>
      <c r="R490" t="s">
        <v>1110</v>
      </c>
      <c r="S490" t="s">
        <v>1309</v>
      </c>
      <c r="T490" t="str">
        <f>PROPER(SalesData[[#This Row],[Customer Name]])</f>
        <v>Sophia Martinez</v>
      </c>
      <c r="U490" t="s">
        <v>1414</v>
      </c>
      <c r="V490" t="s">
        <v>1426</v>
      </c>
    </row>
    <row r="491" spans="1:22" x14ac:dyDescent="0.25">
      <c r="A491" t="s">
        <v>1917</v>
      </c>
      <c r="B491" s="5">
        <v>45463</v>
      </c>
      <c r="C491" s="2" t="str">
        <f>TEXT(SalesData[[#This Row],[Order Date]],"mmm")</f>
        <v>Jun</v>
      </c>
      <c r="D491" s="7">
        <f>MONTH(SalesData[[#This Row],[Order Date]])</f>
        <v>6</v>
      </c>
      <c r="E491" s="7">
        <f>YEAR(SalesData[[#This Row],[Order Date]])</f>
        <v>2024</v>
      </c>
      <c r="F491" t="s">
        <v>364</v>
      </c>
      <c r="G491" t="str">
        <f>PROPER(SalesData[[#This Row],[Product Name]])</f>
        <v>Eco Canvas Tote Bag</v>
      </c>
      <c r="H491" t="s">
        <v>1013</v>
      </c>
      <c r="I491" t="str">
        <f>UPPER(SalesData[[#This Row],[Product Category]])</f>
        <v>BAGS</v>
      </c>
      <c r="J491">
        <v>10</v>
      </c>
      <c r="K491">
        <v>25</v>
      </c>
      <c r="L491" s="15">
        <f>IF(SalesData[[#This Row],[Unit Price]]="",
    AVERAGEIFS(SalesData[Unit Price],
               SalesData[Product Name],SalesData[[#This Row],[Product Name]]),
    SalesData[[#This Row],[Unit Price]])</f>
        <v>25</v>
      </c>
      <c r="M491" s="15">
        <v>6.8</v>
      </c>
      <c r="N491" s="15">
        <f>SalesData[[#This Row],[Quantity Sold]] * SalesData[[#This Row],[Cleaned Unit Price]]</f>
        <v>250</v>
      </c>
      <c r="O491" s="15">
        <f>SalesData[[#This Row],[Quantity Sold]] * SalesData[[#This Row],[Unit Cost]]</f>
        <v>68</v>
      </c>
      <c r="P491" s="15">
        <f>SalesData[[#This Row],[Revenue]] - SalesData[[#This Row],[Cost]]</f>
        <v>182</v>
      </c>
      <c r="Q491" s="13">
        <f>IF(SalesData[[#This Row],[Revenue]]=0,0,SalesData[[#This Row],[Profit]]/SalesData[[#This Row],[Revenue]])</f>
        <v>0.72799999999999998</v>
      </c>
      <c r="R491" t="s">
        <v>1050</v>
      </c>
      <c r="S491" t="s">
        <v>1249</v>
      </c>
      <c r="T491" t="str">
        <f>PROPER(SalesData[[#This Row],[Customer Name]])</f>
        <v>Charlotte Garcia</v>
      </c>
      <c r="U491" t="s">
        <v>1414</v>
      </c>
      <c r="V491" t="s">
        <v>1419</v>
      </c>
    </row>
    <row r="492" spans="1:22" x14ac:dyDescent="0.25">
      <c r="A492" t="s">
        <v>1918</v>
      </c>
      <c r="B492" s="5">
        <v>45464</v>
      </c>
      <c r="C492" s="2" t="str">
        <f>TEXT(SalesData[[#This Row],[Order Date]],"mmm")</f>
        <v>Jun</v>
      </c>
      <c r="D492" s="7">
        <f>MONTH(SalesData[[#This Row],[Order Date]])</f>
        <v>6</v>
      </c>
      <c r="E492" s="7">
        <f>YEAR(SalesData[[#This Row],[Order Date]])</f>
        <v>2024</v>
      </c>
      <c r="F492" t="s">
        <v>663</v>
      </c>
      <c r="G492" t="str">
        <f>PROPER(SalesData[[#This Row],[Product Name]])</f>
        <v>Compostable Plant Pots</v>
      </c>
      <c r="H492" t="s">
        <v>1011</v>
      </c>
      <c r="I492" t="str">
        <f>UPPER(SalesData[[#This Row],[Product Category]])</f>
        <v>GARDENING</v>
      </c>
      <c r="J492">
        <v>4</v>
      </c>
      <c r="K492">
        <v>12</v>
      </c>
      <c r="L492" s="15">
        <f>IF(SalesData[[#This Row],[Unit Price]]="",
    AVERAGEIFS(SalesData[Unit Price],
               SalesData[Product Name],SalesData[[#This Row],[Product Name]]),
    SalesData[[#This Row],[Unit Price]])</f>
        <v>12</v>
      </c>
      <c r="M492" s="15">
        <v>3.38</v>
      </c>
      <c r="N492" s="15">
        <f>SalesData[[#This Row],[Quantity Sold]] * SalesData[[#This Row],[Cleaned Unit Price]]</f>
        <v>48</v>
      </c>
      <c r="O492" s="15">
        <f>SalesData[[#This Row],[Quantity Sold]] * SalesData[[#This Row],[Unit Cost]]</f>
        <v>13.52</v>
      </c>
      <c r="P492" s="15">
        <f>SalesData[[#This Row],[Revenue]] - SalesData[[#This Row],[Cost]]</f>
        <v>34.480000000000004</v>
      </c>
      <c r="Q492" s="13">
        <f>IF(SalesData[[#This Row],[Revenue]]=0,0,SalesData[[#This Row],[Profit]]/SalesData[[#This Row],[Revenue]])</f>
        <v>0.71833333333333338</v>
      </c>
      <c r="R492" t="s">
        <v>1058</v>
      </c>
      <c r="S492" t="s">
        <v>1257</v>
      </c>
      <c r="T492" t="str">
        <f>PROPER(SalesData[[#This Row],[Customer Name]])</f>
        <v>Logan Smith</v>
      </c>
      <c r="U492" t="s">
        <v>1417</v>
      </c>
      <c r="V492" t="s">
        <v>1427</v>
      </c>
    </row>
    <row r="493" spans="1:22" x14ac:dyDescent="0.25">
      <c r="A493" t="s">
        <v>1919</v>
      </c>
      <c r="B493" s="5">
        <v>45464</v>
      </c>
      <c r="C493" s="2" t="str">
        <f>TEXT(SalesData[[#This Row],[Order Date]],"mmm")</f>
        <v>Jun</v>
      </c>
      <c r="D493" s="7">
        <f>MONTH(SalesData[[#This Row],[Order Date]])</f>
        <v>6</v>
      </c>
      <c r="E493" s="7">
        <f>YEAR(SalesData[[#This Row],[Order Date]])</f>
        <v>2024</v>
      </c>
      <c r="F493" t="s">
        <v>839</v>
      </c>
      <c r="G493" t="str">
        <f>PROPER(SalesData[[#This Row],[Product Name]])</f>
        <v>Biodegradable Cleaning Cloth</v>
      </c>
      <c r="H493" t="s">
        <v>1015</v>
      </c>
      <c r="I493" t="str">
        <f>UPPER(SalesData[[#This Row],[Product Category]])</f>
        <v>CLEANING</v>
      </c>
      <c r="J493">
        <v>4</v>
      </c>
      <c r="K493">
        <v>10</v>
      </c>
      <c r="L493" s="15">
        <f>IF(SalesData[[#This Row],[Unit Price]]="",
    AVERAGEIFS(SalesData[Unit Price],
               SalesData[Product Name],SalesData[[#This Row],[Product Name]]),
    SalesData[[#This Row],[Unit Price]])</f>
        <v>10</v>
      </c>
      <c r="M493" s="15">
        <v>3.23</v>
      </c>
      <c r="N493" s="15">
        <f>SalesData[[#This Row],[Quantity Sold]] * SalesData[[#This Row],[Cleaned Unit Price]]</f>
        <v>40</v>
      </c>
      <c r="O493" s="15">
        <f>SalesData[[#This Row],[Quantity Sold]] * SalesData[[#This Row],[Unit Cost]]</f>
        <v>12.92</v>
      </c>
      <c r="P493" s="15">
        <f>SalesData[[#This Row],[Revenue]] - SalesData[[#This Row],[Cost]]</f>
        <v>27.08</v>
      </c>
      <c r="Q493" s="13">
        <f>IF(SalesData[[#This Row],[Revenue]]=0,0,SalesData[[#This Row],[Profit]]/SalesData[[#This Row],[Revenue]])</f>
        <v>0.67699999999999994</v>
      </c>
      <c r="R493" t="s">
        <v>1207</v>
      </c>
      <c r="S493" t="s">
        <v>1406</v>
      </c>
      <c r="T493" t="str">
        <f>PROPER(SalesData[[#This Row],[Customer Name]])</f>
        <v>Logan Martinez</v>
      </c>
      <c r="U493" t="s">
        <v>1417</v>
      </c>
      <c r="V493" t="s">
        <v>1427</v>
      </c>
    </row>
    <row r="494" spans="1:22" x14ac:dyDescent="0.25">
      <c r="A494" t="s">
        <v>1920</v>
      </c>
      <c r="B494" s="5">
        <v>45465</v>
      </c>
      <c r="C494" s="2" t="str">
        <f>TEXT(SalesData[[#This Row],[Order Date]],"mmm")</f>
        <v>Jun</v>
      </c>
      <c r="D494" s="7">
        <f>MONTH(SalesData[[#This Row],[Order Date]])</f>
        <v>6</v>
      </c>
      <c r="E494" s="7">
        <f>YEAR(SalesData[[#This Row],[Order Date]])</f>
        <v>2024</v>
      </c>
      <c r="F494" t="s">
        <v>631</v>
      </c>
      <c r="G494" t="str">
        <f>PROPER(SalesData[[#This Row],[Product Name]])</f>
        <v>Compostable Plant Pots</v>
      </c>
      <c r="H494" t="s">
        <v>1011</v>
      </c>
      <c r="I494" t="str">
        <f>UPPER(SalesData[[#This Row],[Product Category]])</f>
        <v>GARDENING</v>
      </c>
      <c r="J494">
        <v>8</v>
      </c>
      <c r="K494">
        <v>12</v>
      </c>
      <c r="L494" s="15">
        <f>IF(SalesData[[#This Row],[Unit Price]]="",
    AVERAGEIFS(SalesData[Unit Price],
               SalesData[Product Name],SalesData[[#This Row],[Product Name]]),
    SalesData[[#This Row],[Unit Price]])</f>
        <v>12</v>
      </c>
      <c r="M494" s="15">
        <v>4.22</v>
      </c>
      <c r="N494" s="15">
        <f>SalesData[[#This Row],[Quantity Sold]] * SalesData[[#This Row],[Cleaned Unit Price]]</f>
        <v>96</v>
      </c>
      <c r="O494" s="15">
        <f>SalesData[[#This Row],[Quantity Sold]] * SalesData[[#This Row],[Unit Cost]]</f>
        <v>33.76</v>
      </c>
      <c r="P494" s="15">
        <f>SalesData[[#This Row],[Revenue]] - SalesData[[#This Row],[Cost]]</f>
        <v>62.24</v>
      </c>
      <c r="Q494" s="13">
        <f>IF(SalesData[[#This Row],[Revenue]]=0,0,SalesData[[#This Row],[Profit]]/SalesData[[#This Row],[Revenue]])</f>
        <v>0.64833333333333332</v>
      </c>
      <c r="R494" t="s">
        <v>1087</v>
      </c>
      <c r="S494" t="s">
        <v>1286</v>
      </c>
      <c r="T494" t="str">
        <f>PROPER(SalesData[[#This Row],[Customer Name]])</f>
        <v>Liam Smith</v>
      </c>
      <c r="U494" t="s">
        <v>1417</v>
      </c>
      <c r="V494" t="s">
        <v>1422</v>
      </c>
    </row>
    <row r="495" spans="1:22" x14ac:dyDescent="0.25">
      <c r="A495" t="s">
        <v>1921</v>
      </c>
      <c r="B495" s="5">
        <v>45465</v>
      </c>
      <c r="C495" s="2" t="str">
        <f>TEXT(SalesData[[#This Row],[Order Date]],"mmm")</f>
        <v>Jun</v>
      </c>
      <c r="D495" s="7">
        <f>MONTH(SalesData[[#This Row],[Order Date]])</f>
        <v>6</v>
      </c>
      <c r="E495" s="7">
        <f>YEAR(SalesData[[#This Row],[Order Date]])</f>
        <v>2024</v>
      </c>
      <c r="F495" t="s">
        <v>896</v>
      </c>
      <c r="G495" t="str">
        <f>PROPER(SalesData[[#This Row],[Product Name]])</f>
        <v>Compostable Plant Pots</v>
      </c>
      <c r="H495" t="s">
        <v>1011</v>
      </c>
      <c r="I495" t="str">
        <f>UPPER(SalesData[[#This Row],[Product Category]])</f>
        <v>GARDENING</v>
      </c>
      <c r="J495">
        <v>9</v>
      </c>
      <c r="K495">
        <v>12</v>
      </c>
      <c r="L495" s="15">
        <f>IF(SalesData[[#This Row],[Unit Price]]="",
    AVERAGEIFS(SalesData[Unit Price],
               SalesData[Product Name],SalesData[[#This Row],[Product Name]]),
    SalesData[[#This Row],[Unit Price]])</f>
        <v>12</v>
      </c>
      <c r="M495" s="15">
        <v>4.3</v>
      </c>
      <c r="N495" s="15">
        <f>SalesData[[#This Row],[Quantity Sold]] * SalesData[[#This Row],[Cleaned Unit Price]]</f>
        <v>108</v>
      </c>
      <c r="O495" s="15">
        <f>SalesData[[#This Row],[Quantity Sold]] * SalesData[[#This Row],[Unit Cost]]</f>
        <v>38.699999999999996</v>
      </c>
      <c r="P495" s="15">
        <f>SalesData[[#This Row],[Revenue]] - SalesData[[#This Row],[Cost]]</f>
        <v>69.300000000000011</v>
      </c>
      <c r="Q495" s="13">
        <f>IF(SalesData[[#This Row],[Revenue]]=0,0,SalesData[[#This Row],[Profit]]/SalesData[[#This Row],[Revenue]])</f>
        <v>0.64166666666666672</v>
      </c>
      <c r="R495" t="s">
        <v>1139</v>
      </c>
      <c r="S495" t="s">
        <v>1338</v>
      </c>
      <c r="T495" t="str">
        <f>PROPER(SalesData[[#This Row],[Customer Name]])</f>
        <v>Oliver Miller</v>
      </c>
      <c r="U495" t="s">
        <v>1416</v>
      </c>
      <c r="V495" t="s">
        <v>1420</v>
      </c>
    </row>
    <row r="496" spans="1:22" x14ac:dyDescent="0.25">
      <c r="A496" t="s">
        <v>1922</v>
      </c>
      <c r="B496" s="5">
        <v>45465</v>
      </c>
      <c r="C496" s="2" t="str">
        <f>TEXT(SalesData[[#This Row],[Order Date]],"mmm")</f>
        <v>Jun</v>
      </c>
      <c r="D496" s="7">
        <f>MONTH(SalesData[[#This Row],[Order Date]])</f>
        <v>6</v>
      </c>
      <c r="E496" s="7">
        <f>YEAR(SalesData[[#This Row],[Order Date]])</f>
        <v>2024</v>
      </c>
      <c r="F496" t="s">
        <v>914</v>
      </c>
      <c r="G496" t="str">
        <f>PROPER(SalesData[[#This Row],[Product Name]])</f>
        <v>Compostable Plant Pots</v>
      </c>
      <c r="H496" t="s">
        <v>1011</v>
      </c>
      <c r="I496" t="str">
        <f>UPPER(SalesData[[#This Row],[Product Category]])</f>
        <v>GARDENING</v>
      </c>
      <c r="J496">
        <v>7</v>
      </c>
      <c r="K496">
        <v>12</v>
      </c>
      <c r="L496" s="15">
        <f>IF(SalesData[[#This Row],[Unit Price]]="",
    AVERAGEIFS(SalesData[Unit Price],
               SalesData[Product Name],SalesData[[#This Row],[Product Name]]),
    SalesData[[#This Row],[Unit Price]])</f>
        <v>12</v>
      </c>
      <c r="M496" s="15">
        <v>2.96</v>
      </c>
      <c r="N496" s="15">
        <f>SalesData[[#This Row],[Quantity Sold]] * SalesData[[#This Row],[Cleaned Unit Price]]</f>
        <v>84</v>
      </c>
      <c r="O496" s="15">
        <f>SalesData[[#This Row],[Quantity Sold]] * SalesData[[#This Row],[Unit Cost]]</f>
        <v>20.72</v>
      </c>
      <c r="P496" s="15">
        <f>SalesData[[#This Row],[Revenue]] - SalesData[[#This Row],[Cost]]</f>
        <v>63.28</v>
      </c>
      <c r="Q496" s="13">
        <f>IF(SalesData[[#This Row],[Revenue]]=0,0,SalesData[[#This Row],[Profit]]/SalesData[[#This Row],[Revenue]])</f>
        <v>0.7533333333333333</v>
      </c>
      <c r="R496" t="s">
        <v>1204</v>
      </c>
      <c r="S496" t="s">
        <v>1403</v>
      </c>
      <c r="T496" t="str">
        <f>PROPER(SalesData[[#This Row],[Customer Name]])</f>
        <v>Harper Rodriguez</v>
      </c>
      <c r="U496" t="s">
        <v>1414</v>
      </c>
      <c r="V496" t="s">
        <v>1427</v>
      </c>
    </row>
    <row r="497" spans="1:22" x14ac:dyDescent="0.25">
      <c r="A497" t="s">
        <v>1923</v>
      </c>
      <c r="B497" s="5">
        <v>45466</v>
      </c>
      <c r="C497" s="2" t="str">
        <f>TEXT(SalesData[[#This Row],[Order Date]],"mmm")</f>
        <v>Jun</v>
      </c>
      <c r="D497" s="7">
        <f>MONTH(SalesData[[#This Row],[Order Date]])</f>
        <v>6</v>
      </c>
      <c r="E497" s="7">
        <f>YEAR(SalesData[[#This Row],[Order Date]])</f>
        <v>2024</v>
      </c>
      <c r="F497" t="s">
        <v>268</v>
      </c>
      <c r="G497" t="str">
        <f>PROPER(SalesData[[#This Row],[Product Name]])</f>
        <v>Biodegradable Cleaning Cloth</v>
      </c>
      <c r="H497" t="s">
        <v>1015</v>
      </c>
      <c r="I497" t="str">
        <f>UPPER(SalesData[[#This Row],[Product Category]])</f>
        <v>CLEANING</v>
      </c>
      <c r="J497">
        <v>9</v>
      </c>
      <c r="K497">
        <v>10</v>
      </c>
      <c r="L497" s="15">
        <f>IF(SalesData[[#This Row],[Unit Price]]="",
    AVERAGEIFS(SalesData[Unit Price],
               SalesData[Product Name],SalesData[[#This Row],[Product Name]]),
    SalesData[[#This Row],[Unit Price]])</f>
        <v>10</v>
      </c>
      <c r="M497" s="15">
        <v>2.59</v>
      </c>
      <c r="N497" s="15">
        <f>SalesData[[#This Row],[Quantity Sold]] * SalesData[[#This Row],[Cleaned Unit Price]]</f>
        <v>90</v>
      </c>
      <c r="O497" s="15">
        <f>SalesData[[#This Row],[Quantity Sold]] * SalesData[[#This Row],[Unit Cost]]</f>
        <v>23.31</v>
      </c>
      <c r="P497" s="15">
        <f>SalesData[[#This Row],[Revenue]] - SalesData[[#This Row],[Cost]]</f>
        <v>66.69</v>
      </c>
      <c r="Q497" s="13">
        <f>IF(SalesData[[#This Row],[Revenue]]=0,0,SalesData[[#This Row],[Profit]]/SalesData[[#This Row],[Revenue]])</f>
        <v>0.74099999999999999</v>
      </c>
      <c r="R497" t="s">
        <v>1160</v>
      </c>
      <c r="S497" t="s">
        <v>1359</v>
      </c>
      <c r="T497" t="str">
        <f>PROPER(SalesData[[#This Row],[Customer Name]])</f>
        <v>Emma Davis</v>
      </c>
      <c r="U497" t="s">
        <v>1414</v>
      </c>
      <c r="V497" t="s">
        <v>1421</v>
      </c>
    </row>
    <row r="498" spans="1:22" x14ac:dyDescent="0.25">
      <c r="A498" t="s">
        <v>1924</v>
      </c>
      <c r="B498" s="5">
        <v>45466</v>
      </c>
      <c r="C498" s="2" t="str">
        <f>TEXT(SalesData[[#This Row],[Order Date]],"mmm")</f>
        <v>Jun</v>
      </c>
      <c r="D498" s="7">
        <f>MONTH(SalesData[[#This Row],[Order Date]])</f>
        <v>6</v>
      </c>
      <c r="E498" s="7">
        <f>YEAR(SalesData[[#This Row],[Order Date]])</f>
        <v>2024</v>
      </c>
      <c r="F498" t="s">
        <v>919</v>
      </c>
      <c r="G498" t="str">
        <f>PROPER(SalesData[[#This Row],[Product Name]])</f>
        <v>Compostable Plant Pots</v>
      </c>
      <c r="H498" t="s">
        <v>1011</v>
      </c>
      <c r="I498" t="str">
        <f>UPPER(SalesData[[#This Row],[Product Category]])</f>
        <v>GARDENING</v>
      </c>
      <c r="J498">
        <v>10</v>
      </c>
      <c r="K498">
        <v>12</v>
      </c>
      <c r="L498" s="15">
        <f>IF(SalesData[[#This Row],[Unit Price]]="",
    AVERAGEIFS(SalesData[Unit Price],
               SalesData[Product Name],SalesData[[#This Row],[Product Name]]),
    SalesData[[#This Row],[Unit Price]])</f>
        <v>12</v>
      </c>
      <c r="M498" s="15">
        <v>4.32</v>
      </c>
      <c r="N498" s="15">
        <f>SalesData[[#This Row],[Quantity Sold]] * SalesData[[#This Row],[Cleaned Unit Price]]</f>
        <v>120</v>
      </c>
      <c r="O498" s="15">
        <f>SalesData[[#This Row],[Quantity Sold]] * SalesData[[#This Row],[Unit Cost]]</f>
        <v>43.2</v>
      </c>
      <c r="P498" s="15">
        <f>SalesData[[#This Row],[Revenue]] - SalesData[[#This Row],[Cost]]</f>
        <v>76.8</v>
      </c>
      <c r="Q498" s="13">
        <f>IF(SalesData[[#This Row],[Revenue]]=0,0,SalesData[[#This Row],[Profit]]/SalesData[[#This Row],[Revenue]])</f>
        <v>0.64</v>
      </c>
      <c r="R498" t="s">
        <v>1087</v>
      </c>
      <c r="S498" t="s">
        <v>1286</v>
      </c>
      <c r="T498" t="str">
        <f>PROPER(SalesData[[#This Row],[Customer Name]])</f>
        <v>Liam Smith</v>
      </c>
      <c r="U498" t="s">
        <v>1414</v>
      </c>
      <c r="V498" t="s">
        <v>1425</v>
      </c>
    </row>
    <row r="499" spans="1:22" x14ac:dyDescent="0.25">
      <c r="A499" t="s">
        <v>1925</v>
      </c>
      <c r="B499" s="5">
        <v>45466</v>
      </c>
      <c r="C499" s="2" t="str">
        <f>TEXT(SalesData[[#This Row],[Order Date]],"mmm")</f>
        <v>Jun</v>
      </c>
      <c r="D499" s="7">
        <f>MONTH(SalesData[[#This Row],[Order Date]])</f>
        <v>6</v>
      </c>
      <c r="E499" s="7">
        <f>YEAR(SalesData[[#This Row],[Order Date]])</f>
        <v>2024</v>
      </c>
      <c r="F499" t="s">
        <v>923</v>
      </c>
      <c r="G499" t="str">
        <f>PROPER(SalesData[[#This Row],[Product Name]])</f>
        <v>Solar Led Lantern</v>
      </c>
      <c r="H499" t="s">
        <v>1012</v>
      </c>
      <c r="I499" t="str">
        <f>UPPER(SalesData[[#This Row],[Product Category]])</f>
        <v>LIGHTING</v>
      </c>
      <c r="J499">
        <v>1</v>
      </c>
      <c r="K499">
        <v>40</v>
      </c>
      <c r="L499" s="15">
        <f>IF(SalesData[[#This Row],[Unit Price]]="",
    AVERAGEIFS(SalesData[Unit Price],
               SalesData[Product Name],SalesData[[#This Row],[Product Name]]),
    SalesData[[#This Row],[Unit Price]])</f>
        <v>40</v>
      </c>
      <c r="M499" s="15">
        <v>10.67</v>
      </c>
      <c r="N499" s="15">
        <f>SalesData[[#This Row],[Quantity Sold]] * SalesData[[#This Row],[Cleaned Unit Price]]</f>
        <v>40</v>
      </c>
      <c r="O499" s="15">
        <f>SalesData[[#This Row],[Quantity Sold]] * SalesData[[#This Row],[Unit Cost]]</f>
        <v>10.67</v>
      </c>
      <c r="P499" s="15">
        <f>SalesData[[#This Row],[Revenue]] - SalesData[[#This Row],[Cost]]</f>
        <v>29.33</v>
      </c>
      <c r="Q499" s="13">
        <f>IF(SalesData[[#This Row],[Revenue]]=0,0,SalesData[[#This Row],[Profit]]/SalesData[[#This Row],[Revenue]])</f>
        <v>0.73324999999999996</v>
      </c>
      <c r="R499" t="s">
        <v>1040</v>
      </c>
      <c r="S499" t="s">
        <v>1239</v>
      </c>
      <c r="T499" t="str">
        <f>PROPER(SalesData[[#This Row],[Customer Name]])</f>
        <v>Ethan Rodriguez</v>
      </c>
      <c r="U499" t="s">
        <v>1414</v>
      </c>
      <c r="V499" t="s">
        <v>1427</v>
      </c>
    </row>
    <row r="500" spans="1:22" x14ac:dyDescent="0.25">
      <c r="A500" t="s">
        <v>1926</v>
      </c>
      <c r="B500" s="5">
        <v>45466</v>
      </c>
      <c r="C500" s="2" t="str">
        <f>TEXT(SalesData[[#This Row],[Order Date]],"mmm")</f>
        <v>Jun</v>
      </c>
      <c r="D500" s="7">
        <f>MONTH(SalesData[[#This Row],[Order Date]])</f>
        <v>6</v>
      </c>
      <c r="E500" s="7">
        <f>YEAR(SalesData[[#This Row],[Order Date]])</f>
        <v>2024</v>
      </c>
      <c r="F500" t="s">
        <v>945</v>
      </c>
      <c r="G500" t="str">
        <f>PROPER(SalesData[[#This Row],[Product Name]])</f>
        <v>Solar Led Lantern</v>
      </c>
      <c r="H500" t="s">
        <v>1012</v>
      </c>
      <c r="I500" t="str">
        <f>UPPER(SalesData[[#This Row],[Product Category]])</f>
        <v>LIGHTING</v>
      </c>
      <c r="J500">
        <v>3</v>
      </c>
      <c r="K500">
        <v>40</v>
      </c>
      <c r="L500" s="15">
        <f>IF(SalesData[[#This Row],[Unit Price]]="",
    AVERAGEIFS(SalesData[Unit Price],
               SalesData[Product Name],SalesData[[#This Row],[Product Name]]),
    SalesData[[#This Row],[Unit Price]])</f>
        <v>40</v>
      </c>
      <c r="M500" s="15">
        <v>9.52</v>
      </c>
      <c r="N500" s="15">
        <f>SalesData[[#This Row],[Quantity Sold]] * SalesData[[#This Row],[Cleaned Unit Price]]</f>
        <v>120</v>
      </c>
      <c r="O500" s="15">
        <f>SalesData[[#This Row],[Quantity Sold]] * SalesData[[#This Row],[Unit Cost]]</f>
        <v>28.56</v>
      </c>
      <c r="P500" s="15">
        <f>SalesData[[#This Row],[Revenue]] - SalesData[[#This Row],[Cost]]</f>
        <v>91.44</v>
      </c>
      <c r="Q500" s="13">
        <f>IF(SalesData[[#This Row],[Revenue]]=0,0,SalesData[[#This Row],[Profit]]/SalesData[[#This Row],[Revenue]])</f>
        <v>0.76200000000000001</v>
      </c>
      <c r="R500" t="s">
        <v>1048</v>
      </c>
      <c r="S500" t="s">
        <v>1247</v>
      </c>
      <c r="T500" t="str">
        <f>PROPER(SalesData[[#This Row],[Customer Name]])</f>
        <v>Mason Davis</v>
      </c>
      <c r="U500" t="s">
        <v>1414</v>
      </c>
      <c r="V500" t="s">
        <v>1425</v>
      </c>
    </row>
    <row r="501" spans="1:22" x14ac:dyDescent="0.25">
      <c r="A501" t="s">
        <v>1927</v>
      </c>
      <c r="B501" s="5">
        <v>45466</v>
      </c>
      <c r="C501" s="2" t="str">
        <f>TEXT(SalesData[[#This Row],[Order Date]],"mmm")</f>
        <v>Jun</v>
      </c>
      <c r="D501" s="7">
        <f>MONTH(SalesData[[#This Row],[Order Date]])</f>
        <v>6</v>
      </c>
      <c r="E501" s="7">
        <f>YEAR(SalesData[[#This Row],[Order Date]])</f>
        <v>2024</v>
      </c>
      <c r="F501" t="s">
        <v>988</v>
      </c>
      <c r="G501" t="str">
        <f>PROPER(SalesData[[#This Row],[Product Name]])</f>
        <v>Solar Led Lantern</v>
      </c>
      <c r="H501" t="s">
        <v>1012</v>
      </c>
      <c r="I501" t="str">
        <f>UPPER(SalesData[[#This Row],[Product Category]])</f>
        <v>LIGHTING</v>
      </c>
      <c r="J501">
        <v>8</v>
      </c>
      <c r="K501">
        <v>40</v>
      </c>
      <c r="L501" s="15">
        <f>IF(SalesData[[#This Row],[Unit Price]]="",
    AVERAGEIFS(SalesData[Unit Price],
               SalesData[Product Name],SalesData[[#This Row],[Product Name]]),
    SalesData[[#This Row],[Unit Price]])</f>
        <v>40</v>
      </c>
      <c r="M501" s="15">
        <v>13.53</v>
      </c>
      <c r="N501" s="15">
        <f>SalesData[[#This Row],[Quantity Sold]] * SalesData[[#This Row],[Cleaned Unit Price]]</f>
        <v>320</v>
      </c>
      <c r="O501" s="15">
        <f>SalesData[[#This Row],[Quantity Sold]] * SalesData[[#This Row],[Unit Cost]]</f>
        <v>108.24</v>
      </c>
      <c r="P501" s="15">
        <f>SalesData[[#This Row],[Revenue]] - SalesData[[#This Row],[Cost]]</f>
        <v>211.76</v>
      </c>
      <c r="Q501" s="13">
        <f>IF(SalesData[[#This Row],[Revenue]]=0,0,SalesData[[#This Row],[Profit]]/SalesData[[#This Row],[Revenue]])</f>
        <v>0.66174999999999995</v>
      </c>
      <c r="R501" t="s">
        <v>1116</v>
      </c>
      <c r="S501" t="s">
        <v>1315</v>
      </c>
      <c r="T501" t="str">
        <f>PROPER(SalesData[[#This Row],[Customer Name]])</f>
        <v>Evelyn Martinez</v>
      </c>
      <c r="U501" t="s">
        <v>1414</v>
      </c>
      <c r="V501" t="s">
        <v>1424</v>
      </c>
    </row>
    <row r="502" spans="1:22" x14ac:dyDescent="0.25">
      <c r="A502" t="s">
        <v>1928</v>
      </c>
      <c r="B502" s="5">
        <v>45467</v>
      </c>
      <c r="C502" s="2" t="str">
        <f>TEXT(SalesData[[#This Row],[Order Date]],"mmm")</f>
        <v>Jun</v>
      </c>
      <c r="D502" s="7">
        <f>MONTH(SalesData[[#This Row],[Order Date]])</f>
        <v>6</v>
      </c>
      <c r="E502" s="7">
        <f>YEAR(SalesData[[#This Row],[Order Date]])</f>
        <v>2024</v>
      </c>
      <c r="F502" t="s">
        <v>27</v>
      </c>
      <c r="G502" t="str">
        <f>PROPER(SalesData[[#This Row],[Product Name]])</f>
        <v>Solar Led Lantern</v>
      </c>
      <c r="H502" t="s">
        <v>1012</v>
      </c>
      <c r="I502" t="str">
        <f>UPPER(SalesData[[#This Row],[Product Category]])</f>
        <v>LIGHTING</v>
      </c>
      <c r="J502">
        <v>2</v>
      </c>
      <c r="K502">
        <v>40</v>
      </c>
      <c r="L502" s="15">
        <f>IF(SalesData[[#This Row],[Unit Price]]="",
    AVERAGEIFS(SalesData[Unit Price],
               SalesData[Product Name],SalesData[[#This Row],[Product Name]]),
    SalesData[[#This Row],[Unit Price]])</f>
        <v>40</v>
      </c>
      <c r="M502" s="15">
        <v>11.47</v>
      </c>
      <c r="N502" s="15">
        <f>SalesData[[#This Row],[Quantity Sold]] * SalesData[[#This Row],[Cleaned Unit Price]]</f>
        <v>80</v>
      </c>
      <c r="O502" s="15">
        <f>SalesData[[#This Row],[Quantity Sold]] * SalesData[[#This Row],[Unit Cost]]</f>
        <v>22.94</v>
      </c>
      <c r="P502" s="15">
        <f>SalesData[[#This Row],[Revenue]] - SalesData[[#This Row],[Cost]]</f>
        <v>57.06</v>
      </c>
      <c r="Q502" s="13">
        <f>IF(SalesData[[#This Row],[Revenue]]=0,0,SalesData[[#This Row],[Profit]]/SalesData[[#This Row],[Revenue]])</f>
        <v>0.71325000000000005</v>
      </c>
      <c r="R502" t="s">
        <v>1030</v>
      </c>
      <c r="S502" t="s">
        <v>1229</v>
      </c>
      <c r="T502" t="str">
        <f>PROPER(SalesData[[#This Row],[Customer Name]])</f>
        <v>Olivia Garcia</v>
      </c>
      <c r="U502" t="s">
        <v>1414</v>
      </c>
      <c r="V502" t="s">
        <v>1426</v>
      </c>
    </row>
    <row r="503" spans="1:22" x14ac:dyDescent="0.25">
      <c r="A503" t="s">
        <v>1929</v>
      </c>
      <c r="B503" s="5">
        <v>45467</v>
      </c>
      <c r="C503" s="2" t="str">
        <f>TEXT(SalesData[[#This Row],[Order Date]],"mmm")</f>
        <v>Jun</v>
      </c>
      <c r="D503" s="7">
        <f>MONTH(SalesData[[#This Row],[Order Date]])</f>
        <v>6</v>
      </c>
      <c r="E503" s="7">
        <f>YEAR(SalesData[[#This Row],[Order Date]])</f>
        <v>2024</v>
      </c>
      <c r="F503" t="s">
        <v>706</v>
      </c>
      <c r="G503" t="str">
        <f>PROPER(SalesData[[#This Row],[Product Name]])</f>
        <v>Eco Canvas Tote Bag</v>
      </c>
      <c r="H503" t="s">
        <v>1013</v>
      </c>
      <c r="I503" t="str">
        <f>UPPER(SalesData[[#This Row],[Product Category]])</f>
        <v>BAGS</v>
      </c>
      <c r="J503">
        <v>4</v>
      </c>
      <c r="K503">
        <v>25</v>
      </c>
      <c r="L503" s="15">
        <f>IF(SalesData[[#This Row],[Unit Price]]="",
    AVERAGEIFS(SalesData[Unit Price],
               SalesData[Product Name],SalesData[[#This Row],[Product Name]]),
    SalesData[[#This Row],[Unit Price]])</f>
        <v>25</v>
      </c>
      <c r="M503" s="15">
        <v>6.06</v>
      </c>
      <c r="N503" s="15">
        <f>SalesData[[#This Row],[Quantity Sold]] * SalesData[[#This Row],[Cleaned Unit Price]]</f>
        <v>100</v>
      </c>
      <c r="O503" s="15">
        <f>SalesData[[#This Row],[Quantity Sold]] * SalesData[[#This Row],[Unit Cost]]</f>
        <v>24.24</v>
      </c>
      <c r="P503" s="15">
        <f>SalesData[[#This Row],[Revenue]] - SalesData[[#This Row],[Cost]]</f>
        <v>75.760000000000005</v>
      </c>
      <c r="Q503" s="13">
        <f>IF(SalesData[[#This Row],[Revenue]]=0,0,SalesData[[#This Row],[Profit]]/SalesData[[#This Row],[Revenue]])</f>
        <v>0.75760000000000005</v>
      </c>
      <c r="R503" t="s">
        <v>1083</v>
      </c>
      <c r="S503" t="s">
        <v>1282</v>
      </c>
      <c r="T503" t="str">
        <f>PROPER(SalesData[[#This Row],[Customer Name]])</f>
        <v>Mason Davis</v>
      </c>
      <c r="U503" t="s">
        <v>1416</v>
      </c>
      <c r="V503" t="s">
        <v>1421</v>
      </c>
    </row>
    <row r="504" spans="1:22" x14ac:dyDescent="0.25">
      <c r="A504" t="s">
        <v>1930</v>
      </c>
      <c r="B504" s="5">
        <v>45468</v>
      </c>
      <c r="C504" s="2" t="str">
        <f>TEXT(SalesData[[#This Row],[Order Date]],"mmm")</f>
        <v>Jun</v>
      </c>
      <c r="D504" s="7">
        <f>MONTH(SalesData[[#This Row],[Order Date]])</f>
        <v>6</v>
      </c>
      <c r="E504" s="7">
        <f>YEAR(SalesData[[#This Row],[Order Date]])</f>
        <v>2024</v>
      </c>
      <c r="F504" t="s">
        <v>97</v>
      </c>
      <c r="G504" t="str">
        <f>PROPER(SalesData[[#This Row],[Product Name]])</f>
        <v>Reusable Bamboo Utensil Set</v>
      </c>
      <c r="H504" t="s">
        <v>1014</v>
      </c>
      <c r="I504" t="str">
        <f>UPPER(SalesData[[#This Row],[Product Category]])</f>
        <v>KITCHENWARE</v>
      </c>
      <c r="J504">
        <v>5</v>
      </c>
      <c r="K504">
        <v>15</v>
      </c>
      <c r="L504" s="15">
        <f>IF(SalesData[[#This Row],[Unit Price]]="",
    AVERAGEIFS(SalesData[Unit Price],
               SalesData[Product Name],SalesData[[#This Row],[Product Name]]),
    SalesData[[#This Row],[Unit Price]])</f>
        <v>15</v>
      </c>
      <c r="M504" s="15">
        <v>3.29</v>
      </c>
      <c r="N504" s="15">
        <f>SalesData[[#This Row],[Quantity Sold]] * SalesData[[#This Row],[Cleaned Unit Price]]</f>
        <v>75</v>
      </c>
      <c r="O504" s="15">
        <f>SalesData[[#This Row],[Quantity Sold]] * SalesData[[#This Row],[Unit Cost]]</f>
        <v>16.45</v>
      </c>
      <c r="P504" s="15">
        <f>SalesData[[#This Row],[Revenue]] - SalesData[[#This Row],[Cost]]</f>
        <v>58.55</v>
      </c>
      <c r="Q504" s="13">
        <f>IF(SalesData[[#This Row],[Revenue]]=0,0,SalesData[[#This Row],[Profit]]/SalesData[[#This Row],[Revenue]])</f>
        <v>0.78066666666666662</v>
      </c>
      <c r="R504" t="s">
        <v>1082</v>
      </c>
      <c r="S504" t="s">
        <v>1281</v>
      </c>
      <c r="T504" t="str">
        <f>PROPER(SalesData[[#This Row],[Customer Name]])</f>
        <v>Mia Brown</v>
      </c>
      <c r="U504" t="s">
        <v>1414</v>
      </c>
      <c r="V504" t="s">
        <v>1426</v>
      </c>
    </row>
    <row r="505" spans="1:22" x14ac:dyDescent="0.25">
      <c r="A505" t="s">
        <v>1931</v>
      </c>
      <c r="B505" s="5">
        <v>45468</v>
      </c>
      <c r="C505" s="2" t="str">
        <f>TEXT(SalesData[[#This Row],[Order Date]],"mmm")</f>
        <v>Jun</v>
      </c>
      <c r="D505" s="7">
        <f>MONTH(SalesData[[#This Row],[Order Date]])</f>
        <v>6</v>
      </c>
      <c r="E505" s="7">
        <f>YEAR(SalesData[[#This Row],[Order Date]])</f>
        <v>2024</v>
      </c>
      <c r="F505" t="s">
        <v>557</v>
      </c>
      <c r="G505" t="str">
        <f>PROPER(SalesData[[#This Row],[Product Name]])</f>
        <v>Compostable Plant Pots</v>
      </c>
      <c r="H505" t="s">
        <v>1011</v>
      </c>
      <c r="I505" t="str">
        <f>UPPER(SalesData[[#This Row],[Product Category]])</f>
        <v>GARDENING</v>
      </c>
      <c r="J505">
        <v>9</v>
      </c>
      <c r="K505">
        <v>12</v>
      </c>
      <c r="L505" s="15">
        <f>IF(SalesData[[#This Row],[Unit Price]]="",
    AVERAGEIFS(SalesData[Unit Price],
               SalesData[Product Name],SalesData[[#This Row],[Product Name]]),
    SalesData[[#This Row],[Unit Price]])</f>
        <v>12</v>
      </c>
      <c r="M505" s="15">
        <v>4.29</v>
      </c>
      <c r="N505" s="15">
        <f>SalesData[[#This Row],[Quantity Sold]] * SalesData[[#This Row],[Cleaned Unit Price]]</f>
        <v>108</v>
      </c>
      <c r="O505" s="15">
        <f>SalesData[[#This Row],[Quantity Sold]] * SalesData[[#This Row],[Unit Cost]]</f>
        <v>38.61</v>
      </c>
      <c r="P505" s="15">
        <f>SalesData[[#This Row],[Revenue]] - SalesData[[#This Row],[Cost]]</f>
        <v>69.39</v>
      </c>
      <c r="Q505" s="13">
        <f>IF(SalesData[[#This Row],[Revenue]]=0,0,SalesData[[#This Row],[Profit]]/SalesData[[#This Row],[Revenue]])</f>
        <v>0.64249999999999996</v>
      </c>
      <c r="R505" t="s">
        <v>1054</v>
      </c>
      <c r="S505" t="s">
        <v>1253</v>
      </c>
      <c r="T505" t="str">
        <f>PROPER(SalesData[[#This Row],[Customer Name]])</f>
        <v>Ethan Johnson</v>
      </c>
      <c r="U505" t="s">
        <v>1414</v>
      </c>
      <c r="V505" t="s">
        <v>1420</v>
      </c>
    </row>
    <row r="506" spans="1:22" x14ac:dyDescent="0.25">
      <c r="A506" t="s">
        <v>1932</v>
      </c>
      <c r="B506" s="5">
        <v>45468</v>
      </c>
      <c r="C506" s="2" t="str">
        <f>TEXT(SalesData[[#This Row],[Order Date]],"mmm")</f>
        <v>Jun</v>
      </c>
      <c r="D506" s="7">
        <f>MONTH(SalesData[[#This Row],[Order Date]])</f>
        <v>6</v>
      </c>
      <c r="E506" s="7">
        <f>YEAR(SalesData[[#This Row],[Order Date]])</f>
        <v>2024</v>
      </c>
      <c r="F506" t="s">
        <v>858</v>
      </c>
      <c r="G506" t="str">
        <f>PROPER(SalesData[[#This Row],[Product Name]])</f>
        <v>Compostable Plant Pots</v>
      </c>
      <c r="H506" t="s">
        <v>1011</v>
      </c>
      <c r="I506" t="str">
        <f>UPPER(SalesData[[#This Row],[Product Category]])</f>
        <v>GARDENING</v>
      </c>
      <c r="J506">
        <v>4</v>
      </c>
      <c r="K506">
        <v>12</v>
      </c>
      <c r="L506" s="15">
        <f>IF(SalesData[[#This Row],[Unit Price]]="",
    AVERAGEIFS(SalesData[Unit Price],
               SalesData[Product Name],SalesData[[#This Row],[Product Name]]),
    SalesData[[#This Row],[Unit Price]])</f>
        <v>12</v>
      </c>
      <c r="M506" s="15">
        <v>3.42</v>
      </c>
      <c r="N506" s="15">
        <f>SalesData[[#This Row],[Quantity Sold]] * SalesData[[#This Row],[Cleaned Unit Price]]</f>
        <v>48</v>
      </c>
      <c r="O506" s="15">
        <f>SalesData[[#This Row],[Quantity Sold]] * SalesData[[#This Row],[Unit Cost]]</f>
        <v>13.68</v>
      </c>
      <c r="P506" s="15">
        <f>SalesData[[#This Row],[Revenue]] - SalesData[[#This Row],[Cost]]</f>
        <v>34.32</v>
      </c>
      <c r="Q506" s="13">
        <f>IF(SalesData[[#This Row],[Revenue]]=0,0,SalesData[[#This Row],[Profit]]/SalesData[[#This Row],[Revenue]])</f>
        <v>0.71499999999999997</v>
      </c>
      <c r="R506" t="s">
        <v>1119</v>
      </c>
      <c r="S506" t="s">
        <v>1318</v>
      </c>
      <c r="T506" t="str">
        <f>PROPER(SalesData[[#This Row],[Customer Name]])</f>
        <v>Aiden Williams</v>
      </c>
      <c r="U506" t="s">
        <v>1414</v>
      </c>
      <c r="V506" t="s">
        <v>1426</v>
      </c>
    </row>
    <row r="507" spans="1:22" x14ac:dyDescent="0.25">
      <c r="A507" t="s">
        <v>1933</v>
      </c>
      <c r="B507" s="5">
        <v>45469</v>
      </c>
      <c r="C507" s="2" t="str">
        <f>TEXT(SalesData[[#This Row],[Order Date]],"mmm")</f>
        <v>Jun</v>
      </c>
      <c r="D507" s="7">
        <f>MONTH(SalesData[[#This Row],[Order Date]])</f>
        <v>6</v>
      </c>
      <c r="E507" s="7">
        <f>YEAR(SalesData[[#This Row],[Order Date]])</f>
        <v>2024</v>
      </c>
      <c r="F507" t="s">
        <v>129</v>
      </c>
      <c r="G507" t="str">
        <f>PROPER(SalesData[[#This Row],[Product Name]])</f>
        <v>Reusable Bamboo Utensil Set</v>
      </c>
      <c r="H507" t="s">
        <v>1014</v>
      </c>
      <c r="I507" t="str">
        <f>UPPER(SalesData[[#This Row],[Product Category]])</f>
        <v>KITCHENWARE</v>
      </c>
      <c r="J507">
        <v>6</v>
      </c>
      <c r="K507">
        <v>15</v>
      </c>
      <c r="L507" s="15">
        <f>IF(SalesData[[#This Row],[Unit Price]]="",
    AVERAGEIFS(SalesData[Unit Price],
               SalesData[Product Name],SalesData[[#This Row],[Product Name]]),
    SalesData[[#This Row],[Unit Price]])</f>
        <v>15</v>
      </c>
      <c r="M507" s="15">
        <v>5.73</v>
      </c>
      <c r="N507" s="15">
        <f>SalesData[[#This Row],[Quantity Sold]] * SalesData[[#This Row],[Cleaned Unit Price]]</f>
        <v>90</v>
      </c>
      <c r="O507" s="15">
        <f>SalesData[[#This Row],[Quantity Sold]] * SalesData[[#This Row],[Unit Cost]]</f>
        <v>34.380000000000003</v>
      </c>
      <c r="P507" s="15">
        <f>SalesData[[#This Row],[Revenue]] - SalesData[[#This Row],[Cost]]</f>
        <v>55.62</v>
      </c>
      <c r="Q507" s="13">
        <f>IF(SalesData[[#This Row],[Revenue]]=0,0,SalesData[[#This Row],[Profit]]/SalesData[[#This Row],[Revenue]])</f>
        <v>0.61799999999999999</v>
      </c>
      <c r="R507" t="s">
        <v>1106</v>
      </c>
      <c r="S507" t="s">
        <v>1305</v>
      </c>
      <c r="T507" t="str">
        <f>PROPER(SalesData[[#This Row],[Customer Name]])</f>
        <v>Aiden Smith</v>
      </c>
      <c r="U507" t="s">
        <v>1416</v>
      </c>
      <c r="V507" t="s">
        <v>1422</v>
      </c>
    </row>
    <row r="508" spans="1:22" x14ac:dyDescent="0.25">
      <c r="A508" t="s">
        <v>1934</v>
      </c>
      <c r="B508" s="5">
        <v>45470</v>
      </c>
      <c r="C508" s="2" t="str">
        <f>TEXT(SalesData[[#This Row],[Order Date]],"mmm")</f>
        <v>Jun</v>
      </c>
      <c r="D508" s="7">
        <f>MONTH(SalesData[[#This Row],[Order Date]])</f>
        <v>6</v>
      </c>
      <c r="E508" s="7">
        <f>YEAR(SalesData[[#This Row],[Order Date]])</f>
        <v>2024</v>
      </c>
      <c r="F508" t="s">
        <v>185</v>
      </c>
      <c r="G508" t="str">
        <f>PROPER(SalesData[[#This Row],[Product Name]])</f>
        <v>Compostable Plant Pots</v>
      </c>
      <c r="H508" t="s">
        <v>1011</v>
      </c>
      <c r="I508" t="str">
        <f>UPPER(SalesData[[#This Row],[Product Category]])</f>
        <v>GARDENING</v>
      </c>
      <c r="J508">
        <v>7</v>
      </c>
      <c r="K508">
        <v>12</v>
      </c>
      <c r="L508" s="15">
        <f>IF(SalesData[[#This Row],[Unit Price]]="",
    AVERAGEIFS(SalesData[Unit Price],
               SalesData[Product Name],SalesData[[#This Row],[Product Name]]),
    SalesData[[#This Row],[Unit Price]])</f>
        <v>12</v>
      </c>
      <c r="M508" s="15">
        <v>4.74</v>
      </c>
      <c r="N508" s="15">
        <f>SalesData[[#This Row],[Quantity Sold]] * SalesData[[#This Row],[Cleaned Unit Price]]</f>
        <v>84</v>
      </c>
      <c r="O508" s="15">
        <f>SalesData[[#This Row],[Quantity Sold]] * SalesData[[#This Row],[Unit Cost]]</f>
        <v>33.18</v>
      </c>
      <c r="P508" s="15">
        <f>SalesData[[#This Row],[Revenue]] - SalesData[[#This Row],[Cost]]</f>
        <v>50.82</v>
      </c>
      <c r="Q508" s="13">
        <f>IF(SalesData[[#This Row],[Revenue]]=0,0,SalesData[[#This Row],[Profit]]/SalesData[[#This Row],[Revenue]])</f>
        <v>0.60499999999999998</v>
      </c>
      <c r="R508" t="s">
        <v>1132</v>
      </c>
      <c r="S508" t="s">
        <v>1331</v>
      </c>
      <c r="T508" t="str">
        <f>PROPER(SalesData[[#This Row],[Customer Name]])</f>
        <v>Isabella Rodriguez</v>
      </c>
      <c r="U508" t="s">
        <v>1414</v>
      </c>
      <c r="V508" t="s">
        <v>1419</v>
      </c>
    </row>
    <row r="509" spans="1:22" x14ac:dyDescent="0.25">
      <c r="A509" t="s">
        <v>1935</v>
      </c>
      <c r="B509" s="5">
        <v>45470</v>
      </c>
      <c r="C509" s="2" t="str">
        <f>TEXT(SalesData[[#This Row],[Order Date]],"mmm")</f>
        <v>Jun</v>
      </c>
      <c r="D509" s="7">
        <f>MONTH(SalesData[[#This Row],[Order Date]])</f>
        <v>6</v>
      </c>
      <c r="E509" s="7">
        <f>YEAR(SalesData[[#This Row],[Order Date]])</f>
        <v>2024</v>
      </c>
      <c r="F509" t="s">
        <v>543</v>
      </c>
      <c r="G509" t="str">
        <f>PROPER(SalesData[[#This Row],[Product Name]])</f>
        <v>Compostable Plant Pots</v>
      </c>
      <c r="H509" t="s">
        <v>1011</v>
      </c>
      <c r="I509" t="str">
        <f>UPPER(SalesData[[#This Row],[Product Category]])</f>
        <v>GARDENING</v>
      </c>
      <c r="J509">
        <v>3</v>
      </c>
      <c r="K509">
        <v>12</v>
      </c>
      <c r="L509" s="15">
        <f>IF(SalesData[[#This Row],[Unit Price]]="",
    AVERAGEIFS(SalesData[Unit Price],
               SalesData[Product Name],SalesData[[#This Row],[Product Name]]),
    SalesData[[#This Row],[Unit Price]])</f>
        <v>12</v>
      </c>
      <c r="M509" s="15">
        <v>2.81</v>
      </c>
      <c r="N509" s="15">
        <f>SalesData[[#This Row],[Quantity Sold]] * SalesData[[#This Row],[Cleaned Unit Price]]</f>
        <v>36</v>
      </c>
      <c r="O509" s="15">
        <f>SalesData[[#This Row],[Quantity Sold]] * SalesData[[#This Row],[Unit Cost]]</f>
        <v>8.43</v>
      </c>
      <c r="P509" s="15">
        <f>SalesData[[#This Row],[Revenue]] - SalesData[[#This Row],[Cost]]</f>
        <v>27.57</v>
      </c>
      <c r="Q509" s="13">
        <f>IF(SalesData[[#This Row],[Revenue]]=0,0,SalesData[[#This Row],[Profit]]/SalesData[[#This Row],[Revenue]])</f>
        <v>0.76583333333333337</v>
      </c>
      <c r="R509" t="s">
        <v>1185</v>
      </c>
      <c r="S509" t="s">
        <v>1384</v>
      </c>
      <c r="T509" t="str">
        <f>PROPER(SalesData[[#This Row],[Customer Name]])</f>
        <v>Lucas Garcia</v>
      </c>
      <c r="U509" t="s">
        <v>1414</v>
      </c>
      <c r="V509" t="s">
        <v>1424</v>
      </c>
    </row>
    <row r="510" spans="1:22" x14ac:dyDescent="0.25">
      <c r="A510" t="s">
        <v>1936</v>
      </c>
      <c r="B510" s="5">
        <v>45470</v>
      </c>
      <c r="C510" s="2" t="str">
        <f>TEXT(SalesData[[#This Row],[Order Date]],"mmm")</f>
        <v>Jun</v>
      </c>
      <c r="D510" s="7">
        <f>MONTH(SalesData[[#This Row],[Order Date]])</f>
        <v>6</v>
      </c>
      <c r="E510" s="7">
        <f>YEAR(SalesData[[#This Row],[Order Date]])</f>
        <v>2024</v>
      </c>
      <c r="F510" t="s">
        <v>649</v>
      </c>
      <c r="G510" t="str">
        <f>PROPER(SalesData[[#This Row],[Product Name]])</f>
        <v>Solar Led Lantern</v>
      </c>
      <c r="H510" t="s">
        <v>1012</v>
      </c>
      <c r="I510" t="str">
        <f>UPPER(SalesData[[#This Row],[Product Category]])</f>
        <v>LIGHTING</v>
      </c>
      <c r="J510">
        <v>6</v>
      </c>
      <c r="K510">
        <v>40</v>
      </c>
      <c r="L510" s="15">
        <f>IF(SalesData[[#This Row],[Unit Price]]="",
    AVERAGEIFS(SalesData[Unit Price],
               SalesData[Product Name],SalesData[[#This Row],[Product Name]]),
    SalesData[[#This Row],[Unit Price]])</f>
        <v>40</v>
      </c>
      <c r="M510" s="15">
        <v>12.24</v>
      </c>
      <c r="N510" s="15">
        <f>SalesData[[#This Row],[Quantity Sold]] * SalesData[[#This Row],[Cleaned Unit Price]]</f>
        <v>240</v>
      </c>
      <c r="O510" s="15">
        <f>SalesData[[#This Row],[Quantity Sold]] * SalesData[[#This Row],[Unit Cost]]</f>
        <v>73.44</v>
      </c>
      <c r="P510" s="15">
        <f>SalesData[[#This Row],[Revenue]] - SalesData[[#This Row],[Cost]]</f>
        <v>166.56</v>
      </c>
      <c r="Q510" s="13">
        <f>IF(SalesData[[#This Row],[Revenue]]=0,0,SalesData[[#This Row],[Profit]]/SalesData[[#This Row],[Revenue]])</f>
        <v>0.69400000000000006</v>
      </c>
      <c r="R510" t="s">
        <v>1104</v>
      </c>
      <c r="S510" t="s">
        <v>1303</v>
      </c>
      <c r="T510" t="str">
        <f>PROPER(SalesData[[#This Row],[Customer Name]])</f>
        <v>Harper Brown</v>
      </c>
      <c r="U510" t="s">
        <v>1414</v>
      </c>
      <c r="V510" t="s">
        <v>1425</v>
      </c>
    </row>
    <row r="511" spans="1:22" x14ac:dyDescent="0.25">
      <c r="A511" t="s">
        <v>1937</v>
      </c>
      <c r="B511" s="5">
        <v>45472</v>
      </c>
      <c r="C511" s="2" t="str">
        <f>TEXT(SalesData[[#This Row],[Order Date]],"mmm")</f>
        <v>Jun</v>
      </c>
      <c r="D511" s="7">
        <f>MONTH(SalesData[[#This Row],[Order Date]])</f>
        <v>6</v>
      </c>
      <c r="E511" s="7">
        <f>YEAR(SalesData[[#This Row],[Order Date]])</f>
        <v>2024</v>
      </c>
      <c r="F511" t="s">
        <v>634</v>
      </c>
      <c r="G511" t="str">
        <f>PROPER(SalesData[[#This Row],[Product Name]])</f>
        <v>Compostable Plant Pots</v>
      </c>
      <c r="H511" t="s">
        <v>1011</v>
      </c>
      <c r="I511" t="str">
        <f>UPPER(SalesData[[#This Row],[Product Category]])</f>
        <v>GARDENING</v>
      </c>
      <c r="J511">
        <v>10</v>
      </c>
      <c r="K511">
        <v>12</v>
      </c>
      <c r="L511" s="15">
        <f>IF(SalesData[[#This Row],[Unit Price]]="",
    AVERAGEIFS(SalesData[Unit Price],
               SalesData[Product Name],SalesData[[#This Row],[Product Name]]),
    SalesData[[#This Row],[Unit Price]])</f>
        <v>12</v>
      </c>
      <c r="M511" s="15">
        <v>4.72</v>
      </c>
      <c r="N511" s="15">
        <f>SalesData[[#This Row],[Quantity Sold]] * SalesData[[#This Row],[Cleaned Unit Price]]</f>
        <v>120</v>
      </c>
      <c r="O511" s="15">
        <f>SalesData[[#This Row],[Quantity Sold]] * SalesData[[#This Row],[Unit Cost]]</f>
        <v>47.199999999999996</v>
      </c>
      <c r="P511" s="15">
        <f>SalesData[[#This Row],[Revenue]] - SalesData[[#This Row],[Cost]]</f>
        <v>72.800000000000011</v>
      </c>
      <c r="Q511" s="13">
        <f>IF(SalesData[[#This Row],[Revenue]]=0,0,SalesData[[#This Row],[Profit]]/SalesData[[#This Row],[Revenue]])</f>
        <v>0.6066666666666668</v>
      </c>
      <c r="R511" t="s">
        <v>1150</v>
      </c>
      <c r="S511" t="s">
        <v>1349</v>
      </c>
      <c r="T511" t="str">
        <f>PROPER(SalesData[[#This Row],[Customer Name]])</f>
        <v>Mia Davis</v>
      </c>
      <c r="U511" t="s">
        <v>1414</v>
      </c>
      <c r="V511" t="s">
        <v>1424</v>
      </c>
    </row>
    <row r="512" spans="1:22" x14ac:dyDescent="0.25">
      <c r="A512" t="s">
        <v>1938</v>
      </c>
      <c r="B512" s="5">
        <v>45473</v>
      </c>
      <c r="C512" s="2" t="str">
        <f>TEXT(SalesData[[#This Row],[Order Date]],"mmm")</f>
        <v>Jun</v>
      </c>
      <c r="D512" s="7">
        <f>MONTH(SalesData[[#This Row],[Order Date]])</f>
        <v>6</v>
      </c>
      <c r="E512" s="7">
        <f>YEAR(SalesData[[#This Row],[Order Date]])</f>
        <v>2024</v>
      </c>
      <c r="F512" t="s">
        <v>227</v>
      </c>
      <c r="G512" t="str">
        <f>PROPER(SalesData[[#This Row],[Product Name]])</f>
        <v>Compostable Plant Pots</v>
      </c>
      <c r="H512" t="s">
        <v>1011</v>
      </c>
      <c r="I512" t="str">
        <f>UPPER(SalesData[[#This Row],[Product Category]])</f>
        <v>GARDENING</v>
      </c>
      <c r="J512">
        <v>4</v>
      </c>
      <c r="K512">
        <v>12</v>
      </c>
      <c r="L512" s="15">
        <f>IF(SalesData[[#This Row],[Unit Price]]="",
    AVERAGEIFS(SalesData[Unit Price],
               SalesData[Product Name],SalesData[[#This Row],[Product Name]]),
    SalesData[[#This Row],[Unit Price]])</f>
        <v>12</v>
      </c>
      <c r="M512" s="15">
        <v>2.85</v>
      </c>
      <c r="N512" s="15">
        <f>SalesData[[#This Row],[Quantity Sold]] * SalesData[[#This Row],[Cleaned Unit Price]]</f>
        <v>48</v>
      </c>
      <c r="O512" s="15">
        <f>SalesData[[#This Row],[Quantity Sold]] * SalesData[[#This Row],[Unit Cost]]</f>
        <v>11.4</v>
      </c>
      <c r="P512" s="15">
        <f>SalesData[[#This Row],[Revenue]] - SalesData[[#This Row],[Cost]]</f>
        <v>36.6</v>
      </c>
      <c r="Q512" s="13">
        <f>IF(SalesData[[#This Row],[Revenue]]=0,0,SalesData[[#This Row],[Profit]]/SalesData[[#This Row],[Revenue]])</f>
        <v>0.76250000000000007</v>
      </c>
      <c r="R512" t="s">
        <v>1148</v>
      </c>
      <c r="S512" t="s">
        <v>1347</v>
      </c>
      <c r="T512" t="str">
        <f>PROPER(SalesData[[#This Row],[Customer Name]])</f>
        <v>Olivia Miller</v>
      </c>
      <c r="U512" t="s">
        <v>1414</v>
      </c>
      <c r="V512" t="s">
        <v>1424</v>
      </c>
    </row>
    <row r="513" spans="1:22" x14ac:dyDescent="0.25">
      <c r="A513" t="s">
        <v>1939</v>
      </c>
      <c r="B513" s="5">
        <v>45473</v>
      </c>
      <c r="C513" s="2" t="str">
        <f>TEXT(SalesData[[#This Row],[Order Date]],"mmm")</f>
        <v>Jun</v>
      </c>
      <c r="D513" s="7">
        <f>MONTH(SalesData[[#This Row],[Order Date]])</f>
        <v>6</v>
      </c>
      <c r="E513" s="7">
        <f>YEAR(SalesData[[#This Row],[Order Date]])</f>
        <v>2024</v>
      </c>
      <c r="F513" t="s">
        <v>316</v>
      </c>
      <c r="G513" t="str">
        <f>PROPER(SalesData[[#This Row],[Product Name]])</f>
        <v>Reusable Bamboo Utensil Set</v>
      </c>
      <c r="H513" t="s">
        <v>1014</v>
      </c>
      <c r="I513" t="str">
        <f>UPPER(SalesData[[#This Row],[Product Category]])</f>
        <v>KITCHENWARE</v>
      </c>
      <c r="J513">
        <v>4</v>
      </c>
      <c r="K513">
        <v>15</v>
      </c>
      <c r="L513" s="15">
        <f>IF(SalesData[[#This Row],[Unit Price]]="",
    AVERAGEIFS(SalesData[Unit Price],
               SalesData[Product Name],SalesData[[#This Row],[Product Name]]),
    SalesData[[#This Row],[Unit Price]])</f>
        <v>15</v>
      </c>
      <c r="M513" s="15">
        <v>5.4</v>
      </c>
      <c r="N513" s="15">
        <f>SalesData[[#This Row],[Quantity Sold]] * SalesData[[#This Row],[Cleaned Unit Price]]</f>
        <v>60</v>
      </c>
      <c r="O513" s="15">
        <f>SalesData[[#This Row],[Quantity Sold]] * SalesData[[#This Row],[Unit Cost]]</f>
        <v>21.6</v>
      </c>
      <c r="P513" s="15">
        <f>SalesData[[#This Row],[Revenue]] - SalesData[[#This Row],[Cost]]</f>
        <v>38.4</v>
      </c>
      <c r="Q513" s="13">
        <f>IF(SalesData[[#This Row],[Revenue]]=0,0,SalesData[[#This Row],[Profit]]/SalesData[[#This Row],[Revenue]])</f>
        <v>0.64</v>
      </c>
      <c r="R513" t="s">
        <v>1135</v>
      </c>
      <c r="S513" t="s">
        <v>1334</v>
      </c>
      <c r="T513" t="str">
        <f>PROPER(SalesData[[#This Row],[Customer Name]])</f>
        <v>Noah Rodriguez</v>
      </c>
      <c r="U513" t="s">
        <v>1414</v>
      </c>
      <c r="V513" t="s">
        <v>1418</v>
      </c>
    </row>
    <row r="514" spans="1:22" x14ac:dyDescent="0.25">
      <c r="A514" t="s">
        <v>1940</v>
      </c>
      <c r="B514" s="5">
        <v>45473</v>
      </c>
      <c r="C514" s="2" t="str">
        <f>TEXT(SalesData[[#This Row],[Order Date]],"mmm")</f>
        <v>Jun</v>
      </c>
      <c r="D514" s="7">
        <f>MONTH(SalesData[[#This Row],[Order Date]])</f>
        <v>6</v>
      </c>
      <c r="E514" s="7">
        <f>YEAR(SalesData[[#This Row],[Order Date]])</f>
        <v>2024</v>
      </c>
      <c r="F514" t="s">
        <v>916</v>
      </c>
      <c r="G514" t="str">
        <f>PROPER(SalesData[[#This Row],[Product Name]])</f>
        <v>Biodegradable Cleaning Cloth</v>
      </c>
      <c r="H514" t="s">
        <v>1015</v>
      </c>
      <c r="I514" t="str">
        <f>UPPER(SalesData[[#This Row],[Product Category]])</f>
        <v>CLEANING</v>
      </c>
      <c r="J514">
        <v>6</v>
      </c>
      <c r="K514">
        <v>10</v>
      </c>
      <c r="L514" s="15">
        <f>IF(SalesData[[#This Row],[Unit Price]]="",
    AVERAGEIFS(SalesData[Unit Price],
               SalesData[Product Name],SalesData[[#This Row],[Product Name]]),
    SalesData[[#This Row],[Unit Price]])</f>
        <v>10</v>
      </c>
      <c r="M514" s="15">
        <v>3.63</v>
      </c>
      <c r="N514" s="15">
        <f>SalesData[[#This Row],[Quantity Sold]] * SalesData[[#This Row],[Cleaned Unit Price]]</f>
        <v>60</v>
      </c>
      <c r="O514" s="15">
        <f>SalesData[[#This Row],[Quantity Sold]] * SalesData[[#This Row],[Unit Cost]]</f>
        <v>21.78</v>
      </c>
      <c r="P514" s="15">
        <f>SalesData[[#This Row],[Revenue]] - SalesData[[#This Row],[Cost]]</f>
        <v>38.22</v>
      </c>
      <c r="Q514" s="13">
        <f>IF(SalesData[[#This Row],[Revenue]]=0,0,SalesData[[#This Row],[Profit]]/SalesData[[#This Row],[Revenue]])</f>
        <v>0.63700000000000001</v>
      </c>
      <c r="R514" t="s">
        <v>1069</v>
      </c>
      <c r="S514" t="s">
        <v>1268</v>
      </c>
      <c r="T514" t="str">
        <f>PROPER(SalesData[[#This Row],[Customer Name]])</f>
        <v>Aiden Davis</v>
      </c>
      <c r="U514" t="s">
        <v>1416</v>
      </c>
      <c r="V514" t="s">
        <v>1419</v>
      </c>
    </row>
    <row r="515" spans="1:22" x14ac:dyDescent="0.25">
      <c r="A515" t="s">
        <v>1941</v>
      </c>
      <c r="B515" s="5">
        <v>45473</v>
      </c>
      <c r="C515" s="2" t="str">
        <f>TEXT(SalesData[[#This Row],[Order Date]],"mmm")</f>
        <v>Jun</v>
      </c>
      <c r="D515" s="7">
        <f>MONTH(SalesData[[#This Row],[Order Date]])</f>
        <v>6</v>
      </c>
      <c r="E515" s="7">
        <f>YEAR(SalesData[[#This Row],[Order Date]])</f>
        <v>2024</v>
      </c>
      <c r="F515" t="s">
        <v>926</v>
      </c>
      <c r="G515" t="str">
        <f>PROPER(SalesData[[#This Row],[Product Name]])</f>
        <v>Solar Led Lantern</v>
      </c>
      <c r="H515" t="s">
        <v>1012</v>
      </c>
      <c r="I515" t="str">
        <f>UPPER(SalesData[[#This Row],[Product Category]])</f>
        <v>LIGHTING</v>
      </c>
      <c r="J515">
        <v>9</v>
      </c>
      <c r="K515">
        <v>40</v>
      </c>
      <c r="L515" s="15">
        <f>IF(SalesData[[#This Row],[Unit Price]]="",
    AVERAGEIFS(SalesData[Unit Price],
               SalesData[Product Name],SalesData[[#This Row],[Product Name]]),
    SalesData[[#This Row],[Unit Price]])</f>
        <v>40</v>
      </c>
      <c r="M515" s="15">
        <v>10.5</v>
      </c>
      <c r="N515" s="15">
        <f>SalesData[[#This Row],[Quantity Sold]] * SalesData[[#This Row],[Cleaned Unit Price]]</f>
        <v>360</v>
      </c>
      <c r="O515" s="15">
        <f>SalesData[[#This Row],[Quantity Sold]] * SalesData[[#This Row],[Unit Cost]]</f>
        <v>94.5</v>
      </c>
      <c r="P515" s="15">
        <f>SalesData[[#This Row],[Revenue]] - SalesData[[#This Row],[Cost]]</f>
        <v>265.5</v>
      </c>
      <c r="Q515" s="13">
        <f>IF(SalesData[[#This Row],[Revenue]]=0,0,SalesData[[#This Row],[Profit]]/SalesData[[#This Row],[Revenue]])</f>
        <v>0.73750000000000004</v>
      </c>
      <c r="R515" t="s">
        <v>1082</v>
      </c>
      <c r="S515" t="s">
        <v>1281</v>
      </c>
      <c r="T515" t="str">
        <f>PROPER(SalesData[[#This Row],[Customer Name]])</f>
        <v>Mia Brown</v>
      </c>
      <c r="U515" t="s">
        <v>1416</v>
      </c>
      <c r="V515" t="s">
        <v>1427</v>
      </c>
    </row>
    <row r="516" spans="1:22" x14ac:dyDescent="0.25">
      <c r="A516" t="s">
        <v>1942</v>
      </c>
      <c r="B516" s="5">
        <v>45473</v>
      </c>
      <c r="C516" s="2" t="str">
        <f>TEXT(SalesData[[#This Row],[Order Date]],"mmm")</f>
        <v>Jun</v>
      </c>
      <c r="D516" s="7">
        <f>MONTH(SalesData[[#This Row],[Order Date]])</f>
        <v>6</v>
      </c>
      <c r="E516" s="7">
        <f>YEAR(SalesData[[#This Row],[Order Date]])</f>
        <v>2024</v>
      </c>
      <c r="F516" t="s">
        <v>987</v>
      </c>
      <c r="G516" t="str">
        <f>PROPER(SalesData[[#This Row],[Product Name]])</f>
        <v>Eco Canvas Tote Bag</v>
      </c>
      <c r="H516" t="s">
        <v>1013</v>
      </c>
      <c r="I516" t="str">
        <f>UPPER(SalesData[[#This Row],[Product Category]])</f>
        <v>BAGS</v>
      </c>
      <c r="J516">
        <v>10</v>
      </c>
      <c r="K516">
        <v>25</v>
      </c>
      <c r="L516" s="15">
        <f>IF(SalesData[[#This Row],[Unit Price]]="",
    AVERAGEIFS(SalesData[Unit Price],
               SalesData[Product Name],SalesData[[#This Row],[Product Name]]),
    SalesData[[#This Row],[Unit Price]])</f>
        <v>25</v>
      </c>
      <c r="M516" s="15">
        <v>9.86</v>
      </c>
      <c r="N516" s="15">
        <f>SalesData[[#This Row],[Quantity Sold]] * SalesData[[#This Row],[Cleaned Unit Price]]</f>
        <v>250</v>
      </c>
      <c r="O516" s="15">
        <f>SalesData[[#This Row],[Quantity Sold]] * SalesData[[#This Row],[Unit Cost]]</f>
        <v>98.6</v>
      </c>
      <c r="P516" s="15">
        <f>SalesData[[#This Row],[Revenue]] - SalesData[[#This Row],[Cost]]</f>
        <v>151.4</v>
      </c>
      <c r="Q516" s="13">
        <f>IF(SalesData[[#This Row],[Revenue]]=0,0,SalesData[[#This Row],[Profit]]/SalesData[[#This Row],[Revenue]])</f>
        <v>0.60560000000000003</v>
      </c>
      <c r="R516" t="s">
        <v>1045</v>
      </c>
      <c r="S516" t="s">
        <v>1244</v>
      </c>
      <c r="T516" t="str">
        <f>PROPER(SalesData[[#This Row],[Customer Name]])</f>
        <v>Liam Davis</v>
      </c>
      <c r="U516" t="s">
        <v>1414</v>
      </c>
      <c r="V516" t="s">
        <v>1427</v>
      </c>
    </row>
    <row r="517" spans="1:22" x14ac:dyDescent="0.25">
      <c r="A517" t="s">
        <v>1943</v>
      </c>
      <c r="B517" s="5">
        <v>45474</v>
      </c>
      <c r="C517" s="2" t="str">
        <f>TEXT(SalesData[[#This Row],[Order Date]],"mmm")</f>
        <v>Jul</v>
      </c>
      <c r="D517" s="7">
        <f>MONTH(SalesData[[#This Row],[Order Date]])</f>
        <v>7</v>
      </c>
      <c r="E517" s="7">
        <f>YEAR(SalesData[[#This Row],[Order Date]])</f>
        <v>2024</v>
      </c>
      <c r="F517" t="s">
        <v>15</v>
      </c>
      <c r="G517" t="str">
        <f>PROPER(SalesData[[#This Row],[Product Name]])</f>
        <v>Eco Canvas Tote Bag</v>
      </c>
      <c r="H517" t="s">
        <v>1013</v>
      </c>
      <c r="I517" t="str">
        <f>UPPER(SalesData[[#This Row],[Product Category]])</f>
        <v>BAGS</v>
      </c>
      <c r="J517">
        <v>6</v>
      </c>
      <c r="K517">
        <v>25</v>
      </c>
      <c r="L517" s="15">
        <f>IF(SalesData[[#This Row],[Unit Price]]="",
    AVERAGEIFS(SalesData[Unit Price],
               SalesData[Product Name],SalesData[[#This Row],[Product Name]]),
    SalesData[[#This Row],[Unit Price]])</f>
        <v>25</v>
      </c>
      <c r="M517" s="15">
        <v>9.43</v>
      </c>
      <c r="N517" s="15">
        <f>SalesData[[#This Row],[Quantity Sold]] * SalesData[[#This Row],[Cleaned Unit Price]]</f>
        <v>150</v>
      </c>
      <c r="O517" s="15">
        <f>SalesData[[#This Row],[Quantity Sold]] * SalesData[[#This Row],[Unit Cost]]</f>
        <v>56.58</v>
      </c>
      <c r="P517" s="15">
        <f>SalesData[[#This Row],[Revenue]] - SalesData[[#This Row],[Cost]]</f>
        <v>93.42</v>
      </c>
      <c r="Q517" s="13">
        <f>IF(SalesData[[#This Row],[Revenue]]=0,0,SalesData[[#This Row],[Profit]]/SalesData[[#This Row],[Revenue]])</f>
        <v>0.62280000000000002</v>
      </c>
      <c r="R517" t="s">
        <v>1020</v>
      </c>
      <c r="S517" t="s">
        <v>1219</v>
      </c>
      <c r="T517" t="str">
        <f>PROPER(SalesData[[#This Row],[Customer Name]])</f>
        <v>Noah Garcia</v>
      </c>
      <c r="U517" t="s">
        <v>1414</v>
      </c>
      <c r="V517" t="s">
        <v>1421</v>
      </c>
    </row>
    <row r="518" spans="1:22" x14ac:dyDescent="0.25">
      <c r="A518" t="s">
        <v>1944</v>
      </c>
      <c r="B518" s="5">
        <v>45474</v>
      </c>
      <c r="C518" s="2" t="str">
        <f>TEXT(SalesData[[#This Row],[Order Date]],"mmm")</f>
        <v>Jul</v>
      </c>
      <c r="D518" s="7">
        <f>MONTH(SalesData[[#This Row],[Order Date]])</f>
        <v>7</v>
      </c>
      <c r="E518" s="7">
        <f>YEAR(SalesData[[#This Row],[Order Date]])</f>
        <v>2024</v>
      </c>
      <c r="F518" t="s">
        <v>66</v>
      </c>
      <c r="G518" t="str">
        <f>PROPER(SalesData[[#This Row],[Product Name]])</f>
        <v>Eco Canvas Tote Bag</v>
      </c>
      <c r="H518" t="s">
        <v>1013</v>
      </c>
      <c r="I518" t="str">
        <f>UPPER(SalesData[[#This Row],[Product Category]])</f>
        <v>BAGS</v>
      </c>
      <c r="J518">
        <v>10</v>
      </c>
      <c r="K518">
        <v>25</v>
      </c>
      <c r="L518" s="15">
        <f>IF(SalesData[[#This Row],[Unit Price]]="",
    AVERAGEIFS(SalesData[Unit Price],
               SalesData[Product Name],SalesData[[#This Row],[Product Name]]),
    SalesData[[#This Row],[Unit Price]])</f>
        <v>25</v>
      </c>
      <c r="M518" s="15">
        <v>6.74</v>
      </c>
      <c r="N518" s="15">
        <f>SalesData[[#This Row],[Quantity Sold]] * SalesData[[#This Row],[Cleaned Unit Price]]</f>
        <v>250</v>
      </c>
      <c r="O518" s="15">
        <f>SalesData[[#This Row],[Quantity Sold]] * SalesData[[#This Row],[Unit Cost]]</f>
        <v>67.400000000000006</v>
      </c>
      <c r="P518" s="15">
        <f>SalesData[[#This Row],[Revenue]] - SalesData[[#This Row],[Cost]]</f>
        <v>182.6</v>
      </c>
      <c r="Q518" s="13">
        <f>IF(SalesData[[#This Row],[Revenue]]=0,0,SalesData[[#This Row],[Profit]]/SalesData[[#This Row],[Revenue]])</f>
        <v>0.73039999999999994</v>
      </c>
      <c r="R518" t="s">
        <v>1061</v>
      </c>
      <c r="S518" t="s">
        <v>1260</v>
      </c>
      <c r="T518" t="str">
        <f>PROPER(SalesData[[#This Row],[Customer Name]])</f>
        <v>Lucas Williams</v>
      </c>
      <c r="U518" t="s">
        <v>1414</v>
      </c>
      <c r="V518" t="s">
        <v>1420</v>
      </c>
    </row>
    <row r="519" spans="1:22" x14ac:dyDescent="0.25">
      <c r="A519" t="s">
        <v>1945</v>
      </c>
      <c r="B519" s="5">
        <v>45474</v>
      </c>
      <c r="C519" s="2" t="str">
        <f>TEXT(SalesData[[#This Row],[Order Date]],"mmm")</f>
        <v>Jul</v>
      </c>
      <c r="D519" s="7">
        <f>MONTH(SalesData[[#This Row],[Order Date]])</f>
        <v>7</v>
      </c>
      <c r="E519" s="7">
        <f>YEAR(SalesData[[#This Row],[Order Date]])</f>
        <v>2024</v>
      </c>
      <c r="F519" t="s">
        <v>362</v>
      </c>
      <c r="G519" t="str">
        <f>PROPER(SalesData[[#This Row],[Product Name]])</f>
        <v>Biodegradable Cleaning Cloth</v>
      </c>
      <c r="H519" t="s">
        <v>1015</v>
      </c>
      <c r="I519" t="str">
        <f>UPPER(SalesData[[#This Row],[Product Category]])</f>
        <v>CLEANING</v>
      </c>
      <c r="J519">
        <v>3</v>
      </c>
      <c r="K519">
        <v>10</v>
      </c>
      <c r="L519" s="15">
        <f>IF(SalesData[[#This Row],[Unit Price]]="",
    AVERAGEIFS(SalesData[Unit Price],
               SalesData[Product Name],SalesData[[#This Row],[Product Name]]),
    SalesData[[#This Row],[Unit Price]])</f>
        <v>10</v>
      </c>
      <c r="M519" s="15">
        <v>2.65</v>
      </c>
      <c r="N519" s="15">
        <f>SalesData[[#This Row],[Quantity Sold]] * SalesData[[#This Row],[Cleaned Unit Price]]</f>
        <v>30</v>
      </c>
      <c r="O519" s="15">
        <f>SalesData[[#This Row],[Quantity Sold]] * SalesData[[#This Row],[Unit Cost]]</f>
        <v>7.9499999999999993</v>
      </c>
      <c r="P519" s="15">
        <f>SalesData[[#This Row],[Revenue]] - SalesData[[#This Row],[Cost]]</f>
        <v>22.05</v>
      </c>
      <c r="Q519" s="13">
        <f>IF(SalesData[[#This Row],[Revenue]]=0,0,SalesData[[#This Row],[Profit]]/SalesData[[#This Row],[Revenue]])</f>
        <v>0.73499999999999999</v>
      </c>
      <c r="R519" t="s">
        <v>1115</v>
      </c>
      <c r="S519" t="s">
        <v>1314</v>
      </c>
      <c r="T519" t="str">
        <f>PROPER(SalesData[[#This Row],[Customer Name]])</f>
        <v>Noah Brown</v>
      </c>
      <c r="U519" t="s">
        <v>1414</v>
      </c>
      <c r="V519" t="s">
        <v>1422</v>
      </c>
    </row>
    <row r="520" spans="1:22" x14ac:dyDescent="0.25">
      <c r="A520" t="s">
        <v>1946</v>
      </c>
      <c r="B520" s="5">
        <v>45474</v>
      </c>
      <c r="C520" s="2" t="str">
        <f>TEXT(SalesData[[#This Row],[Order Date]],"mmm")</f>
        <v>Jul</v>
      </c>
      <c r="D520" s="7">
        <f>MONTH(SalesData[[#This Row],[Order Date]])</f>
        <v>7</v>
      </c>
      <c r="E520" s="7">
        <f>YEAR(SalesData[[#This Row],[Order Date]])</f>
        <v>2024</v>
      </c>
      <c r="F520" t="s">
        <v>560</v>
      </c>
      <c r="G520" t="str">
        <f>PROPER(SalesData[[#This Row],[Product Name]])</f>
        <v>Eco Canvas Tote Bag</v>
      </c>
      <c r="H520" t="s">
        <v>1013</v>
      </c>
      <c r="I520" t="str">
        <f>UPPER(SalesData[[#This Row],[Product Category]])</f>
        <v>BAGS</v>
      </c>
      <c r="J520">
        <v>4</v>
      </c>
      <c r="K520">
        <v>25</v>
      </c>
      <c r="L520" s="15">
        <f>IF(SalesData[[#This Row],[Unit Price]]="",
    AVERAGEIFS(SalesData[Unit Price],
               SalesData[Product Name],SalesData[[#This Row],[Product Name]]),
    SalesData[[#This Row],[Unit Price]])</f>
        <v>25</v>
      </c>
      <c r="M520" s="15">
        <v>6.09</v>
      </c>
      <c r="N520" s="15">
        <f>SalesData[[#This Row],[Quantity Sold]] * SalesData[[#This Row],[Cleaned Unit Price]]</f>
        <v>100</v>
      </c>
      <c r="O520" s="15">
        <f>SalesData[[#This Row],[Quantity Sold]] * SalesData[[#This Row],[Unit Cost]]</f>
        <v>24.36</v>
      </c>
      <c r="P520" s="15">
        <f>SalesData[[#This Row],[Revenue]] - SalesData[[#This Row],[Cost]]</f>
        <v>75.64</v>
      </c>
      <c r="Q520" s="13">
        <f>IF(SalesData[[#This Row],[Revenue]]=0,0,SalesData[[#This Row],[Profit]]/SalesData[[#This Row],[Revenue]])</f>
        <v>0.75639999999999996</v>
      </c>
      <c r="R520" t="s">
        <v>1172</v>
      </c>
      <c r="S520" t="s">
        <v>1371</v>
      </c>
      <c r="T520" t="str">
        <f>PROPER(SalesData[[#This Row],[Customer Name]])</f>
        <v>James Smith</v>
      </c>
      <c r="U520" t="s">
        <v>1414</v>
      </c>
      <c r="V520" t="s">
        <v>1423</v>
      </c>
    </row>
    <row r="521" spans="1:22" x14ac:dyDescent="0.25">
      <c r="A521" t="s">
        <v>1947</v>
      </c>
      <c r="B521" s="5">
        <v>45475</v>
      </c>
      <c r="C521" s="2" t="str">
        <f>TEXT(SalesData[[#This Row],[Order Date]],"mmm")</f>
        <v>Jul</v>
      </c>
      <c r="D521" s="7">
        <f>MONTH(SalesData[[#This Row],[Order Date]])</f>
        <v>7</v>
      </c>
      <c r="E521" s="7">
        <f>YEAR(SalesData[[#This Row],[Order Date]])</f>
        <v>2024</v>
      </c>
      <c r="F521" t="s">
        <v>329</v>
      </c>
      <c r="G521" t="str">
        <f>PROPER(SalesData[[#This Row],[Product Name]])</f>
        <v>Biodegradable Cleaning Cloth</v>
      </c>
      <c r="H521" t="s">
        <v>1015</v>
      </c>
      <c r="I521" t="str">
        <f>UPPER(SalesData[[#This Row],[Product Category]])</f>
        <v>CLEANING</v>
      </c>
      <c r="J521">
        <v>4</v>
      </c>
      <c r="K521">
        <v>10</v>
      </c>
      <c r="L521" s="15">
        <f>IF(SalesData[[#This Row],[Unit Price]]="",
    AVERAGEIFS(SalesData[Unit Price],
               SalesData[Product Name],SalesData[[#This Row],[Product Name]]),
    SalesData[[#This Row],[Unit Price]])</f>
        <v>10</v>
      </c>
      <c r="M521" s="15">
        <v>3.41</v>
      </c>
      <c r="N521" s="15">
        <f>SalesData[[#This Row],[Quantity Sold]] * SalesData[[#This Row],[Cleaned Unit Price]]</f>
        <v>40</v>
      </c>
      <c r="O521" s="15">
        <f>SalesData[[#This Row],[Quantity Sold]] * SalesData[[#This Row],[Unit Cost]]</f>
        <v>13.64</v>
      </c>
      <c r="P521" s="15">
        <f>SalesData[[#This Row],[Revenue]] - SalesData[[#This Row],[Cost]]</f>
        <v>26.36</v>
      </c>
      <c r="Q521" s="13">
        <f>IF(SalesData[[#This Row],[Revenue]]=0,0,SalesData[[#This Row],[Profit]]/SalesData[[#This Row],[Revenue]])</f>
        <v>0.65900000000000003</v>
      </c>
      <c r="R521" t="s">
        <v>1174</v>
      </c>
      <c r="S521" t="s">
        <v>1373</v>
      </c>
      <c r="T521" t="str">
        <f>PROPER(SalesData[[#This Row],[Customer Name]])</f>
        <v>Mason Jones</v>
      </c>
      <c r="U521" t="s">
        <v>1414</v>
      </c>
      <c r="V521" t="s">
        <v>1426</v>
      </c>
    </row>
    <row r="522" spans="1:22" x14ac:dyDescent="0.25">
      <c r="A522" t="s">
        <v>1948</v>
      </c>
      <c r="B522" s="5">
        <v>45475</v>
      </c>
      <c r="C522" s="2" t="str">
        <f>TEXT(SalesData[[#This Row],[Order Date]],"mmm")</f>
        <v>Jul</v>
      </c>
      <c r="D522" s="7">
        <f>MONTH(SalesData[[#This Row],[Order Date]])</f>
        <v>7</v>
      </c>
      <c r="E522" s="7">
        <f>YEAR(SalesData[[#This Row],[Order Date]])</f>
        <v>2024</v>
      </c>
      <c r="F522" t="s">
        <v>908</v>
      </c>
      <c r="G522" t="str">
        <f>PROPER(SalesData[[#This Row],[Product Name]])</f>
        <v>Solar Led Lantern</v>
      </c>
      <c r="H522" t="s">
        <v>1012</v>
      </c>
      <c r="I522" t="str">
        <f>UPPER(SalesData[[#This Row],[Product Category]])</f>
        <v>LIGHTING</v>
      </c>
      <c r="J522">
        <v>10</v>
      </c>
      <c r="K522">
        <v>40</v>
      </c>
      <c r="L522" s="15">
        <f>IF(SalesData[[#This Row],[Unit Price]]="",
    AVERAGEIFS(SalesData[Unit Price],
               SalesData[Product Name],SalesData[[#This Row],[Product Name]]),
    SalesData[[#This Row],[Unit Price]])</f>
        <v>40</v>
      </c>
      <c r="M522" s="15">
        <v>14.88</v>
      </c>
      <c r="N522" s="15">
        <f>SalesData[[#This Row],[Quantity Sold]] * SalesData[[#This Row],[Cleaned Unit Price]]</f>
        <v>400</v>
      </c>
      <c r="O522" s="15">
        <f>SalesData[[#This Row],[Quantity Sold]] * SalesData[[#This Row],[Unit Cost]]</f>
        <v>148.80000000000001</v>
      </c>
      <c r="P522" s="15">
        <f>SalesData[[#This Row],[Revenue]] - SalesData[[#This Row],[Cost]]</f>
        <v>251.2</v>
      </c>
      <c r="Q522" s="13">
        <f>IF(SalesData[[#This Row],[Revenue]]=0,0,SalesData[[#This Row],[Profit]]/SalesData[[#This Row],[Revenue]])</f>
        <v>0.628</v>
      </c>
      <c r="R522" t="s">
        <v>1188</v>
      </c>
      <c r="S522" t="s">
        <v>1387</v>
      </c>
      <c r="T522" t="str">
        <f>PROPER(SalesData[[#This Row],[Customer Name]])</f>
        <v>Mia Johnson</v>
      </c>
      <c r="U522" t="s">
        <v>1415</v>
      </c>
      <c r="V522" t="s">
        <v>1422</v>
      </c>
    </row>
    <row r="523" spans="1:22" x14ac:dyDescent="0.25">
      <c r="A523" t="s">
        <v>1949</v>
      </c>
      <c r="B523" s="5">
        <v>45476</v>
      </c>
      <c r="C523" s="2" t="str">
        <f>TEXT(SalesData[[#This Row],[Order Date]],"mmm")</f>
        <v>Jul</v>
      </c>
      <c r="D523" s="7">
        <f>MONTH(SalesData[[#This Row],[Order Date]])</f>
        <v>7</v>
      </c>
      <c r="E523" s="7">
        <f>YEAR(SalesData[[#This Row],[Order Date]])</f>
        <v>2024</v>
      </c>
      <c r="F523" t="s">
        <v>138</v>
      </c>
      <c r="G523" t="str">
        <f>PROPER(SalesData[[#This Row],[Product Name]])</f>
        <v>Solar Led Lantern</v>
      </c>
      <c r="H523" t="s">
        <v>1012</v>
      </c>
      <c r="I523" t="str">
        <f>UPPER(SalesData[[#This Row],[Product Category]])</f>
        <v>LIGHTING</v>
      </c>
      <c r="J523">
        <v>8</v>
      </c>
      <c r="K523">
        <v>40</v>
      </c>
      <c r="L523" s="15">
        <f>IF(SalesData[[#This Row],[Unit Price]]="",
    AVERAGEIFS(SalesData[Unit Price],
               SalesData[Product Name],SalesData[[#This Row],[Product Name]]),
    SalesData[[#This Row],[Unit Price]])</f>
        <v>40</v>
      </c>
      <c r="M523" s="15">
        <v>13.65</v>
      </c>
      <c r="N523" s="15">
        <f>SalesData[[#This Row],[Quantity Sold]] * SalesData[[#This Row],[Cleaned Unit Price]]</f>
        <v>320</v>
      </c>
      <c r="O523" s="15">
        <f>SalesData[[#This Row],[Quantity Sold]] * SalesData[[#This Row],[Unit Cost]]</f>
        <v>109.2</v>
      </c>
      <c r="P523" s="15">
        <f>SalesData[[#This Row],[Revenue]] - SalesData[[#This Row],[Cost]]</f>
        <v>210.8</v>
      </c>
      <c r="Q523" s="13">
        <f>IF(SalesData[[#This Row],[Revenue]]=0,0,SalesData[[#This Row],[Profit]]/SalesData[[#This Row],[Revenue]])</f>
        <v>0.65875000000000006</v>
      </c>
      <c r="R523" t="s">
        <v>1113</v>
      </c>
      <c r="S523" t="s">
        <v>1312</v>
      </c>
      <c r="T523" t="str">
        <f>PROPER(SalesData[[#This Row],[Customer Name]])</f>
        <v>Elijah Williams</v>
      </c>
      <c r="U523" t="s">
        <v>1416</v>
      </c>
      <c r="V523" t="s">
        <v>1426</v>
      </c>
    </row>
    <row r="524" spans="1:22" x14ac:dyDescent="0.25">
      <c r="A524" t="s">
        <v>1950</v>
      </c>
      <c r="B524" s="5">
        <v>45476</v>
      </c>
      <c r="C524" s="2" t="str">
        <f>TEXT(SalesData[[#This Row],[Order Date]],"mmm")</f>
        <v>Jul</v>
      </c>
      <c r="D524" s="7">
        <f>MONTH(SalesData[[#This Row],[Order Date]])</f>
        <v>7</v>
      </c>
      <c r="E524" s="7">
        <f>YEAR(SalesData[[#This Row],[Order Date]])</f>
        <v>2024</v>
      </c>
      <c r="F524" t="s">
        <v>475</v>
      </c>
      <c r="G524" t="str">
        <f>PROPER(SalesData[[#This Row],[Product Name]])</f>
        <v>Eco Canvas Tote Bag</v>
      </c>
      <c r="H524" t="s">
        <v>1013</v>
      </c>
      <c r="I524" t="str">
        <f>UPPER(SalesData[[#This Row],[Product Category]])</f>
        <v>BAGS</v>
      </c>
      <c r="J524">
        <v>6</v>
      </c>
      <c r="K524">
        <v>25</v>
      </c>
      <c r="L524" s="15">
        <f>IF(SalesData[[#This Row],[Unit Price]]="",
    AVERAGEIFS(SalesData[Unit Price],
               SalesData[Product Name],SalesData[[#This Row],[Product Name]]),
    SalesData[[#This Row],[Unit Price]])</f>
        <v>25</v>
      </c>
      <c r="M524" s="15">
        <v>5.28</v>
      </c>
      <c r="N524" s="15">
        <f>SalesData[[#This Row],[Quantity Sold]] * SalesData[[#This Row],[Cleaned Unit Price]]</f>
        <v>150</v>
      </c>
      <c r="O524" s="15">
        <f>SalesData[[#This Row],[Quantity Sold]] * SalesData[[#This Row],[Unit Cost]]</f>
        <v>31.68</v>
      </c>
      <c r="P524" s="15">
        <f>SalesData[[#This Row],[Revenue]] - SalesData[[#This Row],[Cost]]</f>
        <v>118.32</v>
      </c>
      <c r="Q524" s="13">
        <f>IF(SalesData[[#This Row],[Revenue]]=0,0,SalesData[[#This Row],[Profit]]/SalesData[[#This Row],[Revenue]])</f>
        <v>0.78879999999999995</v>
      </c>
      <c r="R524" t="s">
        <v>1055</v>
      </c>
      <c r="S524" t="s">
        <v>1254</v>
      </c>
      <c r="T524" t="str">
        <f>PROPER(SalesData[[#This Row],[Customer Name]])</f>
        <v>Lucas Brown</v>
      </c>
      <c r="U524" t="s">
        <v>1415</v>
      </c>
      <c r="V524" t="s">
        <v>1427</v>
      </c>
    </row>
    <row r="525" spans="1:22" x14ac:dyDescent="0.25">
      <c r="A525" t="s">
        <v>1951</v>
      </c>
      <c r="B525" s="5">
        <v>45476</v>
      </c>
      <c r="C525" s="2" t="str">
        <f>TEXT(SalesData[[#This Row],[Order Date]],"mmm")</f>
        <v>Jul</v>
      </c>
      <c r="D525" s="7">
        <f>MONTH(SalesData[[#This Row],[Order Date]])</f>
        <v>7</v>
      </c>
      <c r="E525" s="7">
        <f>YEAR(SalesData[[#This Row],[Order Date]])</f>
        <v>2024</v>
      </c>
      <c r="F525" t="s">
        <v>576</v>
      </c>
      <c r="G525" t="str">
        <f>PROPER(SalesData[[#This Row],[Product Name]])</f>
        <v>Eco Canvas Tote Bag</v>
      </c>
      <c r="H525" t="s">
        <v>1013</v>
      </c>
      <c r="I525" t="str">
        <f>UPPER(SalesData[[#This Row],[Product Category]])</f>
        <v>BAGS</v>
      </c>
      <c r="J525">
        <v>2</v>
      </c>
      <c r="K525">
        <v>25</v>
      </c>
      <c r="L525" s="15">
        <f>IF(SalesData[[#This Row],[Unit Price]]="",
    AVERAGEIFS(SalesData[Unit Price],
               SalesData[Product Name],SalesData[[#This Row],[Product Name]]),
    SalesData[[#This Row],[Unit Price]])</f>
        <v>25</v>
      </c>
      <c r="M525" s="15">
        <v>8.89</v>
      </c>
      <c r="N525" s="15">
        <f>SalesData[[#This Row],[Quantity Sold]] * SalesData[[#This Row],[Cleaned Unit Price]]</f>
        <v>50</v>
      </c>
      <c r="O525" s="15">
        <f>SalesData[[#This Row],[Quantity Sold]] * SalesData[[#This Row],[Unit Cost]]</f>
        <v>17.78</v>
      </c>
      <c r="P525" s="15">
        <f>SalesData[[#This Row],[Revenue]] - SalesData[[#This Row],[Cost]]</f>
        <v>32.22</v>
      </c>
      <c r="Q525" s="13">
        <f>IF(SalesData[[#This Row],[Revenue]]=0,0,SalesData[[#This Row],[Profit]]/SalesData[[#This Row],[Revenue]])</f>
        <v>0.64439999999999997</v>
      </c>
      <c r="R525" t="s">
        <v>1082</v>
      </c>
      <c r="S525" t="s">
        <v>1281</v>
      </c>
      <c r="T525" t="str">
        <f>PROPER(SalesData[[#This Row],[Customer Name]])</f>
        <v>Mia Brown</v>
      </c>
      <c r="U525" t="s">
        <v>1414</v>
      </c>
      <c r="V525" t="s">
        <v>1424</v>
      </c>
    </row>
    <row r="526" spans="1:22" x14ac:dyDescent="0.25">
      <c r="A526" t="s">
        <v>1952</v>
      </c>
      <c r="B526" s="5">
        <v>45476</v>
      </c>
      <c r="C526" s="2" t="str">
        <f>TEXT(SalesData[[#This Row],[Order Date]],"mmm")</f>
        <v>Jul</v>
      </c>
      <c r="D526" s="7">
        <f>MONTH(SalesData[[#This Row],[Order Date]])</f>
        <v>7</v>
      </c>
      <c r="E526" s="7">
        <f>YEAR(SalesData[[#This Row],[Order Date]])</f>
        <v>2024</v>
      </c>
      <c r="F526" t="s">
        <v>967</v>
      </c>
      <c r="G526" t="str">
        <f>PROPER(SalesData[[#This Row],[Product Name]])</f>
        <v>Compostable Plant Pots</v>
      </c>
      <c r="H526" t="s">
        <v>1011</v>
      </c>
      <c r="I526" t="str">
        <f>UPPER(SalesData[[#This Row],[Product Category]])</f>
        <v>GARDENING</v>
      </c>
      <c r="J526">
        <v>6</v>
      </c>
      <c r="K526">
        <v>12</v>
      </c>
      <c r="L526" s="15">
        <f>IF(SalesData[[#This Row],[Unit Price]]="",
    AVERAGEIFS(SalesData[Unit Price],
               SalesData[Product Name],SalesData[[#This Row],[Product Name]]),
    SalesData[[#This Row],[Unit Price]])</f>
        <v>12</v>
      </c>
      <c r="M526" s="15">
        <v>4.28</v>
      </c>
      <c r="N526" s="15">
        <f>SalesData[[#This Row],[Quantity Sold]] * SalesData[[#This Row],[Cleaned Unit Price]]</f>
        <v>72</v>
      </c>
      <c r="O526" s="15">
        <f>SalesData[[#This Row],[Quantity Sold]] * SalesData[[#This Row],[Unit Cost]]</f>
        <v>25.68</v>
      </c>
      <c r="P526" s="15">
        <f>SalesData[[#This Row],[Revenue]] - SalesData[[#This Row],[Cost]]</f>
        <v>46.32</v>
      </c>
      <c r="Q526" s="13">
        <f>IF(SalesData[[#This Row],[Revenue]]=0,0,SalesData[[#This Row],[Profit]]/SalesData[[#This Row],[Revenue]])</f>
        <v>0.64333333333333331</v>
      </c>
      <c r="R526" t="s">
        <v>1093</v>
      </c>
      <c r="S526" t="s">
        <v>1292</v>
      </c>
      <c r="T526" t="str">
        <f>PROPER(SalesData[[#This Row],[Customer Name]])</f>
        <v>Ava Miller</v>
      </c>
      <c r="U526" t="s">
        <v>1417</v>
      </c>
      <c r="V526" t="s">
        <v>1420</v>
      </c>
    </row>
    <row r="527" spans="1:22" x14ac:dyDescent="0.25">
      <c r="A527" t="s">
        <v>1953</v>
      </c>
      <c r="B527" s="5">
        <v>45477</v>
      </c>
      <c r="C527" s="2" t="str">
        <f>TEXT(SalesData[[#This Row],[Order Date]],"mmm")</f>
        <v>Jul</v>
      </c>
      <c r="D527" s="7">
        <f>MONTH(SalesData[[#This Row],[Order Date]])</f>
        <v>7</v>
      </c>
      <c r="E527" s="7">
        <f>YEAR(SalesData[[#This Row],[Order Date]])</f>
        <v>2024</v>
      </c>
      <c r="F527" t="s">
        <v>304</v>
      </c>
      <c r="G527" t="str">
        <f>PROPER(SalesData[[#This Row],[Product Name]])</f>
        <v>Biodegradable Cleaning Cloth</v>
      </c>
      <c r="H527" t="s">
        <v>1015</v>
      </c>
      <c r="I527" t="str">
        <f>UPPER(SalesData[[#This Row],[Product Category]])</f>
        <v>CLEANING</v>
      </c>
      <c r="J527">
        <v>8</v>
      </c>
      <c r="K527">
        <v>10</v>
      </c>
      <c r="L527" s="15">
        <f>IF(SalesData[[#This Row],[Unit Price]]="",
    AVERAGEIFS(SalesData[Unit Price],
               SalesData[Product Name],SalesData[[#This Row],[Product Name]]),
    SalesData[[#This Row],[Unit Price]])</f>
        <v>10</v>
      </c>
      <c r="M527" s="15">
        <v>3.74</v>
      </c>
      <c r="N527" s="15">
        <f>SalesData[[#This Row],[Quantity Sold]] * SalesData[[#This Row],[Cleaned Unit Price]]</f>
        <v>80</v>
      </c>
      <c r="O527" s="15">
        <f>SalesData[[#This Row],[Quantity Sold]] * SalesData[[#This Row],[Unit Cost]]</f>
        <v>29.92</v>
      </c>
      <c r="P527" s="15">
        <f>SalesData[[#This Row],[Revenue]] - SalesData[[#This Row],[Cost]]</f>
        <v>50.08</v>
      </c>
      <c r="Q527" s="13">
        <f>IF(SalesData[[#This Row],[Revenue]]=0,0,SalesData[[#This Row],[Profit]]/SalesData[[#This Row],[Revenue]])</f>
        <v>0.626</v>
      </c>
      <c r="R527" t="s">
        <v>1137</v>
      </c>
      <c r="S527" t="s">
        <v>1336</v>
      </c>
      <c r="T527" t="str">
        <f>PROPER(SalesData[[#This Row],[Customer Name]])</f>
        <v>Harper Miller</v>
      </c>
      <c r="U527" t="s">
        <v>1416</v>
      </c>
      <c r="V527" t="s">
        <v>1422</v>
      </c>
    </row>
    <row r="528" spans="1:22" x14ac:dyDescent="0.25">
      <c r="A528" t="s">
        <v>1954</v>
      </c>
      <c r="B528" s="5">
        <v>45477</v>
      </c>
      <c r="C528" s="2" t="str">
        <f>TEXT(SalesData[[#This Row],[Order Date]],"mmm")</f>
        <v>Jul</v>
      </c>
      <c r="D528" s="7">
        <f>MONTH(SalesData[[#This Row],[Order Date]])</f>
        <v>7</v>
      </c>
      <c r="E528" s="7">
        <f>YEAR(SalesData[[#This Row],[Order Date]])</f>
        <v>2024</v>
      </c>
      <c r="F528" t="s">
        <v>330</v>
      </c>
      <c r="G528" t="str">
        <f>PROPER(SalesData[[#This Row],[Product Name]])</f>
        <v>Eco Canvas Tote Bag</v>
      </c>
      <c r="H528" t="s">
        <v>1013</v>
      </c>
      <c r="I528" t="str">
        <f>UPPER(SalesData[[#This Row],[Product Category]])</f>
        <v>BAGS</v>
      </c>
      <c r="J528">
        <v>3</v>
      </c>
      <c r="K528">
        <v>25</v>
      </c>
      <c r="L528" s="15">
        <f>IF(SalesData[[#This Row],[Unit Price]]="",
    AVERAGEIFS(SalesData[Unit Price],
               SalesData[Product Name],SalesData[[#This Row],[Product Name]]),
    SalesData[[#This Row],[Unit Price]])</f>
        <v>25</v>
      </c>
      <c r="M528" s="15">
        <v>5.52</v>
      </c>
      <c r="N528" s="15">
        <f>SalesData[[#This Row],[Quantity Sold]] * SalesData[[#This Row],[Cleaned Unit Price]]</f>
        <v>75</v>
      </c>
      <c r="O528" s="15">
        <f>SalesData[[#This Row],[Quantity Sold]] * SalesData[[#This Row],[Unit Cost]]</f>
        <v>16.559999999999999</v>
      </c>
      <c r="P528" s="15">
        <f>SalesData[[#This Row],[Revenue]] - SalesData[[#This Row],[Cost]]</f>
        <v>58.44</v>
      </c>
      <c r="Q528" s="13">
        <f>IF(SalesData[[#This Row],[Revenue]]=0,0,SalesData[[#This Row],[Profit]]/SalesData[[#This Row],[Revenue]])</f>
        <v>0.7792</v>
      </c>
      <c r="R528" t="s">
        <v>1017</v>
      </c>
      <c r="S528" t="s">
        <v>1216</v>
      </c>
      <c r="T528" t="str">
        <f>PROPER(SalesData[[#This Row],[Customer Name]])</f>
        <v>Mia Miller</v>
      </c>
      <c r="U528" t="s">
        <v>1414</v>
      </c>
      <c r="V528" t="s">
        <v>1425</v>
      </c>
    </row>
    <row r="529" spans="1:22" x14ac:dyDescent="0.25">
      <c r="A529" t="s">
        <v>1955</v>
      </c>
      <c r="B529" s="5">
        <v>45477</v>
      </c>
      <c r="C529" s="2" t="str">
        <f>TEXT(SalesData[[#This Row],[Order Date]],"mmm")</f>
        <v>Jul</v>
      </c>
      <c r="D529" s="7">
        <f>MONTH(SalesData[[#This Row],[Order Date]])</f>
        <v>7</v>
      </c>
      <c r="E529" s="7">
        <f>YEAR(SalesData[[#This Row],[Order Date]])</f>
        <v>2024</v>
      </c>
      <c r="F529" t="s">
        <v>1000</v>
      </c>
      <c r="G529" t="str">
        <f>PROPER(SalesData[[#This Row],[Product Name]])</f>
        <v>Solar Led Lantern</v>
      </c>
      <c r="H529" t="s">
        <v>1012</v>
      </c>
      <c r="I529" t="str">
        <f>UPPER(SalesData[[#This Row],[Product Category]])</f>
        <v>LIGHTING</v>
      </c>
      <c r="J529">
        <v>6</v>
      </c>
      <c r="K529">
        <v>40</v>
      </c>
      <c r="L529" s="15">
        <f>IF(SalesData[[#This Row],[Unit Price]]="",
    AVERAGEIFS(SalesData[Unit Price],
               SalesData[Product Name],SalesData[[#This Row],[Product Name]]),
    SalesData[[#This Row],[Unit Price]])</f>
        <v>40</v>
      </c>
      <c r="M529" s="15">
        <v>11.74</v>
      </c>
      <c r="N529" s="15">
        <f>SalesData[[#This Row],[Quantity Sold]] * SalesData[[#This Row],[Cleaned Unit Price]]</f>
        <v>240</v>
      </c>
      <c r="O529" s="15">
        <f>SalesData[[#This Row],[Quantity Sold]] * SalesData[[#This Row],[Unit Cost]]</f>
        <v>70.44</v>
      </c>
      <c r="P529" s="15">
        <f>SalesData[[#This Row],[Revenue]] - SalesData[[#This Row],[Cost]]</f>
        <v>169.56</v>
      </c>
      <c r="Q529" s="13">
        <f>IF(SalesData[[#This Row],[Revenue]]=0,0,SalesData[[#This Row],[Profit]]/SalesData[[#This Row],[Revenue]])</f>
        <v>0.70650000000000002</v>
      </c>
      <c r="R529" t="s">
        <v>1023</v>
      </c>
      <c r="S529" t="s">
        <v>1222</v>
      </c>
      <c r="T529" t="str">
        <f>PROPER(SalesData[[#This Row],[Customer Name]])</f>
        <v>Liam Garcia</v>
      </c>
      <c r="U529" t="s">
        <v>1414</v>
      </c>
      <c r="V529" t="s">
        <v>1418</v>
      </c>
    </row>
    <row r="530" spans="1:22" x14ac:dyDescent="0.25">
      <c r="A530" t="s">
        <v>1956</v>
      </c>
      <c r="B530" s="5">
        <v>45478</v>
      </c>
      <c r="C530" s="2" t="str">
        <f>TEXT(SalesData[[#This Row],[Order Date]],"mmm")</f>
        <v>Jul</v>
      </c>
      <c r="D530" s="7">
        <f>MONTH(SalesData[[#This Row],[Order Date]])</f>
        <v>7</v>
      </c>
      <c r="E530" s="7">
        <f>YEAR(SalesData[[#This Row],[Order Date]])</f>
        <v>2024</v>
      </c>
      <c r="F530" t="s">
        <v>131</v>
      </c>
      <c r="G530" t="str">
        <f>PROPER(SalesData[[#This Row],[Product Name]])</f>
        <v>Reusable Bamboo Utensil Set</v>
      </c>
      <c r="H530" t="s">
        <v>1014</v>
      </c>
      <c r="I530" t="str">
        <f>UPPER(SalesData[[#This Row],[Product Category]])</f>
        <v>KITCHENWARE</v>
      </c>
      <c r="J530">
        <v>2</v>
      </c>
      <c r="K530">
        <v>15</v>
      </c>
      <c r="L530" s="15">
        <f>IF(SalesData[[#This Row],[Unit Price]]="",
    AVERAGEIFS(SalesData[Unit Price],
               SalesData[Product Name],SalesData[[#This Row],[Product Name]]),
    SalesData[[#This Row],[Unit Price]])</f>
        <v>15</v>
      </c>
      <c r="M530" s="15">
        <v>4.2699999999999996</v>
      </c>
      <c r="N530" s="15">
        <f>SalesData[[#This Row],[Quantity Sold]] * SalesData[[#This Row],[Cleaned Unit Price]]</f>
        <v>30</v>
      </c>
      <c r="O530" s="15">
        <f>SalesData[[#This Row],[Quantity Sold]] * SalesData[[#This Row],[Unit Cost]]</f>
        <v>8.5399999999999991</v>
      </c>
      <c r="P530" s="15">
        <f>SalesData[[#This Row],[Revenue]] - SalesData[[#This Row],[Cost]]</f>
        <v>21.46</v>
      </c>
      <c r="Q530" s="13">
        <f>IF(SalesData[[#This Row],[Revenue]]=0,0,SalesData[[#This Row],[Profit]]/SalesData[[#This Row],[Revenue]])</f>
        <v>0.71533333333333338</v>
      </c>
      <c r="R530" t="s">
        <v>1108</v>
      </c>
      <c r="S530" t="s">
        <v>1307</v>
      </c>
      <c r="T530" t="str">
        <f>PROPER(SalesData[[#This Row],[Customer Name]])</f>
        <v>Aiden Rodriguez</v>
      </c>
      <c r="U530" t="s">
        <v>1416</v>
      </c>
      <c r="V530" t="s">
        <v>1425</v>
      </c>
    </row>
    <row r="531" spans="1:22" x14ac:dyDescent="0.25">
      <c r="A531" t="s">
        <v>1957</v>
      </c>
      <c r="B531" s="5">
        <v>45478</v>
      </c>
      <c r="C531" s="2" t="str">
        <f>TEXT(SalesData[[#This Row],[Order Date]],"mmm")</f>
        <v>Jul</v>
      </c>
      <c r="D531" s="7">
        <f>MONTH(SalesData[[#This Row],[Order Date]])</f>
        <v>7</v>
      </c>
      <c r="E531" s="7">
        <f>YEAR(SalesData[[#This Row],[Order Date]])</f>
        <v>2024</v>
      </c>
      <c r="F531" t="s">
        <v>192</v>
      </c>
      <c r="G531" t="str">
        <f>PROPER(SalesData[[#This Row],[Product Name]])</f>
        <v>Eco Canvas Tote Bag</v>
      </c>
      <c r="H531" t="s">
        <v>1013</v>
      </c>
      <c r="I531" t="str">
        <f>UPPER(SalesData[[#This Row],[Product Category]])</f>
        <v>BAGS</v>
      </c>
      <c r="J531">
        <v>10</v>
      </c>
      <c r="K531">
        <v>25</v>
      </c>
      <c r="L531" s="15">
        <f>IF(SalesData[[#This Row],[Unit Price]]="",
    AVERAGEIFS(SalesData[Unit Price],
               SalesData[Product Name],SalesData[[#This Row],[Product Name]]),
    SalesData[[#This Row],[Unit Price]])</f>
        <v>25</v>
      </c>
      <c r="M531" s="15">
        <v>9.14</v>
      </c>
      <c r="N531" s="15">
        <f>SalesData[[#This Row],[Quantity Sold]] * SalesData[[#This Row],[Cleaned Unit Price]]</f>
        <v>250</v>
      </c>
      <c r="O531" s="15">
        <f>SalesData[[#This Row],[Quantity Sold]] * SalesData[[#This Row],[Unit Cost]]</f>
        <v>91.4</v>
      </c>
      <c r="P531" s="15">
        <f>SalesData[[#This Row],[Revenue]] - SalesData[[#This Row],[Cost]]</f>
        <v>158.6</v>
      </c>
      <c r="Q531" s="13">
        <f>IF(SalesData[[#This Row],[Revenue]]=0,0,SalesData[[#This Row],[Profit]]/SalesData[[#This Row],[Revenue]])</f>
        <v>0.63439999999999996</v>
      </c>
      <c r="R531" t="s">
        <v>1098</v>
      </c>
      <c r="S531" t="s">
        <v>1297</v>
      </c>
      <c r="T531" t="str">
        <f>PROPER(SalesData[[#This Row],[Customer Name]])</f>
        <v>Noah Martinez</v>
      </c>
      <c r="U531" t="s">
        <v>1416</v>
      </c>
      <c r="V531" t="s">
        <v>1422</v>
      </c>
    </row>
    <row r="532" spans="1:22" x14ac:dyDescent="0.25">
      <c r="A532" t="s">
        <v>1958</v>
      </c>
      <c r="B532" s="5">
        <v>45478</v>
      </c>
      <c r="C532" s="2" t="str">
        <f>TEXT(SalesData[[#This Row],[Order Date]],"mmm")</f>
        <v>Jul</v>
      </c>
      <c r="D532" s="7">
        <f>MONTH(SalesData[[#This Row],[Order Date]])</f>
        <v>7</v>
      </c>
      <c r="E532" s="7">
        <f>YEAR(SalesData[[#This Row],[Order Date]])</f>
        <v>2024</v>
      </c>
      <c r="F532" t="s">
        <v>346</v>
      </c>
      <c r="G532" t="str">
        <f>PROPER(SalesData[[#This Row],[Product Name]])</f>
        <v>Solar Led Lantern</v>
      </c>
      <c r="H532" t="s">
        <v>1012</v>
      </c>
      <c r="I532" t="str">
        <f>UPPER(SalesData[[#This Row],[Product Category]])</f>
        <v>LIGHTING</v>
      </c>
      <c r="J532">
        <v>9</v>
      </c>
      <c r="K532">
        <v>40</v>
      </c>
      <c r="L532" s="15">
        <f>IF(SalesData[[#This Row],[Unit Price]]="",
    AVERAGEIFS(SalesData[Unit Price],
               SalesData[Product Name],SalesData[[#This Row],[Product Name]]),
    SalesData[[#This Row],[Unit Price]])</f>
        <v>40</v>
      </c>
      <c r="M532" s="15">
        <v>15.55</v>
      </c>
      <c r="N532" s="15">
        <f>SalesData[[#This Row],[Quantity Sold]] * SalesData[[#This Row],[Cleaned Unit Price]]</f>
        <v>360</v>
      </c>
      <c r="O532" s="15">
        <f>SalesData[[#This Row],[Quantity Sold]] * SalesData[[#This Row],[Unit Cost]]</f>
        <v>139.95000000000002</v>
      </c>
      <c r="P532" s="15">
        <f>SalesData[[#This Row],[Revenue]] - SalesData[[#This Row],[Cost]]</f>
        <v>220.04999999999998</v>
      </c>
      <c r="Q532" s="13">
        <f>IF(SalesData[[#This Row],[Revenue]]=0,0,SalesData[[#This Row],[Profit]]/SalesData[[#This Row],[Revenue]])</f>
        <v>0.61124999999999996</v>
      </c>
      <c r="R532" t="s">
        <v>1129</v>
      </c>
      <c r="S532" t="s">
        <v>1328</v>
      </c>
      <c r="T532" t="str">
        <f>PROPER(SalesData[[#This Row],[Customer Name]])</f>
        <v>Ava Brown</v>
      </c>
      <c r="U532" t="s">
        <v>1414</v>
      </c>
      <c r="V532" t="s">
        <v>1422</v>
      </c>
    </row>
    <row r="533" spans="1:22" x14ac:dyDescent="0.25">
      <c r="A533" t="s">
        <v>1959</v>
      </c>
      <c r="B533" s="5">
        <v>45478</v>
      </c>
      <c r="C533" s="2" t="str">
        <f>TEXT(SalesData[[#This Row],[Order Date]],"mmm")</f>
        <v>Jul</v>
      </c>
      <c r="D533" s="7">
        <f>MONTH(SalesData[[#This Row],[Order Date]])</f>
        <v>7</v>
      </c>
      <c r="E533" s="7">
        <f>YEAR(SalesData[[#This Row],[Order Date]])</f>
        <v>2024</v>
      </c>
      <c r="F533" t="s">
        <v>874</v>
      </c>
      <c r="G533" t="str">
        <f>PROPER(SalesData[[#This Row],[Product Name]])</f>
        <v>Solar Led Lantern</v>
      </c>
      <c r="H533" t="s">
        <v>1012</v>
      </c>
      <c r="I533" t="str">
        <f>UPPER(SalesData[[#This Row],[Product Category]])</f>
        <v>LIGHTING</v>
      </c>
      <c r="J533">
        <v>7</v>
      </c>
      <c r="L533" s="15">
        <f>IF(SalesData[[#This Row],[Unit Price]]="",
    AVERAGEIFS(SalesData[Unit Price],
               SalesData[Product Name],SalesData[[#This Row],[Product Name]]),
    SalesData[[#This Row],[Unit Price]])</f>
        <v>40</v>
      </c>
      <c r="M533" s="15">
        <v>11.99</v>
      </c>
      <c r="N533" s="15">
        <f>SalesData[[#This Row],[Quantity Sold]] * SalesData[[#This Row],[Cleaned Unit Price]]</f>
        <v>280</v>
      </c>
      <c r="O533" s="15">
        <f>SalesData[[#This Row],[Quantity Sold]] * SalesData[[#This Row],[Unit Cost]]</f>
        <v>83.93</v>
      </c>
      <c r="P533" s="15">
        <f>SalesData[[#This Row],[Revenue]] - SalesData[[#This Row],[Cost]]</f>
        <v>196.07</v>
      </c>
      <c r="Q533" s="13">
        <f>IF(SalesData[[#This Row],[Revenue]]=0,0,SalesData[[#This Row],[Profit]]/SalesData[[#This Row],[Revenue]])</f>
        <v>0.70024999999999993</v>
      </c>
      <c r="R533" t="s">
        <v>1077</v>
      </c>
      <c r="S533" t="s">
        <v>1276</v>
      </c>
      <c r="T533" t="str">
        <f>PROPER(SalesData[[#This Row],[Customer Name]])</f>
        <v>Noah Williams</v>
      </c>
      <c r="U533" t="s">
        <v>1414</v>
      </c>
      <c r="V533" t="s">
        <v>1425</v>
      </c>
    </row>
    <row r="534" spans="1:22" x14ac:dyDescent="0.25">
      <c r="A534" t="s">
        <v>1960</v>
      </c>
      <c r="B534" s="5">
        <v>45479</v>
      </c>
      <c r="C534" s="2" t="str">
        <f>TEXT(SalesData[[#This Row],[Order Date]],"mmm")</f>
        <v>Jul</v>
      </c>
      <c r="D534" s="7">
        <f>MONTH(SalesData[[#This Row],[Order Date]])</f>
        <v>7</v>
      </c>
      <c r="E534" s="7">
        <f>YEAR(SalesData[[#This Row],[Order Date]])</f>
        <v>2024</v>
      </c>
      <c r="F534" t="s">
        <v>535</v>
      </c>
      <c r="G534" t="str">
        <f>PROPER(SalesData[[#This Row],[Product Name]])</f>
        <v>Reusable Bamboo Utensil Set</v>
      </c>
      <c r="H534" t="s">
        <v>1014</v>
      </c>
      <c r="I534" t="str">
        <f>UPPER(SalesData[[#This Row],[Product Category]])</f>
        <v>KITCHENWARE</v>
      </c>
      <c r="J534">
        <v>4</v>
      </c>
      <c r="K534">
        <v>15</v>
      </c>
      <c r="L534" s="15">
        <f>IF(SalesData[[#This Row],[Unit Price]]="",
    AVERAGEIFS(SalesData[Unit Price],
               SalesData[Product Name],SalesData[[#This Row],[Product Name]]),
    SalesData[[#This Row],[Unit Price]])</f>
        <v>15</v>
      </c>
      <c r="M534" s="15">
        <v>4.22</v>
      </c>
      <c r="N534" s="15">
        <f>SalesData[[#This Row],[Quantity Sold]] * SalesData[[#This Row],[Cleaned Unit Price]]</f>
        <v>60</v>
      </c>
      <c r="O534" s="15">
        <f>SalesData[[#This Row],[Quantity Sold]] * SalesData[[#This Row],[Unit Cost]]</f>
        <v>16.88</v>
      </c>
      <c r="P534" s="15">
        <f>SalesData[[#This Row],[Revenue]] - SalesData[[#This Row],[Cost]]</f>
        <v>43.120000000000005</v>
      </c>
      <c r="Q534" s="13">
        <f>IF(SalesData[[#This Row],[Revenue]]=0,0,SalesData[[#This Row],[Profit]]/SalesData[[#This Row],[Revenue]])</f>
        <v>0.71866666666666679</v>
      </c>
      <c r="R534" t="s">
        <v>1201</v>
      </c>
      <c r="S534" t="s">
        <v>1400</v>
      </c>
      <c r="T534" t="str">
        <f>PROPER(SalesData[[#This Row],[Customer Name]])</f>
        <v>Evelyn Smith</v>
      </c>
      <c r="U534" t="s">
        <v>1415</v>
      </c>
      <c r="V534" t="s">
        <v>1423</v>
      </c>
    </row>
    <row r="535" spans="1:22" x14ac:dyDescent="0.25">
      <c r="A535" t="s">
        <v>1961</v>
      </c>
      <c r="B535" s="5">
        <v>45480</v>
      </c>
      <c r="C535" s="2" t="str">
        <f>TEXT(SalesData[[#This Row],[Order Date]],"mmm")</f>
        <v>Jul</v>
      </c>
      <c r="D535" s="7">
        <f>MONTH(SalesData[[#This Row],[Order Date]])</f>
        <v>7</v>
      </c>
      <c r="E535" s="7">
        <f>YEAR(SalesData[[#This Row],[Order Date]])</f>
        <v>2024</v>
      </c>
      <c r="F535" t="s">
        <v>422</v>
      </c>
      <c r="G535" t="str">
        <f>PROPER(SalesData[[#This Row],[Product Name]])</f>
        <v>Compostable Plant Pots</v>
      </c>
      <c r="H535" t="s">
        <v>1011</v>
      </c>
      <c r="I535" t="str">
        <f>UPPER(SalesData[[#This Row],[Product Category]])</f>
        <v>GARDENING</v>
      </c>
      <c r="J535">
        <v>5</v>
      </c>
      <c r="K535">
        <v>12</v>
      </c>
      <c r="L535" s="15">
        <f>IF(SalesData[[#This Row],[Unit Price]]="",
    AVERAGEIFS(SalesData[Unit Price],
               SalesData[Product Name],SalesData[[#This Row],[Product Name]]),
    SalesData[[#This Row],[Unit Price]])</f>
        <v>12</v>
      </c>
      <c r="M535" s="15">
        <v>4.4800000000000004</v>
      </c>
      <c r="N535" s="15">
        <f>SalesData[[#This Row],[Quantity Sold]] * SalesData[[#This Row],[Cleaned Unit Price]]</f>
        <v>60</v>
      </c>
      <c r="O535" s="15">
        <f>SalesData[[#This Row],[Quantity Sold]] * SalesData[[#This Row],[Unit Cost]]</f>
        <v>22.400000000000002</v>
      </c>
      <c r="P535" s="15">
        <f>SalesData[[#This Row],[Revenue]] - SalesData[[#This Row],[Cost]]</f>
        <v>37.599999999999994</v>
      </c>
      <c r="Q535" s="13">
        <f>IF(SalesData[[#This Row],[Revenue]]=0,0,SalesData[[#This Row],[Profit]]/SalesData[[#This Row],[Revenue]])</f>
        <v>0.62666666666666659</v>
      </c>
      <c r="R535" t="s">
        <v>1024</v>
      </c>
      <c r="S535" t="s">
        <v>1223</v>
      </c>
      <c r="T535" t="str">
        <f>PROPER(SalesData[[#This Row],[Customer Name]])</f>
        <v>Ava Rodriguez</v>
      </c>
      <c r="U535" t="s">
        <v>1415</v>
      </c>
      <c r="V535" t="s">
        <v>1423</v>
      </c>
    </row>
    <row r="536" spans="1:22" x14ac:dyDescent="0.25">
      <c r="A536" t="s">
        <v>1962</v>
      </c>
      <c r="B536" s="5">
        <v>45480</v>
      </c>
      <c r="C536" s="2" t="str">
        <f>TEXT(SalesData[[#This Row],[Order Date]],"mmm")</f>
        <v>Jul</v>
      </c>
      <c r="D536" s="7">
        <f>MONTH(SalesData[[#This Row],[Order Date]])</f>
        <v>7</v>
      </c>
      <c r="E536" s="7">
        <f>YEAR(SalesData[[#This Row],[Order Date]])</f>
        <v>2024</v>
      </c>
      <c r="F536" t="s">
        <v>524</v>
      </c>
      <c r="G536" t="str">
        <f>PROPER(SalesData[[#This Row],[Product Name]])</f>
        <v>Reusable Bamboo Utensil Set</v>
      </c>
      <c r="H536" t="s">
        <v>1014</v>
      </c>
      <c r="I536" t="str">
        <f>UPPER(SalesData[[#This Row],[Product Category]])</f>
        <v>KITCHENWARE</v>
      </c>
      <c r="J536">
        <v>2</v>
      </c>
      <c r="K536">
        <v>15</v>
      </c>
      <c r="L536" s="15">
        <f>IF(SalesData[[#This Row],[Unit Price]]="",
    AVERAGEIFS(SalesData[Unit Price],
               SalesData[Product Name],SalesData[[#This Row],[Product Name]]),
    SalesData[[#This Row],[Unit Price]])</f>
        <v>15</v>
      </c>
      <c r="M536" s="15">
        <v>4.96</v>
      </c>
      <c r="N536" s="15">
        <f>SalesData[[#This Row],[Quantity Sold]] * SalesData[[#This Row],[Cleaned Unit Price]]</f>
        <v>30</v>
      </c>
      <c r="O536" s="15">
        <f>SalesData[[#This Row],[Quantity Sold]] * SalesData[[#This Row],[Unit Cost]]</f>
        <v>9.92</v>
      </c>
      <c r="P536" s="15">
        <f>SalesData[[#This Row],[Revenue]] - SalesData[[#This Row],[Cost]]</f>
        <v>20.079999999999998</v>
      </c>
      <c r="Q536" s="13">
        <f>IF(SalesData[[#This Row],[Revenue]]=0,0,SalesData[[#This Row],[Profit]]/SalesData[[#This Row],[Revenue]])</f>
        <v>0.66933333333333322</v>
      </c>
      <c r="R536" t="s">
        <v>1057</v>
      </c>
      <c r="S536" t="s">
        <v>1256</v>
      </c>
      <c r="T536" t="str">
        <f>PROPER(SalesData[[#This Row],[Customer Name]])</f>
        <v>Isabella Garcia</v>
      </c>
      <c r="U536" t="s">
        <v>1416</v>
      </c>
      <c r="V536" t="s">
        <v>1423</v>
      </c>
    </row>
    <row r="537" spans="1:22" x14ac:dyDescent="0.25">
      <c r="A537" t="s">
        <v>1963</v>
      </c>
      <c r="B537" s="5">
        <v>45482</v>
      </c>
      <c r="C537" s="2" t="str">
        <f>TEXT(SalesData[[#This Row],[Order Date]],"mmm")</f>
        <v>Jul</v>
      </c>
      <c r="D537" s="7">
        <f>MONTH(SalesData[[#This Row],[Order Date]])</f>
        <v>7</v>
      </c>
      <c r="E537" s="7">
        <f>YEAR(SalesData[[#This Row],[Order Date]])</f>
        <v>2024</v>
      </c>
      <c r="F537" t="s">
        <v>448</v>
      </c>
      <c r="G537" t="str">
        <f>PROPER(SalesData[[#This Row],[Product Name]])</f>
        <v>Eco Canvas Tote Bag</v>
      </c>
      <c r="H537" t="s">
        <v>1013</v>
      </c>
      <c r="I537" t="str">
        <f>UPPER(SalesData[[#This Row],[Product Category]])</f>
        <v>BAGS</v>
      </c>
      <c r="J537">
        <v>5</v>
      </c>
      <c r="K537">
        <v>25</v>
      </c>
      <c r="L537" s="15">
        <f>IF(SalesData[[#This Row],[Unit Price]]="",
    AVERAGEIFS(SalesData[Unit Price],
               SalesData[Product Name],SalesData[[#This Row],[Product Name]]),
    SalesData[[#This Row],[Unit Price]])</f>
        <v>25</v>
      </c>
      <c r="M537" s="15">
        <v>7.6</v>
      </c>
      <c r="N537" s="15">
        <f>SalesData[[#This Row],[Quantity Sold]] * SalesData[[#This Row],[Cleaned Unit Price]]</f>
        <v>125</v>
      </c>
      <c r="O537" s="15">
        <f>SalesData[[#This Row],[Quantity Sold]] * SalesData[[#This Row],[Unit Cost]]</f>
        <v>38</v>
      </c>
      <c r="P537" s="15">
        <f>SalesData[[#This Row],[Revenue]] - SalesData[[#This Row],[Cost]]</f>
        <v>87</v>
      </c>
      <c r="Q537" s="13">
        <f>IF(SalesData[[#This Row],[Revenue]]=0,0,SalesData[[#This Row],[Profit]]/SalesData[[#This Row],[Revenue]])</f>
        <v>0.69599999999999995</v>
      </c>
      <c r="R537" t="s">
        <v>1074</v>
      </c>
      <c r="S537" t="s">
        <v>1273</v>
      </c>
      <c r="T537" t="str">
        <f>PROPER(SalesData[[#This Row],[Customer Name]])</f>
        <v>Isabella Jones</v>
      </c>
      <c r="U537" t="s">
        <v>1414</v>
      </c>
      <c r="V537" t="s">
        <v>1420</v>
      </c>
    </row>
    <row r="538" spans="1:22" x14ac:dyDescent="0.25">
      <c r="A538" t="s">
        <v>1964</v>
      </c>
      <c r="B538" s="5">
        <v>45483</v>
      </c>
      <c r="C538" s="2" t="str">
        <f>TEXT(SalesData[[#This Row],[Order Date]],"mmm")</f>
        <v>Jul</v>
      </c>
      <c r="D538" s="7">
        <f>MONTH(SalesData[[#This Row],[Order Date]])</f>
        <v>7</v>
      </c>
      <c r="E538" s="7">
        <f>YEAR(SalesData[[#This Row],[Order Date]])</f>
        <v>2024</v>
      </c>
      <c r="F538" t="s">
        <v>238</v>
      </c>
      <c r="G538" t="str">
        <f>PROPER(SalesData[[#This Row],[Product Name]])</f>
        <v>Compostable Plant Pots</v>
      </c>
      <c r="H538" t="s">
        <v>1011</v>
      </c>
      <c r="I538" t="str">
        <f>UPPER(SalesData[[#This Row],[Product Category]])</f>
        <v>GARDENING</v>
      </c>
      <c r="J538">
        <v>5</v>
      </c>
      <c r="K538">
        <v>12</v>
      </c>
      <c r="L538" s="15">
        <f>IF(SalesData[[#This Row],[Unit Price]]="",
    AVERAGEIFS(SalesData[Unit Price],
               SalesData[Product Name],SalesData[[#This Row],[Product Name]]),
    SalesData[[#This Row],[Unit Price]])</f>
        <v>12</v>
      </c>
      <c r="M538" s="15">
        <v>3.87</v>
      </c>
      <c r="N538" s="15">
        <f>SalesData[[#This Row],[Quantity Sold]] * SalesData[[#This Row],[Cleaned Unit Price]]</f>
        <v>60</v>
      </c>
      <c r="O538" s="15">
        <f>SalesData[[#This Row],[Quantity Sold]] * SalesData[[#This Row],[Unit Cost]]</f>
        <v>19.350000000000001</v>
      </c>
      <c r="P538" s="15">
        <f>SalesData[[#This Row],[Revenue]] - SalesData[[#This Row],[Cost]]</f>
        <v>40.65</v>
      </c>
      <c r="Q538" s="13">
        <f>IF(SalesData[[#This Row],[Revenue]]=0,0,SalesData[[#This Row],[Profit]]/SalesData[[#This Row],[Revenue]])</f>
        <v>0.67749999999999999</v>
      </c>
      <c r="R538" t="s">
        <v>1151</v>
      </c>
      <c r="S538" t="s">
        <v>1350</v>
      </c>
      <c r="T538" t="str">
        <f>PROPER(SalesData[[#This Row],[Customer Name]])</f>
        <v>Isabella Brown</v>
      </c>
      <c r="U538" t="s">
        <v>1416</v>
      </c>
      <c r="V538" t="s">
        <v>1424</v>
      </c>
    </row>
    <row r="539" spans="1:22" x14ac:dyDescent="0.25">
      <c r="A539" t="s">
        <v>1965</v>
      </c>
      <c r="B539" s="5">
        <v>45483</v>
      </c>
      <c r="C539" s="2" t="str">
        <f>TEXT(SalesData[[#This Row],[Order Date]],"mmm")</f>
        <v>Jul</v>
      </c>
      <c r="D539" s="7">
        <f>MONTH(SalesData[[#This Row],[Order Date]])</f>
        <v>7</v>
      </c>
      <c r="E539" s="7">
        <f>YEAR(SalesData[[#This Row],[Order Date]])</f>
        <v>2024</v>
      </c>
      <c r="F539" t="s">
        <v>352</v>
      </c>
      <c r="G539" t="str">
        <f>PROPER(SalesData[[#This Row],[Product Name]])</f>
        <v>Reusable Bamboo Utensil Set</v>
      </c>
      <c r="H539" t="s">
        <v>1014</v>
      </c>
      <c r="I539" t="str">
        <f>UPPER(SalesData[[#This Row],[Product Category]])</f>
        <v>KITCHENWARE</v>
      </c>
      <c r="J539">
        <v>6</v>
      </c>
      <c r="K539">
        <v>15</v>
      </c>
      <c r="L539" s="15">
        <f>IF(SalesData[[#This Row],[Unit Price]]="",
    AVERAGEIFS(SalesData[Unit Price],
               SalesData[Product Name],SalesData[[#This Row],[Product Name]]),
    SalesData[[#This Row],[Unit Price]])</f>
        <v>15</v>
      </c>
      <c r="M539" s="15">
        <v>3.58</v>
      </c>
      <c r="N539" s="15">
        <f>SalesData[[#This Row],[Quantity Sold]] * SalesData[[#This Row],[Cleaned Unit Price]]</f>
        <v>90</v>
      </c>
      <c r="O539" s="15">
        <f>SalesData[[#This Row],[Quantity Sold]] * SalesData[[#This Row],[Unit Cost]]</f>
        <v>21.48</v>
      </c>
      <c r="P539" s="15">
        <f>SalesData[[#This Row],[Revenue]] - SalesData[[#This Row],[Cost]]</f>
        <v>68.52</v>
      </c>
      <c r="Q539" s="13">
        <f>IF(SalesData[[#This Row],[Revenue]]=0,0,SalesData[[#This Row],[Profit]]/SalesData[[#This Row],[Revenue]])</f>
        <v>0.76133333333333331</v>
      </c>
      <c r="R539" t="s">
        <v>1026</v>
      </c>
      <c r="S539" t="s">
        <v>1225</v>
      </c>
      <c r="T539" t="str">
        <f>PROPER(SalesData[[#This Row],[Customer Name]])</f>
        <v>Evelyn Martinez</v>
      </c>
      <c r="U539" t="s">
        <v>1414</v>
      </c>
      <c r="V539" t="s">
        <v>1426</v>
      </c>
    </row>
    <row r="540" spans="1:22" x14ac:dyDescent="0.25">
      <c r="A540" t="s">
        <v>1966</v>
      </c>
      <c r="B540" s="5">
        <v>45484</v>
      </c>
      <c r="C540" s="2" t="str">
        <f>TEXT(SalesData[[#This Row],[Order Date]],"mmm")</f>
        <v>Jul</v>
      </c>
      <c r="D540" s="7">
        <f>MONTH(SalesData[[#This Row],[Order Date]])</f>
        <v>7</v>
      </c>
      <c r="E540" s="7">
        <f>YEAR(SalesData[[#This Row],[Order Date]])</f>
        <v>2024</v>
      </c>
      <c r="F540" t="s">
        <v>395</v>
      </c>
      <c r="G540" t="str">
        <f>PROPER(SalesData[[#This Row],[Product Name]])</f>
        <v>Reusable Bamboo Utensil Set</v>
      </c>
      <c r="H540" t="s">
        <v>1014</v>
      </c>
      <c r="I540" t="str">
        <f>UPPER(SalesData[[#This Row],[Product Category]])</f>
        <v>KITCHENWARE</v>
      </c>
      <c r="J540">
        <v>10</v>
      </c>
      <c r="L540" s="15">
        <f>IF(SalesData[[#This Row],[Unit Price]]="",
    AVERAGEIFS(SalesData[Unit Price],
               SalesData[Product Name],SalesData[[#This Row],[Product Name]]),
    SalesData[[#This Row],[Unit Price]])</f>
        <v>15</v>
      </c>
      <c r="M540" s="15">
        <v>5.77</v>
      </c>
      <c r="N540" s="15">
        <f>SalesData[[#This Row],[Quantity Sold]] * SalesData[[#This Row],[Cleaned Unit Price]]</f>
        <v>150</v>
      </c>
      <c r="O540" s="15">
        <f>SalesData[[#This Row],[Quantity Sold]] * SalesData[[#This Row],[Unit Cost]]</f>
        <v>57.699999999999996</v>
      </c>
      <c r="P540" s="15">
        <f>SalesData[[#This Row],[Revenue]] - SalesData[[#This Row],[Cost]]</f>
        <v>92.300000000000011</v>
      </c>
      <c r="Q540" s="13">
        <f>IF(SalesData[[#This Row],[Revenue]]=0,0,SalesData[[#This Row],[Profit]]/SalesData[[#This Row],[Revenue]])</f>
        <v>0.6153333333333334</v>
      </c>
      <c r="R540" t="s">
        <v>1094</v>
      </c>
      <c r="S540" t="s">
        <v>1293</v>
      </c>
      <c r="T540" t="str">
        <f>PROPER(SalesData[[#This Row],[Customer Name]])</f>
        <v>Sophia Davis</v>
      </c>
      <c r="U540" t="s">
        <v>1414</v>
      </c>
      <c r="V540" t="s">
        <v>1426</v>
      </c>
    </row>
    <row r="541" spans="1:22" x14ac:dyDescent="0.25">
      <c r="A541" t="s">
        <v>1967</v>
      </c>
      <c r="B541" s="5">
        <v>45485</v>
      </c>
      <c r="C541" s="2" t="str">
        <f>TEXT(SalesData[[#This Row],[Order Date]],"mmm")</f>
        <v>Jul</v>
      </c>
      <c r="D541" s="7">
        <f>MONTH(SalesData[[#This Row],[Order Date]])</f>
        <v>7</v>
      </c>
      <c r="E541" s="7">
        <f>YEAR(SalesData[[#This Row],[Order Date]])</f>
        <v>2024</v>
      </c>
      <c r="F541" t="s">
        <v>155</v>
      </c>
      <c r="G541" t="str">
        <f>PROPER(SalesData[[#This Row],[Product Name]])</f>
        <v>Solar Led Lantern</v>
      </c>
      <c r="H541" t="s">
        <v>1012</v>
      </c>
      <c r="I541" t="str">
        <f>UPPER(SalesData[[#This Row],[Product Category]])</f>
        <v>LIGHTING</v>
      </c>
      <c r="J541">
        <v>3</v>
      </c>
      <c r="K541">
        <v>40</v>
      </c>
      <c r="L541" s="15">
        <f>IF(SalesData[[#This Row],[Unit Price]]="",
    AVERAGEIFS(SalesData[Unit Price],
               SalesData[Product Name],SalesData[[#This Row],[Product Name]]),
    SalesData[[#This Row],[Unit Price]])</f>
        <v>40</v>
      </c>
      <c r="M541" s="15">
        <v>12.58</v>
      </c>
      <c r="N541" s="15">
        <f>SalesData[[#This Row],[Quantity Sold]] * SalesData[[#This Row],[Cleaned Unit Price]]</f>
        <v>120</v>
      </c>
      <c r="O541" s="15">
        <f>SalesData[[#This Row],[Quantity Sold]] * SalesData[[#This Row],[Unit Cost]]</f>
        <v>37.74</v>
      </c>
      <c r="P541" s="15">
        <f>SalesData[[#This Row],[Revenue]] - SalesData[[#This Row],[Cost]]</f>
        <v>82.259999999999991</v>
      </c>
      <c r="Q541" s="13">
        <f>IF(SalesData[[#This Row],[Revenue]]=0,0,SalesData[[#This Row],[Profit]]/SalesData[[#This Row],[Revenue]])</f>
        <v>0.68549999999999989</v>
      </c>
      <c r="R541" t="s">
        <v>1065</v>
      </c>
      <c r="S541" t="s">
        <v>1264</v>
      </c>
      <c r="T541" t="str">
        <f>PROPER(SalesData[[#This Row],[Customer Name]])</f>
        <v>Elijah Jones</v>
      </c>
      <c r="U541" t="s">
        <v>1414</v>
      </c>
      <c r="V541" t="s">
        <v>1418</v>
      </c>
    </row>
    <row r="542" spans="1:22" x14ac:dyDescent="0.25">
      <c r="A542" t="s">
        <v>1968</v>
      </c>
      <c r="B542" s="5">
        <v>45485</v>
      </c>
      <c r="C542" s="2" t="str">
        <f>TEXT(SalesData[[#This Row],[Order Date]],"mmm")</f>
        <v>Jul</v>
      </c>
      <c r="D542" s="7">
        <f>MONTH(SalesData[[#This Row],[Order Date]])</f>
        <v>7</v>
      </c>
      <c r="E542" s="7">
        <f>YEAR(SalesData[[#This Row],[Order Date]])</f>
        <v>2024</v>
      </c>
      <c r="F542" t="s">
        <v>806</v>
      </c>
      <c r="G542" t="str">
        <f>PROPER(SalesData[[#This Row],[Product Name]])</f>
        <v>Reusable Bamboo Utensil Set</v>
      </c>
      <c r="H542" t="s">
        <v>1014</v>
      </c>
      <c r="I542" t="str">
        <f>UPPER(SalesData[[#This Row],[Product Category]])</f>
        <v>KITCHENWARE</v>
      </c>
      <c r="J542">
        <v>9</v>
      </c>
      <c r="K542">
        <v>15</v>
      </c>
      <c r="L542" s="15">
        <f>IF(SalesData[[#This Row],[Unit Price]]="",
    AVERAGEIFS(SalesData[Unit Price],
               SalesData[Product Name],SalesData[[#This Row],[Product Name]]),
    SalesData[[#This Row],[Unit Price]])</f>
        <v>15</v>
      </c>
      <c r="M542" s="15">
        <v>5.0599999999999996</v>
      </c>
      <c r="N542" s="15">
        <f>SalesData[[#This Row],[Quantity Sold]] * SalesData[[#This Row],[Cleaned Unit Price]]</f>
        <v>135</v>
      </c>
      <c r="O542" s="15">
        <f>SalesData[[#This Row],[Quantity Sold]] * SalesData[[#This Row],[Unit Cost]]</f>
        <v>45.54</v>
      </c>
      <c r="P542" s="15">
        <f>SalesData[[#This Row],[Revenue]] - SalesData[[#This Row],[Cost]]</f>
        <v>89.460000000000008</v>
      </c>
      <c r="Q542" s="13">
        <f>IF(SalesData[[#This Row],[Revenue]]=0,0,SalesData[[#This Row],[Profit]]/SalesData[[#This Row],[Revenue]])</f>
        <v>0.66266666666666674</v>
      </c>
      <c r="R542" t="s">
        <v>1144</v>
      </c>
      <c r="S542" t="s">
        <v>1343</v>
      </c>
      <c r="T542" t="str">
        <f>PROPER(SalesData[[#This Row],[Customer Name]])</f>
        <v>Ava Davis</v>
      </c>
      <c r="U542" t="s">
        <v>1415</v>
      </c>
      <c r="V542" t="s">
        <v>1418</v>
      </c>
    </row>
    <row r="543" spans="1:22" x14ac:dyDescent="0.25">
      <c r="A543" t="s">
        <v>1969</v>
      </c>
      <c r="B543" s="5">
        <v>45485</v>
      </c>
      <c r="C543" s="2" t="str">
        <f>TEXT(SalesData[[#This Row],[Order Date]],"mmm")</f>
        <v>Jul</v>
      </c>
      <c r="D543" s="7">
        <f>MONTH(SalesData[[#This Row],[Order Date]])</f>
        <v>7</v>
      </c>
      <c r="E543" s="7">
        <f>YEAR(SalesData[[#This Row],[Order Date]])</f>
        <v>2024</v>
      </c>
      <c r="F543" t="s">
        <v>891</v>
      </c>
      <c r="G543" t="str">
        <f>PROPER(SalesData[[#This Row],[Product Name]])</f>
        <v>Reusable Bamboo Utensil Set</v>
      </c>
      <c r="H543" t="s">
        <v>1014</v>
      </c>
      <c r="I543" t="str">
        <f>UPPER(SalesData[[#This Row],[Product Category]])</f>
        <v>KITCHENWARE</v>
      </c>
      <c r="J543">
        <v>9</v>
      </c>
      <c r="K543">
        <v>15</v>
      </c>
      <c r="L543" s="15">
        <f>IF(SalesData[[#This Row],[Unit Price]]="",
    AVERAGEIFS(SalesData[Unit Price],
               SalesData[Product Name],SalesData[[#This Row],[Product Name]]),
    SalesData[[#This Row],[Unit Price]])</f>
        <v>15</v>
      </c>
      <c r="M543" s="15">
        <v>4.67</v>
      </c>
      <c r="N543" s="15">
        <f>SalesData[[#This Row],[Quantity Sold]] * SalesData[[#This Row],[Cleaned Unit Price]]</f>
        <v>135</v>
      </c>
      <c r="O543" s="15">
        <f>SalesData[[#This Row],[Quantity Sold]] * SalesData[[#This Row],[Unit Cost]]</f>
        <v>42.03</v>
      </c>
      <c r="P543" s="15">
        <f>SalesData[[#This Row],[Revenue]] - SalesData[[#This Row],[Cost]]</f>
        <v>92.97</v>
      </c>
      <c r="Q543" s="13">
        <f>IF(SalesData[[#This Row],[Revenue]]=0,0,SalesData[[#This Row],[Profit]]/SalesData[[#This Row],[Revenue]])</f>
        <v>0.68866666666666665</v>
      </c>
      <c r="R543" t="s">
        <v>1055</v>
      </c>
      <c r="S543" t="s">
        <v>1254</v>
      </c>
      <c r="T543" t="str">
        <f>PROPER(SalesData[[#This Row],[Customer Name]])</f>
        <v>Lucas Brown</v>
      </c>
      <c r="U543" t="s">
        <v>1414</v>
      </c>
      <c r="V543" t="s">
        <v>1427</v>
      </c>
    </row>
    <row r="544" spans="1:22" x14ac:dyDescent="0.25">
      <c r="A544" t="s">
        <v>1970</v>
      </c>
      <c r="B544" s="5">
        <v>45486</v>
      </c>
      <c r="C544" s="2" t="str">
        <f>TEXT(SalesData[[#This Row],[Order Date]],"mmm")</f>
        <v>Jul</v>
      </c>
      <c r="D544" s="7">
        <f>MONTH(SalesData[[#This Row],[Order Date]])</f>
        <v>7</v>
      </c>
      <c r="E544" s="7">
        <f>YEAR(SalesData[[#This Row],[Order Date]])</f>
        <v>2024</v>
      </c>
      <c r="F544" t="s">
        <v>373</v>
      </c>
      <c r="G544" t="str">
        <f>PROPER(SalesData[[#This Row],[Product Name]])</f>
        <v>Biodegradable Cleaning Cloth</v>
      </c>
      <c r="H544" t="s">
        <v>1015</v>
      </c>
      <c r="I544" t="str">
        <f>UPPER(SalesData[[#This Row],[Product Category]])</f>
        <v>CLEANING</v>
      </c>
      <c r="J544">
        <v>10</v>
      </c>
      <c r="K544">
        <v>10</v>
      </c>
      <c r="L544" s="15">
        <f>IF(SalesData[[#This Row],[Unit Price]]="",
    AVERAGEIFS(SalesData[Unit Price],
               SalesData[Product Name],SalesData[[#This Row],[Product Name]]),
    SalesData[[#This Row],[Unit Price]])</f>
        <v>10</v>
      </c>
      <c r="M544" s="15">
        <v>2.2200000000000002</v>
      </c>
      <c r="N544" s="15">
        <f>SalesData[[#This Row],[Quantity Sold]] * SalesData[[#This Row],[Cleaned Unit Price]]</f>
        <v>100</v>
      </c>
      <c r="O544" s="15">
        <f>SalesData[[#This Row],[Quantity Sold]] * SalesData[[#This Row],[Unit Cost]]</f>
        <v>22.200000000000003</v>
      </c>
      <c r="P544" s="15">
        <f>SalesData[[#This Row],[Revenue]] - SalesData[[#This Row],[Cost]]</f>
        <v>77.8</v>
      </c>
      <c r="Q544" s="13">
        <f>IF(SalesData[[#This Row],[Revenue]]=0,0,SalesData[[#This Row],[Profit]]/SalesData[[#This Row],[Revenue]])</f>
        <v>0.77800000000000002</v>
      </c>
      <c r="R544" t="s">
        <v>1180</v>
      </c>
      <c r="S544" t="s">
        <v>1379</v>
      </c>
      <c r="T544" t="str">
        <f>PROPER(SalesData[[#This Row],[Customer Name]])</f>
        <v>Amelia Miller</v>
      </c>
      <c r="U544" t="s">
        <v>1417</v>
      </c>
      <c r="V544" t="s">
        <v>1423</v>
      </c>
    </row>
    <row r="545" spans="1:22" x14ac:dyDescent="0.25">
      <c r="A545" t="s">
        <v>1971</v>
      </c>
      <c r="B545" s="5">
        <v>45487</v>
      </c>
      <c r="C545" s="2" t="str">
        <f>TEXT(SalesData[[#This Row],[Order Date]],"mmm")</f>
        <v>Jul</v>
      </c>
      <c r="D545" s="7">
        <f>MONTH(SalesData[[#This Row],[Order Date]])</f>
        <v>7</v>
      </c>
      <c r="E545" s="7">
        <f>YEAR(SalesData[[#This Row],[Order Date]])</f>
        <v>2024</v>
      </c>
      <c r="F545" t="s">
        <v>177</v>
      </c>
      <c r="G545" t="str">
        <f>PROPER(SalesData[[#This Row],[Product Name]])</f>
        <v>Biodegradable Cleaning Cloth</v>
      </c>
      <c r="H545" t="s">
        <v>1015</v>
      </c>
      <c r="I545" t="str">
        <f>UPPER(SalesData[[#This Row],[Product Category]])</f>
        <v>CLEANING</v>
      </c>
      <c r="J545">
        <v>2</v>
      </c>
      <c r="K545">
        <v>10</v>
      </c>
      <c r="L545" s="15">
        <f>IF(SalesData[[#This Row],[Unit Price]]="",
    AVERAGEIFS(SalesData[Unit Price],
               SalesData[Product Name],SalesData[[#This Row],[Product Name]]),
    SalesData[[#This Row],[Unit Price]])</f>
        <v>10</v>
      </c>
      <c r="M545" s="15">
        <v>2.02</v>
      </c>
      <c r="N545" s="15">
        <f>SalesData[[#This Row],[Quantity Sold]] * SalesData[[#This Row],[Cleaned Unit Price]]</f>
        <v>20</v>
      </c>
      <c r="O545" s="15">
        <f>SalesData[[#This Row],[Quantity Sold]] * SalesData[[#This Row],[Unit Cost]]</f>
        <v>4.04</v>
      </c>
      <c r="P545" s="15">
        <f>SalesData[[#This Row],[Revenue]] - SalesData[[#This Row],[Cost]]</f>
        <v>15.96</v>
      </c>
      <c r="Q545" s="13">
        <f>IF(SalesData[[#This Row],[Revenue]]=0,0,SalesData[[#This Row],[Profit]]/SalesData[[#This Row],[Revenue]])</f>
        <v>0.79800000000000004</v>
      </c>
      <c r="R545" t="s">
        <v>1130</v>
      </c>
      <c r="S545" t="s">
        <v>1329</v>
      </c>
      <c r="T545" t="str">
        <f>PROPER(SalesData[[#This Row],[Customer Name]])</f>
        <v>Sophia Johnson</v>
      </c>
      <c r="U545" t="s">
        <v>1416</v>
      </c>
      <c r="V545" t="s">
        <v>1421</v>
      </c>
    </row>
    <row r="546" spans="1:22" x14ac:dyDescent="0.25">
      <c r="A546" t="s">
        <v>1972</v>
      </c>
      <c r="B546" s="5">
        <v>45487</v>
      </c>
      <c r="C546" s="2" t="str">
        <f>TEXT(SalesData[[#This Row],[Order Date]],"mmm")</f>
        <v>Jul</v>
      </c>
      <c r="D546" s="7">
        <f>MONTH(SalesData[[#This Row],[Order Date]])</f>
        <v>7</v>
      </c>
      <c r="E546" s="7">
        <f>YEAR(SalesData[[#This Row],[Order Date]])</f>
        <v>2024</v>
      </c>
      <c r="F546" t="s">
        <v>296</v>
      </c>
      <c r="G546" t="str">
        <f>PROPER(SalesData[[#This Row],[Product Name]])</f>
        <v>Compostable Plant Pots</v>
      </c>
      <c r="H546" t="s">
        <v>1011</v>
      </c>
      <c r="I546" t="str">
        <f>UPPER(SalesData[[#This Row],[Product Category]])</f>
        <v>GARDENING</v>
      </c>
      <c r="J546">
        <v>5</v>
      </c>
      <c r="K546">
        <v>12</v>
      </c>
      <c r="L546" s="15">
        <f>IF(SalesData[[#This Row],[Unit Price]]="",
    AVERAGEIFS(SalesData[Unit Price],
               SalesData[Product Name],SalesData[[#This Row],[Product Name]]),
    SalesData[[#This Row],[Unit Price]])</f>
        <v>12</v>
      </c>
      <c r="M546" s="15">
        <v>2.5099999999999998</v>
      </c>
      <c r="N546" s="15">
        <f>SalesData[[#This Row],[Quantity Sold]] * SalesData[[#This Row],[Cleaned Unit Price]]</f>
        <v>60</v>
      </c>
      <c r="O546" s="15">
        <f>SalesData[[#This Row],[Quantity Sold]] * SalesData[[#This Row],[Unit Cost]]</f>
        <v>12.549999999999999</v>
      </c>
      <c r="P546" s="15">
        <f>SalesData[[#This Row],[Revenue]] - SalesData[[#This Row],[Cost]]</f>
        <v>47.45</v>
      </c>
      <c r="Q546" s="13">
        <f>IF(SalesData[[#This Row],[Revenue]]=0,0,SalesData[[#This Row],[Profit]]/SalesData[[#This Row],[Revenue]])</f>
        <v>0.79083333333333339</v>
      </c>
      <c r="R546" t="s">
        <v>1034</v>
      </c>
      <c r="S546" t="s">
        <v>1233</v>
      </c>
      <c r="T546" t="str">
        <f>PROPER(SalesData[[#This Row],[Customer Name]])</f>
        <v>Liam Garcia</v>
      </c>
      <c r="U546" t="s">
        <v>1414</v>
      </c>
      <c r="V546" t="s">
        <v>1425</v>
      </c>
    </row>
    <row r="547" spans="1:22" x14ac:dyDescent="0.25">
      <c r="A547" t="s">
        <v>1973</v>
      </c>
      <c r="B547" s="5">
        <v>45487</v>
      </c>
      <c r="C547" s="2" t="str">
        <f>TEXT(SalesData[[#This Row],[Order Date]],"mmm")</f>
        <v>Jul</v>
      </c>
      <c r="D547" s="7">
        <f>MONTH(SalesData[[#This Row],[Order Date]])</f>
        <v>7</v>
      </c>
      <c r="E547" s="7">
        <f>YEAR(SalesData[[#This Row],[Order Date]])</f>
        <v>2024</v>
      </c>
      <c r="F547" t="s">
        <v>789</v>
      </c>
      <c r="G547" t="str">
        <f>PROPER(SalesData[[#This Row],[Product Name]])</f>
        <v>Biodegradable Cleaning Cloth</v>
      </c>
      <c r="H547" t="s">
        <v>1015</v>
      </c>
      <c r="I547" t="str">
        <f>UPPER(SalesData[[#This Row],[Product Category]])</f>
        <v>CLEANING</v>
      </c>
      <c r="J547">
        <v>4</v>
      </c>
      <c r="K547">
        <v>10</v>
      </c>
      <c r="L547" s="15">
        <f>IF(SalesData[[#This Row],[Unit Price]]="",
    AVERAGEIFS(SalesData[Unit Price],
               SalesData[Product Name],SalesData[[#This Row],[Product Name]]),
    SalesData[[#This Row],[Unit Price]])</f>
        <v>10</v>
      </c>
      <c r="M547" s="15">
        <v>3.9</v>
      </c>
      <c r="N547" s="15">
        <f>SalesData[[#This Row],[Quantity Sold]] * SalesData[[#This Row],[Cleaned Unit Price]]</f>
        <v>40</v>
      </c>
      <c r="O547" s="15">
        <f>SalesData[[#This Row],[Quantity Sold]] * SalesData[[#This Row],[Unit Cost]]</f>
        <v>15.6</v>
      </c>
      <c r="P547" s="15">
        <f>SalesData[[#This Row],[Revenue]] - SalesData[[#This Row],[Cost]]</f>
        <v>24.4</v>
      </c>
      <c r="Q547" s="13">
        <f>IF(SalesData[[#This Row],[Revenue]]=0,0,SalesData[[#This Row],[Profit]]/SalesData[[#This Row],[Revenue]])</f>
        <v>0.61</v>
      </c>
      <c r="R547" t="s">
        <v>1089</v>
      </c>
      <c r="S547" t="s">
        <v>1288</v>
      </c>
      <c r="T547" t="str">
        <f>PROPER(SalesData[[#This Row],[Customer Name]])</f>
        <v>Isabella Garcia</v>
      </c>
      <c r="U547" t="s">
        <v>1416</v>
      </c>
      <c r="V547" t="s">
        <v>1423</v>
      </c>
    </row>
    <row r="548" spans="1:22" x14ac:dyDescent="0.25">
      <c r="A548" t="s">
        <v>1974</v>
      </c>
      <c r="B548" s="5">
        <v>45487</v>
      </c>
      <c r="C548" s="2" t="str">
        <f>TEXT(SalesData[[#This Row],[Order Date]],"mmm")</f>
        <v>Jul</v>
      </c>
      <c r="D548" s="7">
        <f>MONTH(SalesData[[#This Row],[Order Date]])</f>
        <v>7</v>
      </c>
      <c r="E548" s="7">
        <f>YEAR(SalesData[[#This Row],[Order Date]])</f>
        <v>2024</v>
      </c>
      <c r="F548" t="s">
        <v>893</v>
      </c>
      <c r="G548" t="str">
        <f>PROPER(SalesData[[#This Row],[Product Name]])</f>
        <v>Solar Led Lantern</v>
      </c>
      <c r="H548" t="s">
        <v>1012</v>
      </c>
      <c r="I548" t="str">
        <f>UPPER(SalesData[[#This Row],[Product Category]])</f>
        <v>LIGHTING</v>
      </c>
      <c r="J548">
        <v>10</v>
      </c>
      <c r="K548">
        <v>40</v>
      </c>
      <c r="L548" s="15">
        <f>IF(SalesData[[#This Row],[Unit Price]]="",
    AVERAGEIFS(SalesData[Unit Price],
               SalesData[Product Name],SalesData[[#This Row],[Product Name]]),
    SalesData[[#This Row],[Unit Price]])</f>
        <v>40</v>
      </c>
      <c r="M548" s="15">
        <v>14.94</v>
      </c>
      <c r="N548" s="15">
        <f>SalesData[[#This Row],[Quantity Sold]] * SalesData[[#This Row],[Cleaned Unit Price]]</f>
        <v>400</v>
      </c>
      <c r="O548" s="15">
        <f>SalesData[[#This Row],[Quantity Sold]] * SalesData[[#This Row],[Unit Cost]]</f>
        <v>149.4</v>
      </c>
      <c r="P548" s="15">
        <f>SalesData[[#This Row],[Revenue]] - SalesData[[#This Row],[Cost]]</f>
        <v>250.6</v>
      </c>
      <c r="Q548" s="13">
        <f>IF(SalesData[[#This Row],[Revenue]]=0,0,SalesData[[#This Row],[Profit]]/SalesData[[#This Row],[Revenue]])</f>
        <v>0.62649999999999995</v>
      </c>
      <c r="R548" t="s">
        <v>1146</v>
      </c>
      <c r="S548" t="s">
        <v>1345</v>
      </c>
      <c r="T548" t="str">
        <f>PROPER(SalesData[[#This Row],[Customer Name]])</f>
        <v>Logan Martinez</v>
      </c>
      <c r="U548" t="s">
        <v>1416</v>
      </c>
      <c r="V548" t="s">
        <v>1424</v>
      </c>
    </row>
    <row r="549" spans="1:22" x14ac:dyDescent="0.25">
      <c r="A549" t="s">
        <v>1975</v>
      </c>
      <c r="B549" s="5">
        <v>45488</v>
      </c>
      <c r="C549" s="2" t="str">
        <f>TEXT(SalesData[[#This Row],[Order Date]],"mmm")</f>
        <v>Jul</v>
      </c>
      <c r="D549" s="7">
        <f>MONTH(SalesData[[#This Row],[Order Date]])</f>
        <v>7</v>
      </c>
      <c r="E549" s="7">
        <f>YEAR(SalesData[[#This Row],[Order Date]])</f>
        <v>2024</v>
      </c>
      <c r="F549" t="s">
        <v>28</v>
      </c>
      <c r="G549" t="str">
        <f>PROPER(SalesData[[#This Row],[Product Name]])</f>
        <v>Reusable Bamboo Utensil Set</v>
      </c>
      <c r="H549" t="s">
        <v>1014</v>
      </c>
      <c r="I549" t="str">
        <f>UPPER(SalesData[[#This Row],[Product Category]])</f>
        <v>KITCHENWARE</v>
      </c>
      <c r="J549">
        <v>6</v>
      </c>
      <c r="K549">
        <v>15</v>
      </c>
      <c r="L549" s="15">
        <f>IF(SalesData[[#This Row],[Unit Price]]="",
    AVERAGEIFS(SalesData[Unit Price],
               SalesData[Product Name],SalesData[[#This Row],[Product Name]]),
    SalesData[[#This Row],[Unit Price]])</f>
        <v>15</v>
      </c>
      <c r="M549" s="15">
        <v>3.49</v>
      </c>
      <c r="N549" s="15">
        <f>SalesData[[#This Row],[Quantity Sold]] * SalesData[[#This Row],[Cleaned Unit Price]]</f>
        <v>90</v>
      </c>
      <c r="O549" s="15">
        <f>SalesData[[#This Row],[Quantity Sold]] * SalesData[[#This Row],[Unit Cost]]</f>
        <v>20.94</v>
      </c>
      <c r="P549" s="15">
        <f>SalesData[[#This Row],[Revenue]] - SalesData[[#This Row],[Cost]]</f>
        <v>69.06</v>
      </c>
      <c r="Q549" s="13">
        <f>IF(SalesData[[#This Row],[Revenue]]=0,0,SalesData[[#This Row],[Profit]]/SalesData[[#This Row],[Revenue]])</f>
        <v>0.76733333333333331</v>
      </c>
      <c r="R549" t="s">
        <v>1031</v>
      </c>
      <c r="S549" t="s">
        <v>1230</v>
      </c>
      <c r="T549" t="str">
        <f>PROPER(SalesData[[#This Row],[Customer Name]])</f>
        <v>Mason Rodriguez</v>
      </c>
      <c r="U549" t="s">
        <v>1415</v>
      </c>
      <c r="V549" t="s">
        <v>1419</v>
      </c>
    </row>
    <row r="550" spans="1:22" x14ac:dyDescent="0.25">
      <c r="A550" t="s">
        <v>1976</v>
      </c>
      <c r="B550" s="5">
        <v>45488</v>
      </c>
      <c r="C550" s="2" t="str">
        <f>TEXT(SalesData[[#This Row],[Order Date]],"mmm")</f>
        <v>Jul</v>
      </c>
      <c r="D550" s="7">
        <f>MONTH(SalesData[[#This Row],[Order Date]])</f>
        <v>7</v>
      </c>
      <c r="E550" s="7">
        <f>YEAR(SalesData[[#This Row],[Order Date]])</f>
        <v>2024</v>
      </c>
      <c r="F550" t="s">
        <v>216</v>
      </c>
      <c r="G550" t="str">
        <f>PROPER(SalesData[[#This Row],[Product Name]])</f>
        <v>Solar Led Lantern</v>
      </c>
      <c r="H550" t="s">
        <v>1012</v>
      </c>
      <c r="I550" t="str">
        <f>UPPER(SalesData[[#This Row],[Product Category]])</f>
        <v>LIGHTING</v>
      </c>
      <c r="J550">
        <v>1</v>
      </c>
      <c r="K550">
        <v>40</v>
      </c>
      <c r="L550" s="15">
        <f>IF(SalesData[[#This Row],[Unit Price]]="",
    AVERAGEIFS(SalesData[Unit Price],
               SalesData[Product Name],SalesData[[#This Row],[Product Name]]),
    SalesData[[#This Row],[Unit Price]])</f>
        <v>40</v>
      </c>
      <c r="M550" s="15">
        <v>10.89</v>
      </c>
      <c r="N550" s="15">
        <f>SalesData[[#This Row],[Quantity Sold]] * SalesData[[#This Row],[Cleaned Unit Price]]</f>
        <v>40</v>
      </c>
      <c r="O550" s="15">
        <f>SalesData[[#This Row],[Quantity Sold]] * SalesData[[#This Row],[Unit Cost]]</f>
        <v>10.89</v>
      </c>
      <c r="P550" s="15">
        <f>SalesData[[#This Row],[Revenue]] - SalesData[[#This Row],[Cost]]</f>
        <v>29.11</v>
      </c>
      <c r="Q550" s="13">
        <f>IF(SalesData[[#This Row],[Revenue]]=0,0,SalesData[[#This Row],[Profit]]/SalesData[[#This Row],[Revenue]])</f>
        <v>0.72775000000000001</v>
      </c>
      <c r="R550" t="s">
        <v>1080</v>
      </c>
      <c r="S550" t="s">
        <v>1279</v>
      </c>
      <c r="T550" t="str">
        <f>PROPER(SalesData[[#This Row],[Customer Name]])</f>
        <v>Mason Johnson</v>
      </c>
      <c r="U550" t="s">
        <v>1414</v>
      </c>
      <c r="V550" t="s">
        <v>1425</v>
      </c>
    </row>
    <row r="551" spans="1:22" x14ac:dyDescent="0.25">
      <c r="A551" t="s">
        <v>1977</v>
      </c>
      <c r="B551" s="5">
        <v>45488</v>
      </c>
      <c r="C551" s="2" t="str">
        <f>TEXT(SalesData[[#This Row],[Order Date]],"mmm")</f>
        <v>Jul</v>
      </c>
      <c r="D551" s="7">
        <f>MONTH(SalesData[[#This Row],[Order Date]])</f>
        <v>7</v>
      </c>
      <c r="E551" s="7">
        <f>YEAR(SalesData[[#This Row],[Order Date]])</f>
        <v>2024</v>
      </c>
      <c r="F551" t="s">
        <v>411</v>
      </c>
      <c r="G551" t="str">
        <f>PROPER(SalesData[[#This Row],[Product Name]])</f>
        <v>Eco Canvas Tote Bag</v>
      </c>
      <c r="H551" t="s">
        <v>1013</v>
      </c>
      <c r="I551" t="str">
        <f>UPPER(SalesData[[#This Row],[Product Category]])</f>
        <v>BAGS</v>
      </c>
      <c r="J551">
        <v>3</v>
      </c>
      <c r="K551">
        <v>25</v>
      </c>
      <c r="L551" s="15">
        <f>IF(SalesData[[#This Row],[Unit Price]]="",
    AVERAGEIFS(SalesData[Unit Price],
               SalesData[Product Name],SalesData[[#This Row],[Product Name]]),
    SalesData[[#This Row],[Unit Price]])</f>
        <v>25</v>
      </c>
      <c r="M551" s="15">
        <v>6.64</v>
      </c>
      <c r="N551" s="15">
        <f>SalesData[[#This Row],[Quantity Sold]] * SalesData[[#This Row],[Cleaned Unit Price]]</f>
        <v>75</v>
      </c>
      <c r="O551" s="15">
        <f>SalesData[[#This Row],[Quantity Sold]] * SalesData[[#This Row],[Unit Cost]]</f>
        <v>19.919999999999998</v>
      </c>
      <c r="P551" s="15">
        <f>SalesData[[#This Row],[Revenue]] - SalesData[[#This Row],[Cost]]</f>
        <v>55.08</v>
      </c>
      <c r="Q551" s="13">
        <f>IF(SalesData[[#This Row],[Revenue]]=0,0,SalesData[[#This Row],[Profit]]/SalesData[[#This Row],[Revenue]])</f>
        <v>0.73439999999999994</v>
      </c>
      <c r="R551" t="s">
        <v>1182</v>
      </c>
      <c r="S551" t="s">
        <v>1381</v>
      </c>
      <c r="T551" t="str">
        <f>PROPER(SalesData[[#This Row],[Customer Name]])</f>
        <v>Mia Martinez</v>
      </c>
      <c r="U551" t="s">
        <v>1414</v>
      </c>
      <c r="V551" t="s">
        <v>1422</v>
      </c>
    </row>
    <row r="552" spans="1:22" x14ac:dyDescent="0.25">
      <c r="A552" t="s">
        <v>1978</v>
      </c>
      <c r="B552" s="5">
        <v>45488</v>
      </c>
      <c r="C552" s="2" t="str">
        <f>TEXT(SalesData[[#This Row],[Order Date]],"mmm")</f>
        <v>Jul</v>
      </c>
      <c r="D552" s="7">
        <f>MONTH(SalesData[[#This Row],[Order Date]])</f>
        <v>7</v>
      </c>
      <c r="E552" s="7">
        <f>YEAR(SalesData[[#This Row],[Order Date]])</f>
        <v>2024</v>
      </c>
      <c r="F552" t="s">
        <v>612</v>
      </c>
      <c r="G552" t="str">
        <f>PROPER(SalesData[[#This Row],[Product Name]])</f>
        <v>Eco Canvas Tote Bag</v>
      </c>
      <c r="H552" t="s">
        <v>1013</v>
      </c>
      <c r="I552" t="str">
        <f>UPPER(SalesData[[#This Row],[Product Category]])</f>
        <v>BAGS</v>
      </c>
      <c r="J552">
        <v>5</v>
      </c>
      <c r="K552">
        <v>25</v>
      </c>
      <c r="L552" s="15">
        <f>IF(SalesData[[#This Row],[Unit Price]]="",
    AVERAGEIFS(SalesData[Unit Price],
               SalesData[Product Name],SalesData[[#This Row],[Product Name]]),
    SalesData[[#This Row],[Unit Price]])</f>
        <v>25</v>
      </c>
      <c r="M552" s="15">
        <v>5.76</v>
      </c>
      <c r="N552" s="15">
        <f>SalesData[[#This Row],[Quantity Sold]] * SalesData[[#This Row],[Cleaned Unit Price]]</f>
        <v>125</v>
      </c>
      <c r="O552" s="15">
        <f>SalesData[[#This Row],[Quantity Sold]] * SalesData[[#This Row],[Unit Cost]]</f>
        <v>28.799999999999997</v>
      </c>
      <c r="P552" s="15">
        <f>SalesData[[#This Row],[Revenue]] - SalesData[[#This Row],[Cost]]</f>
        <v>96.2</v>
      </c>
      <c r="Q552" s="13">
        <f>IF(SalesData[[#This Row],[Revenue]]=0,0,SalesData[[#This Row],[Profit]]/SalesData[[#This Row],[Revenue]])</f>
        <v>0.76960000000000006</v>
      </c>
      <c r="R552" t="s">
        <v>1078</v>
      </c>
      <c r="S552" t="s">
        <v>1277</v>
      </c>
      <c r="T552" t="str">
        <f>PROPER(SalesData[[#This Row],[Customer Name]])</f>
        <v>Elijah Martinez</v>
      </c>
      <c r="U552" t="s">
        <v>1414</v>
      </c>
      <c r="V552" t="s">
        <v>1422</v>
      </c>
    </row>
    <row r="553" spans="1:22" x14ac:dyDescent="0.25">
      <c r="A553" t="s">
        <v>1979</v>
      </c>
      <c r="B553" s="5">
        <v>45488</v>
      </c>
      <c r="C553" s="2" t="str">
        <f>TEXT(SalesData[[#This Row],[Order Date]],"mmm")</f>
        <v>Jul</v>
      </c>
      <c r="D553" s="7">
        <f>MONTH(SalesData[[#This Row],[Order Date]])</f>
        <v>7</v>
      </c>
      <c r="E553" s="7">
        <f>YEAR(SalesData[[#This Row],[Order Date]])</f>
        <v>2024</v>
      </c>
      <c r="F553" t="s">
        <v>767</v>
      </c>
      <c r="G553" t="str">
        <f>PROPER(SalesData[[#This Row],[Product Name]])</f>
        <v>Reusable Bamboo Utensil Set</v>
      </c>
      <c r="H553" t="s">
        <v>1014</v>
      </c>
      <c r="I553" t="str">
        <f>UPPER(SalesData[[#This Row],[Product Category]])</f>
        <v>KITCHENWARE</v>
      </c>
      <c r="J553">
        <v>2</v>
      </c>
      <c r="K553">
        <v>15</v>
      </c>
      <c r="L553" s="15">
        <f>IF(SalesData[[#This Row],[Unit Price]]="",
    AVERAGEIFS(SalesData[Unit Price],
               SalesData[Product Name],SalesData[[#This Row],[Product Name]]),
    SalesData[[#This Row],[Unit Price]])</f>
        <v>15</v>
      </c>
      <c r="M553" s="15">
        <v>5.21</v>
      </c>
      <c r="N553" s="15">
        <f>SalesData[[#This Row],[Quantity Sold]] * SalesData[[#This Row],[Cleaned Unit Price]]</f>
        <v>30</v>
      </c>
      <c r="O553" s="15">
        <f>SalesData[[#This Row],[Quantity Sold]] * SalesData[[#This Row],[Unit Cost]]</f>
        <v>10.42</v>
      </c>
      <c r="P553" s="15">
        <f>SalesData[[#This Row],[Revenue]] - SalesData[[#This Row],[Cost]]</f>
        <v>19.579999999999998</v>
      </c>
      <c r="Q553" s="13">
        <f>IF(SalesData[[#This Row],[Revenue]]=0,0,SalesData[[#This Row],[Profit]]/SalesData[[#This Row],[Revenue]])</f>
        <v>0.65266666666666662</v>
      </c>
      <c r="R553" t="s">
        <v>1151</v>
      </c>
      <c r="S553" t="s">
        <v>1350</v>
      </c>
      <c r="T553" t="str">
        <f>PROPER(SalesData[[#This Row],[Customer Name]])</f>
        <v>Isabella Brown</v>
      </c>
      <c r="U553" t="s">
        <v>1414</v>
      </c>
      <c r="V553" t="s">
        <v>1420</v>
      </c>
    </row>
    <row r="554" spans="1:22" x14ac:dyDescent="0.25">
      <c r="A554" t="s">
        <v>1980</v>
      </c>
      <c r="B554" s="5">
        <v>45489</v>
      </c>
      <c r="C554" s="2" t="str">
        <f>TEXT(SalesData[[#This Row],[Order Date]],"mmm")</f>
        <v>Jul</v>
      </c>
      <c r="D554" s="7">
        <f>MONTH(SalesData[[#This Row],[Order Date]])</f>
        <v>7</v>
      </c>
      <c r="E554" s="7">
        <f>YEAR(SalesData[[#This Row],[Order Date]])</f>
        <v>2024</v>
      </c>
      <c r="F554" t="s">
        <v>190</v>
      </c>
      <c r="G554" t="str">
        <f>PROPER(SalesData[[#This Row],[Product Name]])</f>
        <v>Biodegradable Cleaning Cloth</v>
      </c>
      <c r="H554" t="s">
        <v>1015</v>
      </c>
      <c r="I554" t="str">
        <f>UPPER(SalesData[[#This Row],[Product Category]])</f>
        <v>CLEANING</v>
      </c>
      <c r="J554">
        <v>3</v>
      </c>
      <c r="K554">
        <v>10</v>
      </c>
      <c r="L554" s="15">
        <f>IF(SalesData[[#This Row],[Unit Price]]="",
    AVERAGEIFS(SalesData[Unit Price],
               SalesData[Product Name],SalesData[[#This Row],[Product Name]]),
    SalesData[[#This Row],[Unit Price]])</f>
        <v>10</v>
      </c>
      <c r="M554" s="15">
        <v>3.27</v>
      </c>
      <c r="N554" s="15">
        <f>SalesData[[#This Row],[Quantity Sold]] * SalesData[[#This Row],[Cleaned Unit Price]]</f>
        <v>30</v>
      </c>
      <c r="O554" s="15">
        <f>SalesData[[#This Row],[Quantity Sold]] * SalesData[[#This Row],[Unit Cost]]</f>
        <v>9.81</v>
      </c>
      <c r="P554" s="15">
        <f>SalesData[[#This Row],[Revenue]] - SalesData[[#This Row],[Cost]]</f>
        <v>20.189999999999998</v>
      </c>
      <c r="Q554" s="13">
        <f>IF(SalesData[[#This Row],[Revenue]]=0,0,SalesData[[#This Row],[Profit]]/SalesData[[#This Row],[Revenue]])</f>
        <v>0.67299999999999993</v>
      </c>
      <c r="R554" t="s">
        <v>1109</v>
      </c>
      <c r="S554" t="s">
        <v>1308</v>
      </c>
      <c r="T554" t="str">
        <f>PROPER(SalesData[[#This Row],[Customer Name]])</f>
        <v>Lucas Smith</v>
      </c>
      <c r="U554" t="s">
        <v>1416</v>
      </c>
      <c r="V554" t="s">
        <v>1421</v>
      </c>
    </row>
    <row r="555" spans="1:22" x14ac:dyDescent="0.25">
      <c r="A555" t="s">
        <v>1981</v>
      </c>
      <c r="B555" s="5">
        <v>45489</v>
      </c>
      <c r="C555" s="2" t="str">
        <f>TEXT(SalesData[[#This Row],[Order Date]],"mmm")</f>
        <v>Jul</v>
      </c>
      <c r="D555" s="7">
        <f>MONTH(SalesData[[#This Row],[Order Date]])</f>
        <v>7</v>
      </c>
      <c r="E555" s="7">
        <f>YEAR(SalesData[[#This Row],[Order Date]])</f>
        <v>2024</v>
      </c>
      <c r="F555" t="s">
        <v>486</v>
      </c>
      <c r="G555" t="str">
        <f>PROPER(SalesData[[#This Row],[Product Name]])</f>
        <v>Reusable Bamboo Utensil Set</v>
      </c>
      <c r="H555" t="s">
        <v>1014</v>
      </c>
      <c r="I555" t="str">
        <f>UPPER(SalesData[[#This Row],[Product Category]])</f>
        <v>KITCHENWARE</v>
      </c>
      <c r="J555">
        <v>4</v>
      </c>
      <c r="K555">
        <v>15</v>
      </c>
      <c r="L555" s="15">
        <f>IF(SalesData[[#This Row],[Unit Price]]="",
    AVERAGEIFS(SalesData[Unit Price],
               SalesData[Product Name],SalesData[[#This Row],[Product Name]]),
    SalesData[[#This Row],[Unit Price]])</f>
        <v>15</v>
      </c>
      <c r="M555" s="15">
        <v>5.98</v>
      </c>
      <c r="N555" s="15">
        <f>SalesData[[#This Row],[Quantity Sold]] * SalesData[[#This Row],[Cleaned Unit Price]]</f>
        <v>60</v>
      </c>
      <c r="O555" s="15">
        <f>SalesData[[#This Row],[Quantity Sold]] * SalesData[[#This Row],[Unit Cost]]</f>
        <v>23.92</v>
      </c>
      <c r="P555" s="15">
        <f>SalesData[[#This Row],[Revenue]] - SalesData[[#This Row],[Cost]]</f>
        <v>36.08</v>
      </c>
      <c r="Q555" s="13">
        <f>IF(SalesData[[#This Row],[Revenue]]=0,0,SalesData[[#This Row],[Profit]]/SalesData[[#This Row],[Revenue]])</f>
        <v>0.60133333333333328</v>
      </c>
      <c r="R555" t="s">
        <v>1146</v>
      </c>
      <c r="S555" t="s">
        <v>1345</v>
      </c>
      <c r="T555" t="str">
        <f>PROPER(SalesData[[#This Row],[Customer Name]])</f>
        <v>Logan Martinez</v>
      </c>
      <c r="U555" t="s">
        <v>1414</v>
      </c>
      <c r="V555" t="s">
        <v>1422</v>
      </c>
    </row>
    <row r="556" spans="1:22" x14ac:dyDescent="0.25">
      <c r="A556" t="s">
        <v>1982</v>
      </c>
      <c r="B556" s="5">
        <v>45490</v>
      </c>
      <c r="C556" s="2" t="str">
        <f>TEXT(SalesData[[#This Row],[Order Date]],"mmm")</f>
        <v>Jul</v>
      </c>
      <c r="D556" s="7">
        <f>MONTH(SalesData[[#This Row],[Order Date]])</f>
        <v>7</v>
      </c>
      <c r="E556" s="7">
        <f>YEAR(SalesData[[#This Row],[Order Date]])</f>
        <v>2024</v>
      </c>
      <c r="F556" t="s">
        <v>345</v>
      </c>
      <c r="G556" t="str">
        <f>PROPER(SalesData[[#This Row],[Product Name]])</f>
        <v>Biodegradable Cleaning Cloth</v>
      </c>
      <c r="H556" t="s">
        <v>1015</v>
      </c>
      <c r="I556" t="str">
        <f>UPPER(SalesData[[#This Row],[Product Category]])</f>
        <v>CLEANING</v>
      </c>
      <c r="J556">
        <v>4</v>
      </c>
      <c r="K556">
        <v>10</v>
      </c>
      <c r="L556" s="15">
        <f>IF(SalesData[[#This Row],[Unit Price]]="",
    AVERAGEIFS(SalesData[Unit Price],
               SalesData[Product Name],SalesData[[#This Row],[Product Name]]),
    SalesData[[#This Row],[Unit Price]])</f>
        <v>10</v>
      </c>
      <c r="M556" s="15">
        <v>2.38</v>
      </c>
      <c r="N556" s="15">
        <f>SalesData[[#This Row],[Quantity Sold]] * SalesData[[#This Row],[Cleaned Unit Price]]</f>
        <v>40</v>
      </c>
      <c r="O556" s="15">
        <f>SalesData[[#This Row],[Quantity Sold]] * SalesData[[#This Row],[Unit Cost]]</f>
        <v>9.52</v>
      </c>
      <c r="P556" s="15">
        <f>SalesData[[#This Row],[Revenue]] - SalesData[[#This Row],[Cost]]</f>
        <v>30.48</v>
      </c>
      <c r="Q556" s="13">
        <f>IF(SalesData[[#This Row],[Revenue]]=0,0,SalesData[[#This Row],[Profit]]/SalesData[[#This Row],[Revenue]])</f>
        <v>0.76200000000000001</v>
      </c>
      <c r="R556" t="s">
        <v>1042</v>
      </c>
      <c r="S556" t="s">
        <v>1241</v>
      </c>
      <c r="T556" t="str">
        <f>PROPER(SalesData[[#This Row],[Customer Name]])</f>
        <v>Amelia Johnson</v>
      </c>
      <c r="U556" t="s">
        <v>1417</v>
      </c>
      <c r="V556" t="s">
        <v>1420</v>
      </c>
    </row>
    <row r="557" spans="1:22" x14ac:dyDescent="0.25">
      <c r="A557" t="s">
        <v>1983</v>
      </c>
      <c r="B557" s="5">
        <v>45490</v>
      </c>
      <c r="C557" s="2" t="str">
        <f>TEXT(SalesData[[#This Row],[Order Date]],"mmm")</f>
        <v>Jul</v>
      </c>
      <c r="D557" s="7">
        <f>MONTH(SalesData[[#This Row],[Order Date]])</f>
        <v>7</v>
      </c>
      <c r="E557" s="7">
        <f>YEAR(SalesData[[#This Row],[Order Date]])</f>
        <v>2024</v>
      </c>
      <c r="F557" t="s">
        <v>500</v>
      </c>
      <c r="G557" t="str">
        <f>PROPER(SalesData[[#This Row],[Product Name]])</f>
        <v>Reusable Bamboo Utensil Set</v>
      </c>
      <c r="H557" t="s">
        <v>1014</v>
      </c>
      <c r="I557" t="str">
        <f>UPPER(SalesData[[#This Row],[Product Category]])</f>
        <v>KITCHENWARE</v>
      </c>
      <c r="J557">
        <v>7</v>
      </c>
      <c r="K557">
        <v>15</v>
      </c>
      <c r="L557" s="15">
        <f>IF(SalesData[[#This Row],[Unit Price]]="",
    AVERAGEIFS(SalesData[Unit Price],
               SalesData[Product Name],SalesData[[#This Row],[Product Name]]),
    SalesData[[#This Row],[Unit Price]])</f>
        <v>15</v>
      </c>
      <c r="M557" s="15">
        <v>4.13</v>
      </c>
      <c r="N557" s="15">
        <f>SalesData[[#This Row],[Quantity Sold]] * SalesData[[#This Row],[Cleaned Unit Price]]</f>
        <v>105</v>
      </c>
      <c r="O557" s="15">
        <f>SalesData[[#This Row],[Quantity Sold]] * SalesData[[#This Row],[Unit Cost]]</f>
        <v>28.91</v>
      </c>
      <c r="P557" s="15">
        <f>SalesData[[#This Row],[Revenue]] - SalesData[[#This Row],[Cost]]</f>
        <v>76.09</v>
      </c>
      <c r="Q557" s="13">
        <f>IF(SalesData[[#This Row],[Revenue]]=0,0,SalesData[[#This Row],[Profit]]/SalesData[[#This Row],[Revenue]])</f>
        <v>0.72466666666666668</v>
      </c>
      <c r="R557" t="s">
        <v>1165</v>
      </c>
      <c r="S557" t="s">
        <v>1364</v>
      </c>
      <c r="T557" t="str">
        <f>PROPER(SalesData[[#This Row],[Customer Name]])</f>
        <v>Elijah Davis</v>
      </c>
      <c r="U557" t="s">
        <v>1414</v>
      </c>
      <c r="V557" t="s">
        <v>1427</v>
      </c>
    </row>
    <row r="558" spans="1:22" x14ac:dyDescent="0.25">
      <c r="A558" t="s">
        <v>1984</v>
      </c>
      <c r="B558" s="5">
        <v>45490</v>
      </c>
      <c r="C558" s="2" t="str">
        <f>TEXT(SalesData[[#This Row],[Order Date]],"mmm")</f>
        <v>Jul</v>
      </c>
      <c r="D558" s="7">
        <f>MONTH(SalesData[[#This Row],[Order Date]])</f>
        <v>7</v>
      </c>
      <c r="E558" s="7">
        <f>YEAR(SalesData[[#This Row],[Order Date]])</f>
        <v>2024</v>
      </c>
      <c r="F558" t="s">
        <v>775</v>
      </c>
      <c r="G558" t="str">
        <f>PROPER(SalesData[[#This Row],[Product Name]])</f>
        <v>Eco Canvas Tote Bag</v>
      </c>
      <c r="H558" t="s">
        <v>1013</v>
      </c>
      <c r="I558" t="str">
        <f>UPPER(SalesData[[#This Row],[Product Category]])</f>
        <v>BAGS</v>
      </c>
      <c r="J558">
        <v>5</v>
      </c>
      <c r="K558">
        <v>25</v>
      </c>
      <c r="L558" s="15">
        <f>IF(SalesData[[#This Row],[Unit Price]]="",
    AVERAGEIFS(SalesData[Unit Price],
               SalesData[Product Name],SalesData[[#This Row],[Product Name]]),
    SalesData[[#This Row],[Unit Price]])</f>
        <v>25</v>
      </c>
      <c r="M558" s="15">
        <v>9.35</v>
      </c>
      <c r="N558" s="15">
        <f>SalesData[[#This Row],[Quantity Sold]] * SalesData[[#This Row],[Cleaned Unit Price]]</f>
        <v>125</v>
      </c>
      <c r="O558" s="15">
        <f>SalesData[[#This Row],[Quantity Sold]] * SalesData[[#This Row],[Unit Cost]]</f>
        <v>46.75</v>
      </c>
      <c r="P558" s="15">
        <f>SalesData[[#This Row],[Revenue]] - SalesData[[#This Row],[Cost]]</f>
        <v>78.25</v>
      </c>
      <c r="Q558" s="13">
        <f>IF(SalesData[[#This Row],[Revenue]]=0,0,SalesData[[#This Row],[Profit]]/SalesData[[#This Row],[Revenue]])</f>
        <v>0.626</v>
      </c>
      <c r="R558" t="s">
        <v>1143</v>
      </c>
      <c r="S558" t="s">
        <v>1342</v>
      </c>
      <c r="T558" t="str">
        <f>PROPER(SalesData[[#This Row],[Customer Name]])</f>
        <v>Ava Smith</v>
      </c>
      <c r="U558" t="s">
        <v>1414</v>
      </c>
      <c r="V558" t="s">
        <v>1426</v>
      </c>
    </row>
    <row r="559" spans="1:22" x14ac:dyDescent="0.25">
      <c r="A559" t="s">
        <v>1985</v>
      </c>
      <c r="B559" s="5">
        <v>45490</v>
      </c>
      <c r="C559" s="2" t="str">
        <f>TEXT(SalesData[[#This Row],[Order Date]],"mmm")</f>
        <v>Jul</v>
      </c>
      <c r="D559" s="7">
        <f>MONTH(SalesData[[#This Row],[Order Date]])</f>
        <v>7</v>
      </c>
      <c r="E559" s="7">
        <f>YEAR(SalesData[[#This Row],[Order Date]])</f>
        <v>2024</v>
      </c>
      <c r="F559" t="s">
        <v>947</v>
      </c>
      <c r="G559" t="str">
        <f>PROPER(SalesData[[#This Row],[Product Name]])</f>
        <v>Reusable Bamboo Utensil Set</v>
      </c>
      <c r="H559" t="s">
        <v>1014</v>
      </c>
      <c r="I559" t="str">
        <f>UPPER(SalesData[[#This Row],[Product Category]])</f>
        <v>KITCHENWARE</v>
      </c>
      <c r="J559">
        <v>8</v>
      </c>
      <c r="K559">
        <v>15</v>
      </c>
      <c r="L559" s="15">
        <f>IF(SalesData[[#This Row],[Unit Price]]="",
    AVERAGEIFS(SalesData[Unit Price],
               SalesData[Product Name],SalesData[[#This Row],[Product Name]]),
    SalesData[[#This Row],[Unit Price]])</f>
        <v>15</v>
      </c>
      <c r="M559" s="15">
        <v>3.62</v>
      </c>
      <c r="N559" s="15">
        <f>SalesData[[#This Row],[Quantity Sold]] * SalesData[[#This Row],[Cleaned Unit Price]]</f>
        <v>120</v>
      </c>
      <c r="O559" s="15">
        <f>SalesData[[#This Row],[Quantity Sold]] * SalesData[[#This Row],[Unit Cost]]</f>
        <v>28.96</v>
      </c>
      <c r="P559" s="15">
        <f>SalesData[[#This Row],[Revenue]] - SalesData[[#This Row],[Cost]]</f>
        <v>91.039999999999992</v>
      </c>
      <c r="Q559" s="13">
        <f>IF(SalesData[[#This Row],[Revenue]]=0,0,SalesData[[#This Row],[Profit]]/SalesData[[#This Row],[Revenue]])</f>
        <v>0.7586666666666666</v>
      </c>
      <c r="R559" t="s">
        <v>1120</v>
      </c>
      <c r="S559" t="s">
        <v>1319</v>
      </c>
      <c r="T559" t="str">
        <f>PROPER(SalesData[[#This Row],[Customer Name]])</f>
        <v>Isabella Johnson</v>
      </c>
      <c r="U559" t="s">
        <v>1417</v>
      </c>
      <c r="V559" t="s">
        <v>1421</v>
      </c>
    </row>
    <row r="560" spans="1:22" x14ac:dyDescent="0.25">
      <c r="A560" t="s">
        <v>1986</v>
      </c>
      <c r="B560" s="5">
        <v>45491</v>
      </c>
      <c r="C560" s="2" t="str">
        <f>TEXT(SalesData[[#This Row],[Order Date]],"mmm")</f>
        <v>Jul</v>
      </c>
      <c r="D560" s="7">
        <f>MONTH(SalesData[[#This Row],[Order Date]])</f>
        <v>7</v>
      </c>
      <c r="E560" s="7">
        <f>YEAR(SalesData[[#This Row],[Order Date]])</f>
        <v>2024</v>
      </c>
      <c r="F560" t="s">
        <v>359</v>
      </c>
      <c r="G560" t="str">
        <f>PROPER(SalesData[[#This Row],[Product Name]])</f>
        <v>Eco Canvas Tote Bag</v>
      </c>
      <c r="H560" t="s">
        <v>1013</v>
      </c>
      <c r="I560" t="str">
        <f>UPPER(SalesData[[#This Row],[Product Category]])</f>
        <v>BAGS</v>
      </c>
      <c r="J560">
        <v>5</v>
      </c>
      <c r="K560">
        <v>25</v>
      </c>
      <c r="L560" s="15">
        <f>IF(SalesData[[#This Row],[Unit Price]]="",
    AVERAGEIFS(SalesData[Unit Price],
               SalesData[Product Name],SalesData[[#This Row],[Product Name]]),
    SalesData[[#This Row],[Unit Price]])</f>
        <v>25</v>
      </c>
      <c r="M560" s="15">
        <v>8.68</v>
      </c>
      <c r="N560" s="15">
        <f>SalesData[[#This Row],[Quantity Sold]] * SalesData[[#This Row],[Cleaned Unit Price]]</f>
        <v>125</v>
      </c>
      <c r="O560" s="15">
        <f>SalesData[[#This Row],[Quantity Sold]] * SalesData[[#This Row],[Unit Cost]]</f>
        <v>43.4</v>
      </c>
      <c r="P560" s="15">
        <f>SalesData[[#This Row],[Revenue]] - SalesData[[#This Row],[Cost]]</f>
        <v>81.599999999999994</v>
      </c>
      <c r="Q560" s="13">
        <f>IF(SalesData[[#This Row],[Revenue]]=0,0,SalesData[[#This Row],[Profit]]/SalesData[[#This Row],[Revenue]])</f>
        <v>0.65279999999999994</v>
      </c>
      <c r="R560" t="s">
        <v>1042</v>
      </c>
      <c r="S560" t="s">
        <v>1241</v>
      </c>
      <c r="T560" t="str">
        <f>PROPER(SalesData[[#This Row],[Customer Name]])</f>
        <v>Amelia Johnson</v>
      </c>
      <c r="U560" t="s">
        <v>1414</v>
      </c>
      <c r="V560" t="s">
        <v>1418</v>
      </c>
    </row>
    <row r="561" spans="1:22" x14ac:dyDescent="0.25">
      <c r="A561" t="s">
        <v>1987</v>
      </c>
      <c r="B561" s="5">
        <v>45491</v>
      </c>
      <c r="C561" s="2" t="str">
        <f>TEXT(SalesData[[#This Row],[Order Date]],"mmm")</f>
        <v>Jul</v>
      </c>
      <c r="D561" s="7">
        <f>MONTH(SalesData[[#This Row],[Order Date]])</f>
        <v>7</v>
      </c>
      <c r="E561" s="7">
        <f>YEAR(SalesData[[#This Row],[Order Date]])</f>
        <v>2024</v>
      </c>
      <c r="F561" t="s">
        <v>425</v>
      </c>
      <c r="G561" t="str">
        <f>PROPER(SalesData[[#This Row],[Product Name]])</f>
        <v>Reusable Bamboo Utensil Set</v>
      </c>
      <c r="H561" t="s">
        <v>1014</v>
      </c>
      <c r="I561" t="str">
        <f>UPPER(SalesData[[#This Row],[Product Category]])</f>
        <v>KITCHENWARE</v>
      </c>
      <c r="J561">
        <v>10</v>
      </c>
      <c r="K561">
        <v>15</v>
      </c>
      <c r="L561" s="15">
        <f>IF(SalesData[[#This Row],[Unit Price]]="",
    AVERAGEIFS(SalesData[Unit Price],
               SalesData[Product Name],SalesData[[#This Row],[Product Name]]),
    SalesData[[#This Row],[Unit Price]])</f>
        <v>15</v>
      </c>
      <c r="M561" s="15">
        <v>3.4</v>
      </c>
      <c r="N561" s="15">
        <f>SalesData[[#This Row],[Quantity Sold]] * SalesData[[#This Row],[Cleaned Unit Price]]</f>
        <v>150</v>
      </c>
      <c r="O561" s="15">
        <f>SalesData[[#This Row],[Quantity Sold]] * SalesData[[#This Row],[Unit Cost]]</f>
        <v>34</v>
      </c>
      <c r="P561" s="15">
        <f>SalesData[[#This Row],[Revenue]] - SalesData[[#This Row],[Cost]]</f>
        <v>116</v>
      </c>
      <c r="Q561" s="13">
        <f>IF(SalesData[[#This Row],[Revenue]]=0,0,SalesData[[#This Row],[Profit]]/SalesData[[#This Row],[Revenue]])</f>
        <v>0.77333333333333332</v>
      </c>
      <c r="R561" t="s">
        <v>1092</v>
      </c>
      <c r="S561" t="s">
        <v>1291</v>
      </c>
      <c r="T561" t="str">
        <f>PROPER(SalesData[[#This Row],[Customer Name]])</f>
        <v>Emma Brown</v>
      </c>
      <c r="U561" t="s">
        <v>1415</v>
      </c>
      <c r="V561" t="s">
        <v>1420</v>
      </c>
    </row>
    <row r="562" spans="1:22" x14ac:dyDescent="0.25">
      <c r="A562" t="s">
        <v>1988</v>
      </c>
      <c r="B562" s="5">
        <v>45491</v>
      </c>
      <c r="C562" s="2" t="str">
        <f>TEXT(SalesData[[#This Row],[Order Date]],"mmm")</f>
        <v>Jul</v>
      </c>
      <c r="D562" s="7">
        <f>MONTH(SalesData[[#This Row],[Order Date]])</f>
        <v>7</v>
      </c>
      <c r="E562" s="7">
        <f>YEAR(SalesData[[#This Row],[Order Date]])</f>
        <v>2024</v>
      </c>
      <c r="F562" t="s">
        <v>555</v>
      </c>
      <c r="G562" t="str">
        <f>PROPER(SalesData[[#This Row],[Product Name]])</f>
        <v>Solar Led Lantern</v>
      </c>
      <c r="H562" t="s">
        <v>1012</v>
      </c>
      <c r="I562" t="str">
        <f>UPPER(SalesData[[#This Row],[Product Category]])</f>
        <v>LIGHTING</v>
      </c>
      <c r="J562">
        <v>2</v>
      </c>
      <c r="K562">
        <v>40</v>
      </c>
      <c r="L562" s="15">
        <f>IF(SalesData[[#This Row],[Unit Price]]="",
    AVERAGEIFS(SalesData[Unit Price],
               SalesData[Product Name],SalesData[[#This Row],[Product Name]]),
    SalesData[[#This Row],[Unit Price]])</f>
        <v>40</v>
      </c>
      <c r="M562" s="15">
        <v>9.3000000000000007</v>
      </c>
      <c r="N562" s="15">
        <f>SalesData[[#This Row],[Quantity Sold]] * SalesData[[#This Row],[Cleaned Unit Price]]</f>
        <v>80</v>
      </c>
      <c r="O562" s="15">
        <f>SalesData[[#This Row],[Quantity Sold]] * SalesData[[#This Row],[Unit Cost]]</f>
        <v>18.600000000000001</v>
      </c>
      <c r="P562" s="15">
        <f>SalesData[[#This Row],[Revenue]] - SalesData[[#This Row],[Cost]]</f>
        <v>61.4</v>
      </c>
      <c r="Q562" s="13">
        <f>IF(SalesData[[#This Row],[Revenue]]=0,0,SalesData[[#This Row],[Profit]]/SalesData[[#This Row],[Revenue]])</f>
        <v>0.76749999999999996</v>
      </c>
      <c r="R562" t="s">
        <v>1016</v>
      </c>
      <c r="S562" t="s">
        <v>1215</v>
      </c>
      <c r="T562" t="str">
        <f>PROPER(SalesData[[#This Row],[Customer Name]])</f>
        <v>Harper Davis</v>
      </c>
      <c r="U562" t="s">
        <v>1414</v>
      </c>
      <c r="V562" t="s">
        <v>1427</v>
      </c>
    </row>
    <row r="563" spans="1:22" x14ac:dyDescent="0.25">
      <c r="A563" t="s">
        <v>1989</v>
      </c>
      <c r="B563" s="5">
        <v>45491</v>
      </c>
      <c r="C563" s="2" t="str">
        <f>TEXT(SalesData[[#This Row],[Order Date]],"mmm")</f>
        <v>Jul</v>
      </c>
      <c r="D563" s="7">
        <f>MONTH(SalesData[[#This Row],[Order Date]])</f>
        <v>7</v>
      </c>
      <c r="E563" s="7">
        <f>YEAR(SalesData[[#This Row],[Order Date]])</f>
        <v>2024</v>
      </c>
      <c r="F563" t="s">
        <v>694</v>
      </c>
      <c r="G563" t="str">
        <f>PROPER(SalesData[[#This Row],[Product Name]])</f>
        <v>Reusable Bamboo Utensil Set</v>
      </c>
      <c r="H563" t="s">
        <v>1014</v>
      </c>
      <c r="I563" t="str">
        <f>UPPER(SalesData[[#This Row],[Product Category]])</f>
        <v>KITCHENWARE</v>
      </c>
      <c r="J563">
        <v>7</v>
      </c>
      <c r="K563">
        <v>15</v>
      </c>
      <c r="L563" s="15">
        <f>IF(SalesData[[#This Row],[Unit Price]]="",
    AVERAGEIFS(SalesData[Unit Price],
               SalesData[Product Name],SalesData[[#This Row],[Product Name]]),
    SalesData[[#This Row],[Unit Price]])</f>
        <v>15</v>
      </c>
      <c r="M563" s="15">
        <v>3.65</v>
      </c>
      <c r="N563" s="15">
        <f>SalesData[[#This Row],[Quantity Sold]] * SalesData[[#This Row],[Cleaned Unit Price]]</f>
        <v>105</v>
      </c>
      <c r="O563" s="15">
        <f>SalesData[[#This Row],[Quantity Sold]] * SalesData[[#This Row],[Unit Cost]]</f>
        <v>25.55</v>
      </c>
      <c r="P563" s="15">
        <f>SalesData[[#This Row],[Revenue]] - SalesData[[#This Row],[Cost]]</f>
        <v>79.45</v>
      </c>
      <c r="Q563" s="13">
        <f>IF(SalesData[[#This Row],[Revenue]]=0,0,SalesData[[#This Row],[Profit]]/SalesData[[#This Row],[Revenue]])</f>
        <v>0.75666666666666671</v>
      </c>
      <c r="R563" t="s">
        <v>1063</v>
      </c>
      <c r="S563" t="s">
        <v>1262</v>
      </c>
      <c r="T563" t="str">
        <f>PROPER(SalesData[[#This Row],[Customer Name]])</f>
        <v>Aiden Martinez</v>
      </c>
      <c r="U563" t="s">
        <v>1417</v>
      </c>
      <c r="V563" t="s">
        <v>1418</v>
      </c>
    </row>
    <row r="564" spans="1:22" x14ac:dyDescent="0.25">
      <c r="A564" t="s">
        <v>1990</v>
      </c>
      <c r="B564" s="5">
        <v>45491</v>
      </c>
      <c r="C564" s="2" t="str">
        <f>TEXT(SalesData[[#This Row],[Order Date]],"mmm")</f>
        <v>Jul</v>
      </c>
      <c r="D564" s="7">
        <f>MONTH(SalesData[[#This Row],[Order Date]])</f>
        <v>7</v>
      </c>
      <c r="E564" s="7">
        <f>YEAR(SalesData[[#This Row],[Order Date]])</f>
        <v>2024</v>
      </c>
      <c r="F564" t="s">
        <v>776</v>
      </c>
      <c r="G564" t="str">
        <f>PROPER(SalesData[[#This Row],[Product Name]])</f>
        <v>Solar Led Lantern</v>
      </c>
      <c r="H564" t="s">
        <v>1012</v>
      </c>
      <c r="I564" t="str">
        <f>UPPER(SalesData[[#This Row],[Product Category]])</f>
        <v>LIGHTING</v>
      </c>
      <c r="J564">
        <v>2</v>
      </c>
      <c r="K564">
        <v>40</v>
      </c>
      <c r="L564" s="15">
        <f>IF(SalesData[[#This Row],[Unit Price]]="",
    AVERAGEIFS(SalesData[Unit Price],
               SalesData[Product Name],SalesData[[#This Row],[Product Name]]),
    SalesData[[#This Row],[Unit Price]])</f>
        <v>40</v>
      </c>
      <c r="M564" s="15">
        <v>14.04</v>
      </c>
      <c r="N564" s="15">
        <f>SalesData[[#This Row],[Quantity Sold]] * SalesData[[#This Row],[Cleaned Unit Price]]</f>
        <v>80</v>
      </c>
      <c r="O564" s="15">
        <f>SalesData[[#This Row],[Quantity Sold]] * SalesData[[#This Row],[Unit Cost]]</f>
        <v>28.08</v>
      </c>
      <c r="P564" s="15">
        <f>SalesData[[#This Row],[Revenue]] - SalesData[[#This Row],[Cost]]</f>
        <v>51.92</v>
      </c>
      <c r="Q564" s="13">
        <f>IF(SalesData[[#This Row],[Revenue]]=0,0,SalesData[[#This Row],[Profit]]/SalesData[[#This Row],[Revenue]])</f>
        <v>0.64900000000000002</v>
      </c>
      <c r="R564" t="s">
        <v>1077</v>
      </c>
      <c r="S564" t="s">
        <v>1276</v>
      </c>
      <c r="T564" t="str">
        <f>PROPER(SalesData[[#This Row],[Customer Name]])</f>
        <v>Noah Williams</v>
      </c>
      <c r="U564" t="s">
        <v>1416</v>
      </c>
      <c r="V564" t="s">
        <v>1419</v>
      </c>
    </row>
    <row r="565" spans="1:22" x14ac:dyDescent="0.25">
      <c r="A565" t="s">
        <v>1991</v>
      </c>
      <c r="B565" s="5">
        <v>45492</v>
      </c>
      <c r="C565" s="2" t="str">
        <f>TEXT(SalesData[[#This Row],[Order Date]],"mmm")</f>
        <v>Jul</v>
      </c>
      <c r="D565" s="7">
        <f>MONTH(SalesData[[#This Row],[Order Date]])</f>
        <v>7</v>
      </c>
      <c r="E565" s="7">
        <f>YEAR(SalesData[[#This Row],[Order Date]])</f>
        <v>2024</v>
      </c>
      <c r="F565" t="s">
        <v>627</v>
      </c>
      <c r="G565" t="str">
        <f>PROPER(SalesData[[#This Row],[Product Name]])</f>
        <v>Eco Canvas Tote Bag</v>
      </c>
      <c r="H565" t="s">
        <v>1013</v>
      </c>
      <c r="I565" t="str">
        <f>UPPER(SalesData[[#This Row],[Product Category]])</f>
        <v>BAGS</v>
      </c>
      <c r="J565">
        <v>2</v>
      </c>
      <c r="K565">
        <v>25</v>
      </c>
      <c r="L565" s="15">
        <f>IF(SalesData[[#This Row],[Unit Price]]="",
    AVERAGEIFS(SalesData[Unit Price],
               SalesData[Product Name],SalesData[[#This Row],[Product Name]]),
    SalesData[[#This Row],[Unit Price]])</f>
        <v>25</v>
      </c>
      <c r="M565" s="15">
        <v>9.57</v>
      </c>
      <c r="N565" s="15">
        <f>SalesData[[#This Row],[Quantity Sold]] * SalesData[[#This Row],[Cleaned Unit Price]]</f>
        <v>50</v>
      </c>
      <c r="O565" s="15">
        <f>SalesData[[#This Row],[Quantity Sold]] * SalesData[[#This Row],[Unit Cost]]</f>
        <v>19.14</v>
      </c>
      <c r="P565" s="15">
        <f>SalesData[[#This Row],[Revenue]] - SalesData[[#This Row],[Cost]]</f>
        <v>30.86</v>
      </c>
      <c r="Q565" s="13">
        <f>IF(SalesData[[#This Row],[Revenue]]=0,0,SalesData[[#This Row],[Profit]]/SalesData[[#This Row],[Revenue]])</f>
        <v>0.61719999999999997</v>
      </c>
      <c r="R565" t="s">
        <v>1176</v>
      </c>
      <c r="S565" t="s">
        <v>1375</v>
      </c>
      <c r="T565" t="str">
        <f>PROPER(SalesData[[#This Row],[Customer Name]])</f>
        <v>Sophia Brown</v>
      </c>
      <c r="U565" t="s">
        <v>1414</v>
      </c>
      <c r="V565" t="s">
        <v>1425</v>
      </c>
    </row>
    <row r="566" spans="1:22" x14ac:dyDescent="0.25">
      <c r="A566" t="s">
        <v>1992</v>
      </c>
      <c r="B566" s="5">
        <v>45493</v>
      </c>
      <c r="C566" s="2" t="str">
        <f>TEXT(SalesData[[#This Row],[Order Date]],"mmm")</f>
        <v>Jul</v>
      </c>
      <c r="D566" s="7">
        <f>MONTH(SalesData[[#This Row],[Order Date]])</f>
        <v>7</v>
      </c>
      <c r="E566" s="7">
        <f>YEAR(SalesData[[#This Row],[Order Date]])</f>
        <v>2024</v>
      </c>
      <c r="F566" t="s">
        <v>513</v>
      </c>
      <c r="G566" t="str">
        <f>PROPER(SalesData[[#This Row],[Product Name]])</f>
        <v>Solar Led Lantern</v>
      </c>
      <c r="H566" t="s">
        <v>1012</v>
      </c>
      <c r="I566" t="str">
        <f>UPPER(SalesData[[#This Row],[Product Category]])</f>
        <v>LIGHTING</v>
      </c>
      <c r="J566">
        <v>3</v>
      </c>
      <c r="K566">
        <v>40</v>
      </c>
      <c r="L566" s="15">
        <f>IF(SalesData[[#This Row],[Unit Price]]="",
    AVERAGEIFS(SalesData[Unit Price],
               SalesData[Product Name],SalesData[[#This Row],[Product Name]]),
    SalesData[[#This Row],[Unit Price]])</f>
        <v>40</v>
      </c>
      <c r="M566" s="15">
        <v>12.77</v>
      </c>
      <c r="N566" s="15">
        <f>SalesData[[#This Row],[Quantity Sold]] * SalesData[[#This Row],[Cleaned Unit Price]]</f>
        <v>120</v>
      </c>
      <c r="O566" s="15">
        <f>SalesData[[#This Row],[Quantity Sold]] * SalesData[[#This Row],[Unit Cost]]</f>
        <v>38.31</v>
      </c>
      <c r="P566" s="15">
        <f>SalesData[[#This Row],[Revenue]] - SalesData[[#This Row],[Cost]]</f>
        <v>81.69</v>
      </c>
      <c r="Q566" s="13">
        <f>IF(SalesData[[#This Row],[Revenue]]=0,0,SalesData[[#This Row],[Profit]]/SalesData[[#This Row],[Revenue]])</f>
        <v>0.68074999999999997</v>
      </c>
      <c r="R566" t="s">
        <v>1062</v>
      </c>
      <c r="S566" t="s">
        <v>1261</v>
      </c>
      <c r="T566" t="str">
        <f>PROPER(SalesData[[#This Row],[Customer Name]])</f>
        <v>James Brown</v>
      </c>
      <c r="U566" t="s">
        <v>1414</v>
      </c>
      <c r="V566" t="s">
        <v>1421</v>
      </c>
    </row>
    <row r="567" spans="1:22" x14ac:dyDescent="0.25">
      <c r="A567" t="s">
        <v>1993</v>
      </c>
      <c r="B567" s="5">
        <v>45494</v>
      </c>
      <c r="C567" s="2" t="str">
        <f>TEXT(SalesData[[#This Row],[Order Date]],"mmm")</f>
        <v>Jul</v>
      </c>
      <c r="D567" s="7">
        <f>MONTH(SalesData[[#This Row],[Order Date]])</f>
        <v>7</v>
      </c>
      <c r="E567" s="7">
        <f>YEAR(SalesData[[#This Row],[Order Date]])</f>
        <v>2024</v>
      </c>
      <c r="F567" t="s">
        <v>144</v>
      </c>
      <c r="G567" t="str">
        <f>PROPER(SalesData[[#This Row],[Product Name]])</f>
        <v>Reusable Bamboo Utensil Set</v>
      </c>
      <c r="H567" t="s">
        <v>1014</v>
      </c>
      <c r="I567" t="str">
        <f>UPPER(SalesData[[#This Row],[Product Category]])</f>
        <v>KITCHENWARE</v>
      </c>
      <c r="J567">
        <v>8</v>
      </c>
      <c r="K567">
        <v>15</v>
      </c>
      <c r="L567" s="15">
        <f>IF(SalesData[[#This Row],[Unit Price]]="",
    AVERAGEIFS(SalesData[Unit Price],
               SalesData[Product Name],SalesData[[#This Row],[Product Name]]),
    SalesData[[#This Row],[Unit Price]])</f>
        <v>15</v>
      </c>
      <c r="M567" s="15">
        <v>4.2699999999999996</v>
      </c>
      <c r="N567" s="15">
        <f>SalesData[[#This Row],[Quantity Sold]] * SalesData[[#This Row],[Cleaned Unit Price]]</f>
        <v>120</v>
      </c>
      <c r="O567" s="15">
        <f>SalesData[[#This Row],[Quantity Sold]] * SalesData[[#This Row],[Unit Cost]]</f>
        <v>34.159999999999997</v>
      </c>
      <c r="P567" s="15">
        <f>SalesData[[#This Row],[Revenue]] - SalesData[[#This Row],[Cost]]</f>
        <v>85.84</v>
      </c>
      <c r="Q567" s="13">
        <f>IF(SalesData[[#This Row],[Revenue]]=0,0,SalesData[[#This Row],[Profit]]/SalesData[[#This Row],[Revenue]])</f>
        <v>0.71533333333333338</v>
      </c>
      <c r="R567" t="s">
        <v>1052</v>
      </c>
      <c r="S567" t="s">
        <v>1251</v>
      </c>
      <c r="T567" t="str">
        <f>PROPER(SalesData[[#This Row],[Customer Name]])</f>
        <v>Charlotte Davis</v>
      </c>
      <c r="U567" t="s">
        <v>1416</v>
      </c>
      <c r="V567" t="s">
        <v>1424</v>
      </c>
    </row>
    <row r="568" spans="1:22" x14ac:dyDescent="0.25">
      <c r="A568" t="s">
        <v>1994</v>
      </c>
      <c r="B568" s="5">
        <v>45494</v>
      </c>
      <c r="C568" s="2" t="str">
        <f>TEXT(SalesData[[#This Row],[Order Date]],"mmm")</f>
        <v>Jul</v>
      </c>
      <c r="D568" s="7">
        <f>MONTH(SalesData[[#This Row],[Order Date]])</f>
        <v>7</v>
      </c>
      <c r="E568" s="7">
        <f>YEAR(SalesData[[#This Row],[Order Date]])</f>
        <v>2024</v>
      </c>
      <c r="F568" t="s">
        <v>276</v>
      </c>
      <c r="G568" t="str">
        <f>PROPER(SalesData[[#This Row],[Product Name]])</f>
        <v>Eco Canvas Tote Bag</v>
      </c>
      <c r="H568" t="s">
        <v>1013</v>
      </c>
      <c r="I568" t="str">
        <f>UPPER(SalesData[[#This Row],[Product Category]])</f>
        <v>BAGS</v>
      </c>
      <c r="J568">
        <v>4</v>
      </c>
      <c r="L568" s="15">
        <f>IF(SalesData[[#This Row],[Unit Price]]="",
    AVERAGEIFS(SalesData[Unit Price],
               SalesData[Product Name],SalesData[[#This Row],[Product Name]]),
    SalesData[[#This Row],[Unit Price]])</f>
        <v>25</v>
      </c>
      <c r="M568" s="15">
        <v>8.75</v>
      </c>
      <c r="N568" s="15">
        <f>SalesData[[#This Row],[Quantity Sold]] * SalesData[[#This Row],[Cleaned Unit Price]]</f>
        <v>100</v>
      </c>
      <c r="O568" s="15">
        <f>SalesData[[#This Row],[Quantity Sold]] * SalesData[[#This Row],[Unit Cost]]</f>
        <v>35</v>
      </c>
      <c r="P568" s="15">
        <f>SalesData[[#This Row],[Revenue]] - SalesData[[#This Row],[Cost]]</f>
        <v>65</v>
      </c>
      <c r="Q568" s="13">
        <f>IF(SalesData[[#This Row],[Revenue]]=0,0,SalesData[[#This Row],[Profit]]/SalesData[[#This Row],[Revenue]])</f>
        <v>0.65</v>
      </c>
      <c r="R568" t="s">
        <v>1162</v>
      </c>
      <c r="S568" t="s">
        <v>1361</v>
      </c>
      <c r="T568" t="str">
        <f>PROPER(SalesData[[#This Row],[Customer Name]])</f>
        <v>Olivia Garcia</v>
      </c>
      <c r="U568" t="s">
        <v>1414</v>
      </c>
      <c r="V568" t="s">
        <v>1424</v>
      </c>
    </row>
    <row r="569" spans="1:22" x14ac:dyDescent="0.25">
      <c r="A569" t="s">
        <v>1995</v>
      </c>
      <c r="B569" s="5">
        <v>45494</v>
      </c>
      <c r="C569" s="2" t="str">
        <f>TEXT(SalesData[[#This Row],[Order Date]],"mmm")</f>
        <v>Jul</v>
      </c>
      <c r="D569" s="7">
        <f>MONTH(SalesData[[#This Row],[Order Date]])</f>
        <v>7</v>
      </c>
      <c r="E569" s="7">
        <f>YEAR(SalesData[[#This Row],[Order Date]])</f>
        <v>2024</v>
      </c>
      <c r="F569" t="s">
        <v>892</v>
      </c>
      <c r="G569" t="str">
        <f>PROPER(SalesData[[#This Row],[Product Name]])</f>
        <v>Solar Led Lantern</v>
      </c>
      <c r="H569" t="s">
        <v>1012</v>
      </c>
      <c r="I569" t="str">
        <f>UPPER(SalesData[[#This Row],[Product Category]])</f>
        <v>LIGHTING</v>
      </c>
      <c r="J569">
        <v>3</v>
      </c>
      <c r="K569">
        <v>40</v>
      </c>
      <c r="L569" s="15">
        <f>IF(SalesData[[#This Row],[Unit Price]]="",
    AVERAGEIFS(SalesData[Unit Price],
               SalesData[Product Name],SalesData[[#This Row],[Product Name]]),
    SalesData[[#This Row],[Unit Price]])</f>
        <v>40</v>
      </c>
      <c r="M569" s="15">
        <v>9.3699999999999992</v>
      </c>
      <c r="N569" s="15">
        <f>SalesData[[#This Row],[Quantity Sold]] * SalesData[[#This Row],[Cleaned Unit Price]]</f>
        <v>120</v>
      </c>
      <c r="O569" s="15">
        <f>SalesData[[#This Row],[Quantity Sold]] * SalesData[[#This Row],[Unit Cost]]</f>
        <v>28.11</v>
      </c>
      <c r="P569" s="15">
        <f>SalesData[[#This Row],[Revenue]] - SalesData[[#This Row],[Cost]]</f>
        <v>91.89</v>
      </c>
      <c r="Q569" s="13">
        <f>IF(SalesData[[#This Row],[Revenue]]=0,0,SalesData[[#This Row],[Profit]]/SalesData[[#This Row],[Revenue]])</f>
        <v>0.76575000000000004</v>
      </c>
      <c r="R569" t="s">
        <v>1175</v>
      </c>
      <c r="S569" t="s">
        <v>1374</v>
      </c>
      <c r="T569" t="str">
        <f>PROPER(SalesData[[#This Row],[Customer Name]])</f>
        <v>Ava Rodriguez</v>
      </c>
      <c r="U569" t="s">
        <v>1414</v>
      </c>
      <c r="V569" t="s">
        <v>1418</v>
      </c>
    </row>
    <row r="570" spans="1:22" x14ac:dyDescent="0.25">
      <c r="A570" t="s">
        <v>1996</v>
      </c>
      <c r="B570" s="5">
        <v>45495</v>
      </c>
      <c r="C570" s="2" t="str">
        <f>TEXT(SalesData[[#This Row],[Order Date]],"mmm")</f>
        <v>Jul</v>
      </c>
      <c r="D570" s="7">
        <f>MONTH(SalesData[[#This Row],[Order Date]])</f>
        <v>7</v>
      </c>
      <c r="E570" s="7">
        <f>YEAR(SalesData[[#This Row],[Order Date]])</f>
        <v>2024</v>
      </c>
      <c r="F570" t="s">
        <v>183</v>
      </c>
      <c r="G570" t="str">
        <f>PROPER(SalesData[[#This Row],[Product Name]])</f>
        <v>Solar Led Lantern</v>
      </c>
      <c r="H570" t="s">
        <v>1012</v>
      </c>
      <c r="I570" t="str">
        <f>UPPER(SalesData[[#This Row],[Product Category]])</f>
        <v>LIGHTING</v>
      </c>
      <c r="J570">
        <v>5</v>
      </c>
      <c r="K570">
        <v>40</v>
      </c>
      <c r="L570" s="15">
        <f>IF(SalesData[[#This Row],[Unit Price]]="",
    AVERAGEIFS(SalesData[Unit Price],
               SalesData[Product Name],SalesData[[#This Row],[Product Name]]),
    SalesData[[#This Row],[Unit Price]])</f>
        <v>40</v>
      </c>
      <c r="M570" s="15">
        <v>11</v>
      </c>
      <c r="N570" s="15">
        <f>SalesData[[#This Row],[Quantity Sold]] * SalesData[[#This Row],[Cleaned Unit Price]]</f>
        <v>200</v>
      </c>
      <c r="O570" s="15">
        <f>SalesData[[#This Row],[Quantity Sold]] * SalesData[[#This Row],[Unit Cost]]</f>
        <v>55</v>
      </c>
      <c r="P570" s="15">
        <f>SalesData[[#This Row],[Revenue]] - SalesData[[#This Row],[Cost]]</f>
        <v>145</v>
      </c>
      <c r="Q570" s="13">
        <f>IF(SalesData[[#This Row],[Revenue]]=0,0,SalesData[[#This Row],[Profit]]/SalesData[[#This Row],[Revenue]])</f>
        <v>0.72499999999999998</v>
      </c>
      <c r="R570" t="s">
        <v>1133</v>
      </c>
      <c r="S570" t="s">
        <v>1332</v>
      </c>
      <c r="T570" t="str">
        <f>PROPER(SalesData[[#This Row],[Customer Name]])</f>
        <v>Charlotte Garcia</v>
      </c>
      <c r="U570" t="s">
        <v>1414</v>
      </c>
      <c r="V570" t="s">
        <v>1421</v>
      </c>
    </row>
    <row r="571" spans="1:22" x14ac:dyDescent="0.25">
      <c r="A571" t="s">
        <v>1997</v>
      </c>
      <c r="B571" s="5">
        <v>45495</v>
      </c>
      <c r="C571" s="2" t="str">
        <f>TEXT(SalesData[[#This Row],[Order Date]],"mmm")</f>
        <v>Jul</v>
      </c>
      <c r="D571" s="7">
        <f>MONTH(SalesData[[#This Row],[Order Date]])</f>
        <v>7</v>
      </c>
      <c r="E571" s="7">
        <f>YEAR(SalesData[[#This Row],[Order Date]])</f>
        <v>2024</v>
      </c>
      <c r="F571" t="s">
        <v>496</v>
      </c>
      <c r="G571" t="str">
        <f>PROPER(SalesData[[#This Row],[Product Name]])</f>
        <v>Eco Canvas Tote Bag</v>
      </c>
      <c r="H571" t="s">
        <v>1013</v>
      </c>
      <c r="I571" t="str">
        <f>UPPER(SalesData[[#This Row],[Product Category]])</f>
        <v>BAGS</v>
      </c>
      <c r="J571">
        <v>10</v>
      </c>
      <c r="K571">
        <v>25</v>
      </c>
      <c r="L571" s="15">
        <f>IF(SalesData[[#This Row],[Unit Price]]="",
    AVERAGEIFS(SalesData[Unit Price],
               SalesData[Product Name],SalesData[[#This Row],[Product Name]]),
    SalesData[[#This Row],[Unit Price]])</f>
        <v>25</v>
      </c>
      <c r="M571" s="15">
        <v>5.0999999999999996</v>
      </c>
      <c r="N571" s="15">
        <f>SalesData[[#This Row],[Quantity Sold]] * SalesData[[#This Row],[Cleaned Unit Price]]</f>
        <v>250</v>
      </c>
      <c r="O571" s="15">
        <f>SalesData[[#This Row],[Quantity Sold]] * SalesData[[#This Row],[Unit Cost]]</f>
        <v>51</v>
      </c>
      <c r="P571" s="15">
        <f>SalesData[[#This Row],[Revenue]] - SalesData[[#This Row],[Cost]]</f>
        <v>199</v>
      </c>
      <c r="Q571" s="13">
        <f>IF(SalesData[[#This Row],[Revenue]]=0,0,SalesData[[#This Row],[Profit]]/SalesData[[#This Row],[Revenue]])</f>
        <v>0.79600000000000004</v>
      </c>
      <c r="R571" t="s">
        <v>1126</v>
      </c>
      <c r="S571" t="s">
        <v>1325</v>
      </c>
      <c r="T571" t="str">
        <f>PROPER(SalesData[[#This Row],[Customer Name]])</f>
        <v>Ethan Martinez</v>
      </c>
      <c r="U571" t="s">
        <v>1414</v>
      </c>
      <c r="V571" t="s">
        <v>1426</v>
      </c>
    </row>
    <row r="572" spans="1:22" x14ac:dyDescent="0.25">
      <c r="A572" t="s">
        <v>1998</v>
      </c>
      <c r="B572" s="5">
        <v>45495</v>
      </c>
      <c r="C572" s="2" t="str">
        <f>TEXT(SalesData[[#This Row],[Order Date]],"mmm")</f>
        <v>Jul</v>
      </c>
      <c r="D572" s="7">
        <f>MONTH(SalesData[[#This Row],[Order Date]])</f>
        <v>7</v>
      </c>
      <c r="E572" s="7">
        <f>YEAR(SalesData[[#This Row],[Order Date]])</f>
        <v>2024</v>
      </c>
      <c r="F572" t="s">
        <v>533</v>
      </c>
      <c r="G572" t="str">
        <f>PROPER(SalesData[[#This Row],[Product Name]])</f>
        <v>Solar Led Lantern</v>
      </c>
      <c r="H572" t="s">
        <v>1012</v>
      </c>
      <c r="I572" t="str">
        <f>UPPER(SalesData[[#This Row],[Product Category]])</f>
        <v>LIGHTING</v>
      </c>
      <c r="J572">
        <v>8</v>
      </c>
      <c r="K572">
        <v>40</v>
      </c>
      <c r="L572" s="15">
        <f>IF(SalesData[[#This Row],[Unit Price]]="",
    AVERAGEIFS(SalesData[Unit Price],
               SalesData[Product Name],SalesData[[#This Row],[Product Name]]),
    SalesData[[#This Row],[Unit Price]])</f>
        <v>40</v>
      </c>
      <c r="M572" s="15">
        <v>10.119999999999999</v>
      </c>
      <c r="N572" s="15">
        <f>SalesData[[#This Row],[Quantity Sold]] * SalesData[[#This Row],[Cleaned Unit Price]]</f>
        <v>320</v>
      </c>
      <c r="O572" s="15">
        <f>SalesData[[#This Row],[Quantity Sold]] * SalesData[[#This Row],[Unit Cost]]</f>
        <v>80.959999999999994</v>
      </c>
      <c r="P572" s="15">
        <f>SalesData[[#This Row],[Revenue]] - SalesData[[#This Row],[Cost]]</f>
        <v>239.04000000000002</v>
      </c>
      <c r="Q572" s="13">
        <f>IF(SalesData[[#This Row],[Revenue]]=0,0,SalesData[[#This Row],[Profit]]/SalesData[[#This Row],[Revenue]])</f>
        <v>0.74700000000000011</v>
      </c>
      <c r="R572" t="s">
        <v>1206</v>
      </c>
      <c r="S572" t="s">
        <v>1405</v>
      </c>
      <c r="T572" t="str">
        <f>PROPER(SalesData[[#This Row],[Customer Name]])</f>
        <v>Isabella Rodriguez</v>
      </c>
      <c r="U572" t="s">
        <v>1414</v>
      </c>
      <c r="V572" t="s">
        <v>1427</v>
      </c>
    </row>
    <row r="573" spans="1:22" x14ac:dyDescent="0.25">
      <c r="A573" t="s">
        <v>1999</v>
      </c>
      <c r="B573" s="5">
        <v>45496</v>
      </c>
      <c r="C573" s="2" t="str">
        <f>TEXT(SalesData[[#This Row],[Order Date]],"mmm")</f>
        <v>Jul</v>
      </c>
      <c r="D573" s="7">
        <f>MONTH(SalesData[[#This Row],[Order Date]])</f>
        <v>7</v>
      </c>
      <c r="E573" s="7">
        <f>YEAR(SalesData[[#This Row],[Order Date]])</f>
        <v>2024</v>
      </c>
      <c r="F573" t="s">
        <v>248</v>
      </c>
      <c r="G573" t="str">
        <f>PROPER(SalesData[[#This Row],[Product Name]])</f>
        <v>Reusable Bamboo Utensil Set</v>
      </c>
      <c r="H573" t="s">
        <v>1014</v>
      </c>
      <c r="I573" t="str">
        <f>UPPER(SalesData[[#This Row],[Product Category]])</f>
        <v>KITCHENWARE</v>
      </c>
      <c r="J573">
        <v>7</v>
      </c>
      <c r="K573">
        <v>15</v>
      </c>
      <c r="L573" s="15">
        <f>IF(SalesData[[#This Row],[Unit Price]]="",
    AVERAGEIFS(SalesData[Unit Price],
               SalesData[Product Name],SalesData[[#This Row],[Product Name]]),
    SalesData[[#This Row],[Unit Price]])</f>
        <v>15</v>
      </c>
      <c r="M573" s="15">
        <v>5.88</v>
      </c>
      <c r="N573" s="15">
        <f>SalesData[[#This Row],[Quantity Sold]] * SalesData[[#This Row],[Cleaned Unit Price]]</f>
        <v>105</v>
      </c>
      <c r="O573" s="15">
        <f>SalesData[[#This Row],[Quantity Sold]] * SalesData[[#This Row],[Unit Cost]]</f>
        <v>41.16</v>
      </c>
      <c r="P573" s="15">
        <f>SalesData[[#This Row],[Revenue]] - SalesData[[#This Row],[Cost]]</f>
        <v>63.84</v>
      </c>
      <c r="Q573" s="13">
        <f>IF(SalesData[[#This Row],[Revenue]]=0,0,SalesData[[#This Row],[Profit]]/SalesData[[#This Row],[Revenue]])</f>
        <v>0.60799999999999998</v>
      </c>
      <c r="R573" t="s">
        <v>1157</v>
      </c>
      <c r="S573" t="s">
        <v>1356</v>
      </c>
      <c r="T573" t="str">
        <f>PROPER(SalesData[[#This Row],[Customer Name]])</f>
        <v>Mason Rodriguez</v>
      </c>
      <c r="U573" t="s">
        <v>1415</v>
      </c>
      <c r="V573" t="s">
        <v>1418</v>
      </c>
    </row>
    <row r="574" spans="1:22" x14ac:dyDescent="0.25">
      <c r="A574" t="s">
        <v>2000</v>
      </c>
      <c r="B574" s="5">
        <v>45496</v>
      </c>
      <c r="C574" s="2" t="str">
        <f>TEXT(SalesData[[#This Row],[Order Date]],"mmm")</f>
        <v>Jul</v>
      </c>
      <c r="D574" s="7">
        <f>MONTH(SalesData[[#This Row],[Order Date]])</f>
        <v>7</v>
      </c>
      <c r="E574" s="7">
        <f>YEAR(SalesData[[#This Row],[Order Date]])</f>
        <v>2024</v>
      </c>
      <c r="F574" t="s">
        <v>356</v>
      </c>
      <c r="G574" t="str">
        <f>PROPER(SalesData[[#This Row],[Product Name]])</f>
        <v>Biodegradable Cleaning Cloth</v>
      </c>
      <c r="H574" t="s">
        <v>1015</v>
      </c>
      <c r="I574" t="str">
        <f>UPPER(SalesData[[#This Row],[Product Category]])</f>
        <v>CLEANING</v>
      </c>
      <c r="J574">
        <v>1</v>
      </c>
      <c r="K574">
        <v>10</v>
      </c>
      <c r="L574" s="15">
        <f>IF(SalesData[[#This Row],[Unit Price]]="",
    AVERAGEIFS(SalesData[Unit Price],
               SalesData[Product Name],SalesData[[#This Row],[Product Name]]),
    SalesData[[#This Row],[Unit Price]])</f>
        <v>10</v>
      </c>
      <c r="M574" s="15">
        <v>2.21</v>
      </c>
      <c r="N574" s="15">
        <f>SalesData[[#This Row],[Quantity Sold]] * SalesData[[#This Row],[Cleaned Unit Price]]</f>
        <v>10</v>
      </c>
      <c r="O574" s="15">
        <f>SalesData[[#This Row],[Quantity Sold]] * SalesData[[#This Row],[Unit Cost]]</f>
        <v>2.21</v>
      </c>
      <c r="P574" s="15">
        <f>SalesData[[#This Row],[Revenue]] - SalesData[[#This Row],[Cost]]</f>
        <v>7.79</v>
      </c>
      <c r="Q574" s="13">
        <f>IF(SalesData[[#This Row],[Revenue]]=0,0,SalesData[[#This Row],[Profit]]/SalesData[[#This Row],[Revenue]])</f>
        <v>0.77900000000000003</v>
      </c>
      <c r="R574" t="s">
        <v>1062</v>
      </c>
      <c r="S574" t="s">
        <v>1261</v>
      </c>
      <c r="T574" t="str">
        <f>PROPER(SalesData[[#This Row],[Customer Name]])</f>
        <v>James Brown</v>
      </c>
      <c r="U574" t="s">
        <v>1414</v>
      </c>
      <c r="V574" t="s">
        <v>1420</v>
      </c>
    </row>
    <row r="575" spans="1:22" x14ac:dyDescent="0.25">
      <c r="A575" t="s">
        <v>2001</v>
      </c>
      <c r="B575" s="5">
        <v>45496</v>
      </c>
      <c r="C575" s="2" t="str">
        <f>TEXT(SalesData[[#This Row],[Order Date]],"mmm")</f>
        <v>Jul</v>
      </c>
      <c r="D575" s="7">
        <f>MONTH(SalesData[[#This Row],[Order Date]])</f>
        <v>7</v>
      </c>
      <c r="E575" s="7">
        <f>YEAR(SalesData[[#This Row],[Order Date]])</f>
        <v>2024</v>
      </c>
      <c r="F575" t="s">
        <v>795</v>
      </c>
      <c r="G575" t="str">
        <f>PROPER(SalesData[[#This Row],[Product Name]])</f>
        <v>Solar Led Lantern</v>
      </c>
      <c r="H575" t="s">
        <v>1012</v>
      </c>
      <c r="I575" t="str">
        <f>UPPER(SalesData[[#This Row],[Product Category]])</f>
        <v>LIGHTING</v>
      </c>
      <c r="J575">
        <v>3</v>
      </c>
      <c r="K575">
        <v>40</v>
      </c>
      <c r="L575" s="15">
        <f>IF(SalesData[[#This Row],[Unit Price]]="",
    AVERAGEIFS(SalesData[Unit Price],
               SalesData[Product Name],SalesData[[#This Row],[Product Name]]),
    SalesData[[#This Row],[Unit Price]])</f>
        <v>40</v>
      </c>
      <c r="M575" s="15">
        <v>8.3800000000000008</v>
      </c>
      <c r="N575" s="15">
        <f>SalesData[[#This Row],[Quantity Sold]] * SalesData[[#This Row],[Cleaned Unit Price]]</f>
        <v>120</v>
      </c>
      <c r="O575" s="15">
        <f>SalesData[[#This Row],[Quantity Sold]] * SalesData[[#This Row],[Unit Cost]]</f>
        <v>25.14</v>
      </c>
      <c r="P575" s="15">
        <f>SalesData[[#This Row],[Revenue]] - SalesData[[#This Row],[Cost]]</f>
        <v>94.86</v>
      </c>
      <c r="Q575" s="13">
        <f>IF(SalesData[[#This Row],[Revenue]]=0,0,SalesData[[#This Row],[Profit]]/SalesData[[#This Row],[Revenue]])</f>
        <v>0.79049999999999998</v>
      </c>
      <c r="R575" t="s">
        <v>1149</v>
      </c>
      <c r="S575" t="s">
        <v>1348</v>
      </c>
      <c r="T575" t="str">
        <f>PROPER(SalesData[[#This Row],[Customer Name]])</f>
        <v>Oliver Johnson</v>
      </c>
      <c r="U575" t="s">
        <v>1414</v>
      </c>
      <c r="V575" t="s">
        <v>1422</v>
      </c>
    </row>
    <row r="576" spans="1:22" x14ac:dyDescent="0.25">
      <c r="A576" t="s">
        <v>2002</v>
      </c>
      <c r="B576" s="5">
        <v>45496</v>
      </c>
      <c r="C576" s="2" t="str">
        <f>TEXT(SalesData[[#This Row],[Order Date]],"mmm")</f>
        <v>Jul</v>
      </c>
      <c r="D576" s="7">
        <f>MONTH(SalesData[[#This Row],[Order Date]])</f>
        <v>7</v>
      </c>
      <c r="E576" s="7">
        <f>YEAR(SalesData[[#This Row],[Order Date]])</f>
        <v>2024</v>
      </c>
      <c r="F576" t="s">
        <v>818</v>
      </c>
      <c r="G576" t="str">
        <f>PROPER(SalesData[[#This Row],[Product Name]])</f>
        <v>Compostable Plant Pots</v>
      </c>
      <c r="H576" t="s">
        <v>1011</v>
      </c>
      <c r="I576" t="str">
        <f>UPPER(SalesData[[#This Row],[Product Category]])</f>
        <v>GARDENING</v>
      </c>
      <c r="J576">
        <v>6</v>
      </c>
      <c r="K576">
        <v>12</v>
      </c>
      <c r="L576" s="15">
        <f>IF(SalesData[[#This Row],[Unit Price]]="",
    AVERAGEIFS(SalesData[Unit Price],
               SalesData[Product Name],SalesData[[#This Row],[Product Name]]),
    SalesData[[#This Row],[Unit Price]])</f>
        <v>12</v>
      </c>
      <c r="M576" s="15">
        <v>2.68</v>
      </c>
      <c r="N576" s="15">
        <f>SalesData[[#This Row],[Quantity Sold]] * SalesData[[#This Row],[Cleaned Unit Price]]</f>
        <v>72</v>
      </c>
      <c r="O576" s="15">
        <f>SalesData[[#This Row],[Quantity Sold]] * SalesData[[#This Row],[Unit Cost]]</f>
        <v>16.080000000000002</v>
      </c>
      <c r="P576" s="15">
        <f>SalesData[[#This Row],[Revenue]] - SalesData[[#This Row],[Cost]]</f>
        <v>55.92</v>
      </c>
      <c r="Q576" s="13">
        <f>IF(SalesData[[#This Row],[Revenue]]=0,0,SalesData[[#This Row],[Profit]]/SalesData[[#This Row],[Revenue]])</f>
        <v>0.77666666666666673</v>
      </c>
      <c r="R576" t="s">
        <v>1159</v>
      </c>
      <c r="S576" t="s">
        <v>1358</v>
      </c>
      <c r="T576" t="str">
        <f>PROPER(SalesData[[#This Row],[Customer Name]])</f>
        <v>Sophia Rodriguez</v>
      </c>
      <c r="U576" t="s">
        <v>1414</v>
      </c>
      <c r="V576" t="s">
        <v>1418</v>
      </c>
    </row>
    <row r="577" spans="1:22" x14ac:dyDescent="0.25">
      <c r="A577" t="s">
        <v>2003</v>
      </c>
      <c r="B577" s="5">
        <v>45498</v>
      </c>
      <c r="C577" s="2" t="str">
        <f>TEXT(SalesData[[#This Row],[Order Date]],"mmm")</f>
        <v>Jul</v>
      </c>
      <c r="D577" s="7">
        <f>MONTH(SalesData[[#This Row],[Order Date]])</f>
        <v>7</v>
      </c>
      <c r="E577" s="7">
        <f>YEAR(SalesData[[#This Row],[Order Date]])</f>
        <v>2024</v>
      </c>
      <c r="F577" t="s">
        <v>21</v>
      </c>
      <c r="G577" t="str">
        <f>PROPER(SalesData[[#This Row],[Product Name]])</f>
        <v>Eco Canvas Tote Bag</v>
      </c>
      <c r="H577" t="s">
        <v>1013</v>
      </c>
      <c r="I577" t="str">
        <f>UPPER(SalesData[[#This Row],[Product Category]])</f>
        <v>BAGS</v>
      </c>
      <c r="J577">
        <v>8</v>
      </c>
      <c r="K577">
        <v>25</v>
      </c>
      <c r="L577" s="15">
        <f>IF(SalesData[[#This Row],[Unit Price]]="",
    AVERAGEIFS(SalesData[Unit Price],
               SalesData[Product Name],SalesData[[#This Row],[Product Name]]),
    SalesData[[#This Row],[Unit Price]])</f>
        <v>25</v>
      </c>
      <c r="M577" s="15">
        <v>6.6</v>
      </c>
      <c r="N577" s="15">
        <f>SalesData[[#This Row],[Quantity Sold]] * SalesData[[#This Row],[Cleaned Unit Price]]</f>
        <v>200</v>
      </c>
      <c r="O577" s="15">
        <f>SalesData[[#This Row],[Quantity Sold]] * SalesData[[#This Row],[Unit Cost]]</f>
        <v>52.8</v>
      </c>
      <c r="P577" s="15">
        <f>SalesData[[#This Row],[Revenue]] - SalesData[[#This Row],[Cost]]</f>
        <v>147.19999999999999</v>
      </c>
      <c r="Q577" s="13">
        <f>IF(SalesData[[#This Row],[Revenue]]=0,0,SalesData[[#This Row],[Profit]]/SalesData[[#This Row],[Revenue]])</f>
        <v>0.73599999999999999</v>
      </c>
      <c r="R577" t="s">
        <v>1024</v>
      </c>
      <c r="S577" t="s">
        <v>1223</v>
      </c>
      <c r="T577" t="str">
        <f>PROPER(SalesData[[#This Row],[Customer Name]])</f>
        <v>Ava Rodriguez</v>
      </c>
      <c r="U577" t="s">
        <v>1414</v>
      </c>
      <c r="V577" t="s">
        <v>1423</v>
      </c>
    </row>
    <row r="578" spans="1:22" x14ac:dyDescent="0.25">
      <c r="A578" t="s">
        <v>2004</v>
      </c>
      <c r="B578" s="5">
        <v>45498</v>
      </c>
      <c r="C578" s="2" t="str">
        <f>TEXT(SalesData[[#This Row],[Order Date]],"mmm")</f>
        <v>Jul</v>
      </c>
      <c r="D578" s="7">
        <f>MONTH(SalesData[[#This Row],[Order Date]])</f>
        <v>7</v>
      </c>
      <c r="E578" s="7">
        <f>YEAR(SalesData[[#This Row],[Order Date]])</f>
        <v>2024</v>
      </c>
      <c r="F578" t="s">
        <v>172</v>
      </c>
      <c r="G578" t="str">
        <f>PROPER(SalesData[[#This Row],[Product Name]])</f>
        <v>Solar Led Lantern</v>
      </c>
      <c r="H578" t="s">
        <v>1012</v>
      </c>
      <c r="I578" t="str">
        <f>UPPER(SalesData[[#This Row],[Product Category]])</f>
        <v>LIGHTING</v>
      </c>
      <c r="J578">
        <v>4</v>
      </c>
      <c r="K578">
        <v>40</v>
      </c>
      <c r="L578" s="15">
        <f>IF(SalesData[[#This Row],[Unit Price]]="",
    AVERAGEIFS(SalesData[Unit Price],
               SalesData[Product Name],SalesData[[#This Row],[Product Name]]),
    SalesData[[#This Row],[Unit Price]])</f>
        <v>40</v>
      </c>
      <c r="M578" s="15">
        <v>14.82</v>
      </c>
      <c r="N578" s="15">
        <f>SalesData[[#This Row],[Quantity Sold]] * SalesData[[#This Row],[Cleaned Unit Price]]</f>
        <v>160</v>
      </c>
      <c r="O578" s="15">
        <f>SalesData[[#This Row],[Quantity Sold]] * SalesData[[#This Row],[Unit Cost]]</f>
        <v>59.28</v>
      </c>
      <c r="P578" s="15">
        <f>SalesData[[#This Row],[Revenue]] - SalesData[[#This Row],[Cost]]</f>
        <v>100.72</v>
      </c>
      <c r="Q578" s="13">
        <f>IF(SalesData[[#This Row],[Revenue]]=0,0,SalesData[[#This Row],[Profit]]/SalesData[[#This Row],[Revenue]])</f>
        <v>0.62949999999999995</v>
      </c>
      <c r="R578" t="s">
        <v>1041</v>
      </c>
      <c r="S578" t="s">
        <v>1240</v>
      </c>
      <c r="T578" t="str">
        <f>PROPER(SalesData[[#This Row],[Customer Name]])</f>
        <v>Noah Williams</v>
      </c>
      <c r="U578" t="s">
        <v>1414</v>
      </c>
      <c r="V578" t="s">
        <v>1420</v>
      </c>
    </row>
    <row r="579" spans="1:22" x14ac:dyDescent="0.25">
      <c r="A579" t="s">
        <v>2005</v>
      </c>
      <c r="B579" s="5">
        <v>45498</v>
      </c>
      <c r="C579" s="2" t="str">
        <f>TEXT(SalesData[[#This Row],[Order Date]],"mmm")</f>
        <v>Jul</v>
      </c>
      <c r="D579" s="7">
        <f>MONTH(SalesData[[#This Row],[Order Date]])</f>
        <v>7</v>
      </c>
      <c r="E579" s="7">
        <f>YEAR(SalesData[[#This Row],[Order Date]])</f>
        <v>2024</v>
      </c>
      <c r="F579" t="s">
        <v>242</v>
      </c>
      <c r="G579" t="str">
        <f>PROPER(SalesData[[#This Row],[Product Name]])</f>
        <v>Eco Canvas Tote Bag</v>
      </c>
      <c r="H579" t="s">
        <v>1013</v>
      </c>
      <c r="I579" t="str">
        <f>UPPER(SalesData[[#This Row],[Product Category]])</f>
        <v>BAGS</v>
      </c>
      <c r="J579">
        <v>7</v>
      </c>
      <c r="K579">
        <v>25</v>
      </c>
      <c r="L579" s="15">
        <f>IF(SalesData[[#This Row],[Unit Price]]="",
    AVERAGEIFS(SalesData[Unit Price],
               SalesData[Product Name],SalesData[[#This Row],[Product Name]]),
    SalesData[[#This Row],[Unit Price]])</f>
        <v>25</v>
      </c>
      <c r="M579" s="15">
        <v>8.67</v>
      </c>
      <c r="N579" s="15">
        <f>SalesData[[#This Row],[Quantity Sold]] * SalesData[[#This Row],[Cleaned Unit Price]]</f>
        <v>175</v>
      </c>
      <c r="O579" s="15">
        <f>SalesData[[#This Row],[Quantity Sold]] * SalesData[[#This Row],[Unit Cost]]</f>
        <v>60.69</v>
      </c>
      <c r="P579" s="15">
        <f>SalesData[[#This Row],[Revenue]] - SalesData[[#This Row],[Cost]]</f>
        <v>114.31</v>
      </c>
      <c r="Q579" s="13">
        <f>IF(SalesData[[#This Row],[Revenue]]=0,0,SalesData[[#This Row],[Profit]]/SalesData[[#This Row],[Revenue]])</f>
        <v>0.6532</v>
      </c>
      <c r="R579" t="s">
        <v>1142</v>
      </c>
      <c r="S579" t="s">
        <v>1341</v>
      </c>
      <c r="T579" t="str">
        <f>PROPER(SalesData[[#This Row],[Customer Name]])</f>
        <v>Lucas Garcia</v>
      </c>
      <c r="U579" t="s">
        <v>1416</v>
      </c>
      <c r="V579" t="s">
        <v>1419</v>
      </c>
    </row>
    <row r="580" spans="1:22" x14ac:dyDescent="0.25">
      <c r="A580" t="s">
        <v>2006</v>
      </c>
      <c r="B580" s="5">
        <v>45498</v>
      </c>
      <c r="C580" s="2" t="str">
        <f>TEXT(SalesData[[#This Row],[Order Date]],"mmm")</f>
        <v>Jul</v>
      </c>
      <c r="D580" s="7">
        <f>MONTH(SalesData[[#This Row],[Order Date]])</f>
        <v>7</v>
      </c>
      <c r="E580" s="7">
        <f>YEAR(SalesData[[#This Row],[Order Date]])</f>
        <v>2024</v>
      </c>
      <c r="F580" t="s">
        <v>254</v>
      </c>
      <c r="G580" t="str">
        <f>PROPER(SalesData[[#This Row],[Product Name]])</f>
        <v>Reusable Bamboo Utensil Set</v>
      </c>
      <c r="H580" t="s">
        <v>1014</v>
      </c>
      <c r="I580" t="str">
        <f>UPPER(SalesData[[#This Row],[Product Category]])</f>
        <v>KITCHENWARE</v>
      </c>
      <c r="J580">
        <v>8</v>
      </c>
      <c r="K580">
        <v>15</v>
      </c>
      <c r="L580" s="15">
        <f>IF(SalesData[[#This Row],[Unit Price]]="",
    AVERAGEIFS(SalesData[Unit Price],
               SalesData[Product Name],SalesData[[#This Row],[Product Name]]),
    SalesData[[#This Row],[Unit Price]])</f>
        <v>15</v>
      </c>
      <c r="M580" s="15">
        <v>5.97</v>
      </c>
      <c r="N580" s="15">
        <f>SalesData[[#This Row],[Quantity Sold]] * SalesData[[#This Row],[Cleaned Unit Price]]</f>
        <v>120</v>
      </c>
      <c r="O580" s="15">
        <f>SalesData[[#This Row],[Quantity Sold]] * SalesData[[#This Row],[Unit Cost]]</f>
        <v>47.76</v>
      </c>
      <c r="P580" s="15">
        <f>SalesData[[#This Row],[Revenue]] - SalesData[[#This Row],[Cost]]</f>
        <v>72.240000000000009</v>
      </c>
      <c r="Q580" s="13">
        <f>IF(SalesData[[#This Row],[Revenue]]=0,0,SalesData[[#This Row],[Profit]]/SalesData[[#This Row],[Revenue]])</f>
        <v>0.60200000000000009</v>
      </c>
      <c r="R580" t="s">
        <v>1046</v>
      </c>
      <c r="S580" t="s">
        <v>1245</v>
      </c>
      <c r="T580" t="str">
        <f>PROPER(SalesData[[#This Row],[Customer Name]])</f>
        <v>Lucas Williams</v>
      </c>
      <c r="U580" t="s">
        <v>1414</v>
      </c>
      <c r="V580" t="s">
        <v>1419</v>
      </c>
    </row>
    <row r="581" spans="1:22" x14ac:dyDescent="0.25">
      <c r="A581" t="s">
        <v>2007</v>
      </c>
      <c r="B581" s="5">
        <v>45498</v>
      </c>
      <c r="C581" s="2" t="str">
        <f>TEXT(SalesData[[#This Row],[Order Date]],"mmm")</f>
        <v>Jul</v>
      </c>
      <c r="D581" s="7">
        <f>MONTH(SalesData[[#This Row],[Order Date]])</f>
        <v>7</v>
      </c>
      <c r="E581" s="7">
        <f>YEAR(SalesData[[#This Row],[Order Date]])</f>
        <v>2024</v>
      </c>
      <c r="F581" t="s">
        <v>444</v>
      </c>
      <c r="G581" t="str">
        <f>PROPER(SalesData[[#This Row],[Product Name]])</f>
        <v>Compostable Plant Pots</v>
      </c>
      <c r="H581" t="s">
        <v>1011</v>
      </c>
      <c r="I581" t="str">
        <f>UPPER(SalesData[[#This Row],[Product Category]])</f>
        <v>GARDENING</v>
      </c>
      <c r="J581">
        <v>4</v>
      </c>
      <c r="K581">
        <v>12</v>
      </c>
      <c r="L581" s="15">
        <f>IF(SalesData[[#This Row],[Unit Price]]="",
    AVERAGEIFS(SalesData[Unit Price],
               SalesData[Product Name],SalesData[[#This Row],[Product Name]]),
    SalesData[[#This Row],[Unit Price]])</f>
        <v>12</v>
      </c>
      <c r="M581" s="15">
        <v>3.9</v>
      </c>
      <c r="N581" s="15">
        <f>SalesData[[#This Row],[Quantity Sold]] * SalesData[[#This Row],[Cleaned Unit Price]]</f>
        <v>48</v>
      </c>
      <c r="O581" s="15">
        <f>SalesData[[#This Row],[Quantity Sold]] * SalesData[[#This Row],[Unit Cost]]</f>
        <v>15.6</v>
      </c>
      <c r="P581" s="15">
        <f>SalesData[[#This Row],[Revenue]] - SalesData[[#This Row],[Cost]]</f>
        <v>32.4</v>
      </c>
      <c r="Q581" s="13">
        <f>IF(SalesData[[#This Row],[Revenue]]=0,0,SalesData[[#This Row],[Profit]]/SalesData[[#This Row],[Revenue]])</f>
        <v>0.67499999999999993</v>
      </c>
      <c r="R581" t="s">
        <v>1192</v>
      </c>
      <c r="S581" t="s">
        <v>1391</v>
      </c>
      <c r="T581" t="str">
        <f>PROPER(SalesData[[#This Row],[Customer Name]])</f>
        <v>Amelia Martinez</v>
      </c>
      <c r="U581" t="s">
        <v>1414</v>
      </c>
      <c r="V581" t="s">
        <v>1420</v>
      </c>
    </row>
    <row r="582" spans="1:22" x14ac:dyDescent="0.25">
      <c r="A582" t="s">
        <v>2008</v>
      </c>
      <c r="B582" s="5">
        <v>45498</v>
      </c>
      <c r="C582" s="2" t="str">
        <f>TEXT(SalesData[[#This Row],[Order Date]],"mmm")</f>
        <v>Jul</v>
      </c>
      <c r="D582" s="7">
        <f>MONTH(SalesData[[#This Row],[Order Date]])</f>
        <v>7</v>
      </c>
      <c r="E582" s="7">
        <f>YEAR(SalesData[[#This Row],[Order Date]])</f>
        <v>2024</v>
      </c>
      <c r="F582" t="s">
        <v>689</v>
      </c>
      <c r="G582" t="str">
        <f>PROPER(SalesData[[#This Row],[Product Name]])</f>
        <v>Biodegradable Cleaning Cloth</v>
      </c>
      <c r="H582" t="s">
        <v>1015</v>
      </c>
      <c r="I582" t="str">
        <f>UPPER(SalesData[[#This Row],[Product Category]])</f>
        <v>CLEANING</v>
      </c>
      <c r="J582">
        <v>6</v>
      </c>
      <c r="K582">
        <v>10</v>
      </c>
      <c r="L582" s="15">
        <f>IF(SalesData[[#This Row],[Unit Price]]="",
    AVERAGEIFS(SalesData[Unit Price],
               SalesData[Product Name],SalesData[[#This Row],[Product Name]]),
    SalesData[[#This Row],[Unit Price]])</f>
        <v>10</v>
      </c>
      <c r="M582" s="15">
        <v>3.16</v>
      </c>
      <c r="N582" s="15">
        <f>SalesData[[#This Row],[Quantity Sold]] * SalesData[[#This Row],[Cleaned Unit Price]]</f>
        <v>60</v>
      </c>
      <c r="O582" s="15">
        <f>SalesData[[#This Row],[Quantity Sold]] * SalesData[[#This Row],[Unit Cost]]</f>
        <v>18.96</v>
      </c>
      <c r="P582" s="15">
        <f>SalesData[[#This Row],[Revenue]] - SalesData[[#This Row],[Cost]]</f>
        <v>41.04</v>
      </c>
      <c r="Q582" s="13">
        <f>IF(SalesData[[#This Row],[Revenue]]=0,0,SalesData[[#This Row],[Profit]]/SalesData[[#This Row],[Revenue]])</f>
        <v>0.68399999999999994</v>
      </c>
      <c r="R582" t="s">
        <v>1182</v>
      </c>
      <c r="S582" t="s">
        <v>1381</v>
      </c>
      <c r="T582" t="str">
        <f>PROPER(SalesData[[#This Row],[Customer Name]])</f>
        <v>Mia Martinez</v>
      </c>
      <c r="U582" t="s">
        <v>1414</v>
      </c>
      <c r="V582" t="s">
        <v>1422</v>
      </c>
    </row>
    <row r="583" spans="1:22" x14ac:dyDescent="0.25">
      <c r="A583" t="s">
        <v>2009</v>
      </c>
      <c r="B583" s="5">
        <v>45498</v>
      </c>
      <c r="C583" s="2" t="str">
        <f>TEXT(SalesData[[#This Row],[Order Date]],"mmm")</f>
        <v>Jul</v>
      </c>
      <c r="D583" s="7">
        <f>MONTH(SalesData[[#This Row],[Order Date]])</f>
        <v>7</v>
      </c>
      <c r="E583" s="7">
        <f>YEAR(SalesData[[#This Row],[Order Date]])</f>
        <v>2024</v>
      </c>
      <c r="F583" t="s">
        <v>930</v>
      </c>
      <c r="G583" t="str">
        <f>PROPER(SalesData[[#This Row],[Product Name]])</f>
        <v>Solar Led Lantern</v>
      </c>
      <c r="H583" t="s">
        <v>1012</v>
      </c>
      <c r="I583" t="str">
        <f>UPPER(SalesData[[#This Row],[Product Category]])</f>
        <v>LIGHTING</v>
      </c>
      <c r="J583">
        <v>3</v>
      </c>
      <c r="K583">
        <v>40</v>
      </c>
      <c r="L583" s="15">
        <f>IF(SalesData[[#This Row],[Unit Price]]="",
    AVERAGEIFS(SalesData[Unit Price],
               SalesData[Product Name],SalesData[[#This Row],[Product Name]]),
    SalesData[[#This Row],[Unit Price]])</f>
        <v>40</v>
      </c>
      <c r="M583" s="15">
        <v>11.05</v>
      </c>
      <c r="N583" s="15">
        <f>SalesData[[#This Row],[Quantity Sold]] * SalesData[[#This Row],[Cleaned Unit Price]]</f>
        <v>120</v>
      </c>
      <c r="O583" s="15">
        <f>SalesData[[#This Row],[Quantity Sold]] * SalesData[[#This Row],[Unit Cost]]</f>
        <v>33.150000000000006</v>
      </c>
      <c r="P583" s="15">
        <f>SalesData[[#This Row],[Revenue]] - SalesData[[#This Row],[Cost]]</f>
        <v>86.85</v>
      </c>
      <c r="Q583" s="13">
        <f>IF(SalesData[[#This Row],[Revenue]]=0,0,SalesData[[#This Row],[Profit]]/SalesData[[#This Row],[Revenue]])</f>
        <v>0.72375</v>
      </c>
      <c r="R583" t="s">
        <v>1180</v>
      </c>
      <c r="S583" t="s">
        <v>1379</v>
      </c>
      <c r="T583" t="str">
        <f>PROPER(SalesData[[#This Row],[Customer Name]])</f>
        <v>Amelia Miller</v>
      </c>
      <c r="U583" t="s">
        <v>1416</v>
      </c>
      <c r="V583" t="s">
        <v>1421</v>
      </c>
    </row>
    <row r="584" spans="1:22" x14ac:dyDescent="0.25">
      <c r="A584" t="s">
        <v>2010</v>
      </c>
      <c r="B584" s="5">
        <v>45499</v>
      </c>
      <c r="C584" s="2" t="str">
        <f>TEXT(SalesData[[#This Row],[Order Date]],"mmm")</f>
        <v>Jul</v>
      </c>
      <c r="D584" s="7">
        <f>MONTH(SalesData[[#This Row],[Order Date]])</f>
        <v>7</v>
      </c>
      <c r="E584" s="7">
        <f>YEAR(SalesData[[#This Row],[Order Date]])</f>
        <v>2024</v>
      </c>
      <c r="F584" t="s">
        <v>115</v>
      </c>
      <c r="G584" t="str">
        <f>PROPER(SalesData[[#This Row],[Product Name]])</f>
        <v>Solar Led Lantern</v>
      </c>
      <c r="H584" t="s">
        <v>1012</v>
      </c>
      <c r="I584" t="str">
        <f>UPPER(SalesData[[#This Row],[Product Category]])</f>
        <v>LIGHTING</v>
      </c>
      <c r="J584">
        <v>5</v>
      </c>
      <c r="L584" s="15">
        <f>IF(SalesData[[#This Row],[Unit Price]]="",
    AVERAGEIFS(SalesData[Unit Price],
               SalesData[Product Name],SalesData[[#This Row],[Product Name]]),
    SalesData[[#This Row],[Unit Price]])</f>
        <v>40</v>
      </c>
      <c r="M584" s="15">
        <v>12.94</v>
      </c>
      <c r="N584" s="15">
        <f>SalesData[[#This Row],[Quantity Sold]] * SalesData[[#This Row],[Cleaned Unit Price]]</f>
        <v>200</v>
      </c>
      <c r="O584" s="15">
        <f>SalesData[[#This Row],[Quantity Sold]] * SalesData[[#This Row],[Unit Cost]]</f>
        <v>64.7</v>
      </c>
      <c r="P584" s="15">
        <f>SalesData[[#This Row],[Revenue]] - SalesData[[#This Row],[Cost]]</f>
        <v>135.30000000000001</v>
      </c>
      <c r="Q584" s="13">
        <f>IF(SalesData[[#This Row],[Revenue]]=0,0,SalesData[[#This Row],[Profit]]/SalesData[[#This Row],[Revenue]])</f>
        <v>0.6765000000000001</v>
      </c>
      <c r="R584" t="s">
        <v>1095</v>
      </c>
      <c r="S584" t="s">
        <v>1294</v>
      </c>
      <c r="T584" t="str">
        <f>PROPER(SalesData[[#This Row],[Customer Name]])</f>
        <v>Evelyn Miller</v>
      </c>
      <c r="U584" t="s">
        <v>1414</v>
      </c>
      <c r="V584" t="s">
        <v>1423</v>
      </c>
    </row>
    <row r="585" spans="1:22" x14ac:dyDescent="0.25">
      <c r="A585" t="s">
        <v>2011</v>
      </c>
      <c r="B585" s="5">
        <v>45499</v>
      </c>
      <c r="C585" s="2" t="str">
        <f>TEXT(SalesData[[#This Row],[Order Date]],"mmm")</f>
        <v>Jul</v>
      </c>
      <c r="D585" s="7">
        <f>MONTH(SalesData[[#This Row],[Order Date]])</f>
        <v>7</v>
      </c>
      <c r="E585" s="7">
        <f>YEAR(SalesData[[#This Row],[Order Date]])</f>
        <v>2024</v>
      </c>
      <c r="F585" t="s">
        <v>700</v>
      </c>
      <c r="G585" t="str">
        <f>PROPER(SalesData[[#This Row],[Product Name]])</f>
        <v>Biodegradable Cleaning Cloth</v>
      </c>
      <c r="H585" t="s">
        <v>1015</v>
      </c>
      <c r="I585" t="str">
        <f>UPPER(SalesData[[#This Row],[Product Category]])</f>
        <v>CLEANING</v>
      </c>
      <c r="J585">
        <v>3</v>
      </c>
      <c r="K585">
        <v>10</v>
      </c>
      <c r="L585" s="15">
        <f>IF(SalesData[[#This Row],[Unit Price]]="",
    AVERAGEIFS(SalesData[Unit Price],
               SalesData[Product Name],SalesData[[#This Row],[Product Name]]),
    SalesData[[#This Row],[Unit Price]])</f>
        <v>10</v>
      </c>
      <c r="M585" s="15">
        <v>2.02</v>
      </c>
      <c r="N585" s="15">
        <f>SalesData[[#This Row],[Quantity Sold]] * SalesData[[#This Row],[Cleaned Unit Price]]</f>
        <v>30</v>
      </c>
      <c r="O585" s="15">
        <f>SalesData[[#This Row],[Quantity Sold]] * SalesData[[#This Row],[Unit Cost]]</f>
        <v>6.0600000000000005</v>
      </c>
      <c r="P585" s="15">
        <f>SalesData[[#This Row],[Revenue]] - SalesData[[#This Row],[Cost]]</f>
        <v>23.939999999999998</v>
      </c>
      <c r="Q585" s="13">
        <f>IF(SalesData[[#This Row],[Revenue]]=0,0,SalesData[[#This Row],[Profit]]/SalesData[[#This Row],[Revenue]])</f>
        <v>0.79799999999999993</v>
      </c>
      <c r="R585" t="s">
        <v>1161</v>
      </c>
      <c r="S585" t="s">
        <v>1360</v>
      </c>
      <c r="T585" t="str">
        <f>PROPER(SalesData[[#This Row],[Customer Name]])</f>
        <v>Elijah Davis</v>
      </c>
      <c r="U585" t="s">
        <v>1416</v>
      </c>
      <c r="V585" t="s">
        <v>1418</v>
      </c>
    </row>
    <row r="586" spans="1:22" x14ac:dyDescent="0.25">
      <c r="A586" t="s">
        <v>2012</v>
      </c>
      <c r="B586" s="5">
        <v>45500</v>
      </c>
      <c r="C586" s="2" t="str">
        <f>TEXT(SalesData[[#This Row],[Order Date]],"mmm")</f>
        <v>Jul</v>
      </c>
      <c r="D586" s="7">
        <f>MONTH(SalesData[[#This Row],[Order Date]])</f>
        <v>7</v>
      </c>
      <c r="E586" s="7">
        <f>YEAR(SalesData[[#This Row],[Order Date]])</f>
        <v>2024</v>
      </c>
      <c r="F586" t="s">
        <v>335</v>
      </c>
      <c r="G586" t="str">
        <f>PROPER(SalesData[[#This Row],[Product Name]])</f>
        <v>Solar Led Lantern</v>
      </c>
      <c r="H586" t="s">
        <v>1012</v>
      </c>
      <c r="I586" t="str">
        <f>UPPER(SalesData[[#This Row],[Product Category]])</f>
        <v>LIGHTING</v>
      </c>
      <c r="J586">
        <v>6</v>
      </c>
      <c r="K586">
        <v>40</v>
      </c>
      <c r="L586" s="15">
        <f>IF(SalesData[[#This Row],[Unit Price]]="",
    AVERAGEIFS(SalesData[Unit Price],
               SalesData[Product Name],SalesData[[#This Row],[Product Name]]),
    SalesData[[#This Row],[Unit Price]])</f>
        <v>40</v>
      </c>
      <c r="M586" s="15">
        <v>13.06</v>
      </c>
      <c r="N586" s="15">
        <f>SalesData[[#This Row],[Quantity Sold]] * SalesData[[#This Row],[Cleaned Unit Price]]</f>
        <v>240</v>
      </c>
      <c r="O586" s="15">
        <f>SalesData[[#This Row],[Quantity Sold]] * SalesData[[#This Row],[Unit Cost]]</f>
        <v>78.36</v>
      </c>
      <c r="P586" s="15">
        <f>SalesData[[#This Row],[Revenue]] - SalesData[[#This Row],[Cost]]</f>
        <v>161.63999999999999</v>
      </c>
      <c r="Q586" s="13">
        <f>IF(SalesData[[#This Row],[Revenue]]=0,0,SalesData[[#This Row],[Profit]]/SalesData[[#This Row],[Revenue]])</f>
        <v>0.67349999999999999</v>
      </c>
      <c r="R586" t="s">
        <v>1160</v>
      </c>
      <c r="S586" t="s">
        <v>1359</v>
      </c>
      <c r="T586" t="str">
        <f>PROPER(SalesData[[#This Row],[Customer Name]])</f>
        <v>Emma Davis</v>
      </c>
      <c r="U586" t="s">
        <v>1414</v>
      </c>
      <c r="V586" t="s">
        <v>1423</v>
      </c>
    </row>
    <row r="587" spans="1:22" x14ac:dyDescent="0.25">
      <c r="A587" t="s">
        <v>2013</v>
      </c>
      <c r="B587" s="5">
        <v>45500</v>
      </c>
      <c r="C587" s="2" t="str">
        <f>TEXT(SalesData[[#This Row],[Order Date]],"mmm")</f>
        <v>Jul</v>
      </c>
      <c r="D587" s="7">
        <f>MONTH(SalesData[[#This Row],[Order Date]])</f>
        <v>7</v>
      </c>
      <c r="E587" s="7">
        <f>YEAR(SalesData[[#This Row],[Order Date]])</f>
        <v>2024</v>
      </c>
      <c r="F587" t="s">
        <v>517</v>
      </c>
      <c r="G587" t="str">
        <f>PROPER(SalesData[[#This Row],[Product Name]])</f>
        <v>Eco Canvas Tote Bag</v>
      </c>
      <c r="H587" t="s">
        <v>1013</v>
      </c>
      <c r="I587" t="str">
        <f>UPPER(SalesData[[#This Row],[Product Category]])</f>
        <v>BAGS</v>
      </c>
      <c r="J587">
        <v>3</v>
      </c>
      <c r="K587">
        <v>25</v>
      </c>
      <c r="L587" s="15">
        <f>IF(SalesData[[#This Row],[Unit Price]]="",
    AVERAGEIFS(SalesData[Unit Price],
               SalesData[Product Name],SalesData[[#This Row],[Product Name]]),
    SalesData[[#This Row],[Unit Price]])</f>
        <v>25</v>
      </c>
      <c r="M587" s="15">
        <v>5.33</v>
      </c>
      <c r="N587" s="15">
        <f>SalesData[[#This Row],[Quantity Sold]] * SalesData[[#This Row],[Cleaned Unit Price]]</f>
        <v>75</v>
      </c>
      <c r="O587" s="15">
        <f>SalesData[[#This Row],[Quantity Sold]] * SalesData[[#This Row],[Unit Cost]]</f>
        <v>15.99</v>
      </c>
      <c r="P587" s="15">
        <f>SalesData[[#This Row],[Revenue]] - SalesData[[#This Row],[Cost]]</f>
        <v>59.01</v>
      </c>
      <c r="Q587" s="13">
        <f>IF(SalesData[[#This Row],[Revenue]]=0,0,SalesData[[#This Row],[Profit]]/SalesData[[#This Row],[Revenue]])</f>
        <v>0.78679999999999994</v>
      </c>
      <c r="R587" t="s">
        <v>1097</v>
      </c>
      <c r="S587" t="s">
        <v>1296</v>
      </c>
      <c r="T587" t="str">
        <f>PROPER(SalesData[[#This Row],[Customer Name]])</f>
        <v>Elijah Brown</v>
      </c>
      <c r="U587" t="s">
        <v>1414</v>
      </c>
      <c r="V587" t="s">
        <v>1419</v>
      </c>
    </row>
    <row r="588" spans="1:22" x14ac:dyDescent="0.25">
      <c r="A588" t="s">
        <v>2014</v>
      </c>
      <c r="B588" s="5">
        <v>45500</v>
      </c>
      <c r="C588" s="2" t="str">
        <f>TEXT(SalesData[[#This Row],[Order Date]],"mmm")</f>
        <v>Jul</v>
      </c>
      <c r="D588" s="7">
        <f>MONTH(SalesData[[#This Row],[Order Date]])</f>
        <v>7</v>
      </c>
      <c r="E588" s="7">
        <f>YEAR(SalesData[[#This Row],[Order Date]])</f>
        <v>2024</v>
      </c>
      <c r="F588" t="s">
        <v>804</v>
      </c>
      <c r="G588" t="str">
        <f>PROPER(SalesData[[#This Row],[Product Name]])</f>
        <v>Reusable Bamboo Utensil Set</v>
      </c>
      <c r="H588" t="s">
        <v>1014</v>
      </c>
      <c r="I588" t="str">
        <f>UPPER(SalesData[[#This Row],[Product Category]])</f>
        <v>KITCHENWARE</v>
      </c>
      <c r="J588">
        <v>6</v>
      </c>
      <c r="K588">
        <v>15</v>
      </c>
      <c r="L588" s="15">
        <f>IF(SalesData[[#This Row],[Unit Price]]="",
    AVERAGEIFS(SalesData[Unit Price],
               SalesData[Product Name],SalesData[[#This Row],[Product Name]]),
    SalesData[[#This Row],[Unit Price]])</f>
        <v>15</v>
      </c>
      <c r="M588" s="15">
        <v>5.32</v>
      </c>
      <c r="N588" s="15">
        <f>SalesData[[#This Row],[Quantity Sold]] * SalesData[[#This Row],[Cleaned Unit Price]]</f>
        <v>90</v>
      </c>
      <c r="O588" s="15">
        <f>SalesData[[#This Row],[Quantity Sold]] * SalesData[[#This Row],[Unit Cost]]</f>
        <v>31.92</v>
      </c>
      <c r="P588" s="15">
        <f>SalesData[[#This Row],[Revenue]] - SalesData[[#This Row],[Cost]]</f>
        <v>58.08</v>
      </c>
      <c r="Q588" s="13">
        <f>IF(SalesData[[#This Row],[Revenue]]=0,0,SalesData[[#This Row],[Profit]]/SalesData[[#This Row],[Revenue]])</f>
        <v>0.64533333333333331</v>
      </c>
      <c r="R588" t="s">
        <v>1089</v>
      </c>
      <c r="S588" t="s">
        <v>1288</v>
      </c>
      <c r="T588" t="str">
        <f>PROPER(SalesData[[#This Row],[Customer Name]])</f>
        <v>Isabella Garcia</v>
      </c>
      <c r="U588" t="s">
        <v>1414</v>
      </c>
      <c r="V588" t="s">
        <v>1423</v>
      </c>
    </row>
    <row r="589" spans="1:22" x14ac:dyDescent="0.25">
      <c r="A589" t="s">
        <v>2015</v>
      </c>
      <c r="B589" s="5">
        <v>45501</v>
      </c>
      <c r="C589" s="2" t="str">
        <f>TEXT(SalesData[[#This Row],[Order Date]],"mmm")</f>
        <v>Jul</v>
      </c>
      <c r="D589" s="7">
        <f>MONTH(SalesData[[#This Row],[Order Date]])</f>
        <v>7</v>
      </c>
      <c r="E589" s="7">
        <f>YEAR(SalesData[[#This Row],[Order Date]])</f>
        <v>2024</v>
      </c>
      <c r="F589" t="s">
        <v>959</v>
      </c>
      <c r="G589" t="str">
        <f>PROPER(SalesData[[#This Row],[Product Name]])</f>
        <v>Eco Canvas Tote Bag</v>
      </c>
      <c r="H589" t="s">
        <v>1013</v>
      </c>
      <c r="I589" t="str">
        <f>UPPER(SalesData[[#This Row],[Product Category]])</f>
        <v>BAGS</v>
      </c>
      <c r="J589">
        <v>8</v>
      </c>
      <c r="K589">
        <v>25</v>
      </c>
      <c r="L589" s="15">
        <f>IF(SalesData[[#This Row],[Unit Price]]="",
    AVERAGEIFS(SalesData[Unit Price],
               SalesData[Product Name],SalesData[[#This Row],[Product Name]]),
    SalesData[[#This Row],[Unit Price]])</f>
        <v>25</v>
      </c>
      <c r="M589" s="15">
        <v>7.98</v>
      </c>
      <c r="N589" s="15">
        <f>SalesData[[#This Row],[Quantity Sold]] * SalesData[[#This Row],[Cleaned Unit Price]]</f>
        <v>200</v>
      </c>
      <c r="O589" s="15">
        <f>SalesData[[#This Row],[Quantity Sold]] * SalesData[[#This Row],[Unit Cost]]</f>
        <v>63.84</v>
      </c>
      <c r="P589" s="15">
        <f>SalesData[[#This Row],[Revenue]] - SalesData[[#This Row],[Cost]]</f>
        <v>136.16</v>
      </c>
      <c r="Q589" s="13">
        <f>IF(SalesData[[#This Row],[Revenue]]=0,0,SalesData[[#This Row],[Profit]]/SalesData[[#This Row],[Revenue]])</f>
        <v>0.68079999999999996</v>
      </c>
      <c r="R589" t="s">
        <v>1049</v>
      </c>
      <c r="S589" t="s">
        <v>1248</v>
      </c>
      <c r="T589" t="str">
        <f>PROPER(SalesData[[#This Row],[Customer Name]])</f>
        <v>Noah Rodriguez</v>
      </c>
      <c r="U589" t="s">
        <v>1414</v>
      </c>
      <c r="V589" t="s">
        <v>1418</v>
      </c>
    </row>
    <row r="590" spans="1:22" x14ac:dyDescent="0.25">
      <c r="A590" t="s">
        <v>2016</v>
      </c>
      <c r="B590" s="5">
        <v>45503</v>
      </c>
      <c r="C590" s="2" t="str">
        <f>TEXT(SalesData[[#This Row],[Order Date]],"mmm")</f>
        <v>Jul</v>
      </c>
      <c r="D590" s="7">
        <f>MONTH(SalesData[[#This Row],[Order Date]])</f>
        <v>7</v>
      </c>
      <c r="E590" s="7">
        <f>YEAR(SalesData[[#This Row],[Order Date]])</f>
        <v>2024</v>
      </c>
      <c r="F590" t="s">
        <v>494</v>
      </c>
      <c r="G590" t="str">
        <f>PROPER(SalesData[[#This Row],[Product Name]])</f>
        <v>Reusable Bamboo Utensil Set</v>
      </c>
      <c r="H590" t="s">
        <v>1014</v>
      </c>
      <c r="I590" t="str">
        <f>UPPER(SalesData[[#This Row],[Product Category]])</f>
        <v>KITCHENWARE</v>
      </c>
      <c r="J590">
        <v>9</v>
      </c>
      <c r="K590">
        <v>15</v>
      </c>
      <c r="L590" s="15">
        <f>IF(SalesData[[#This Row],[Unit Price]]="",
    AVERAGEIFS(SalesData[Unit Price],
               SalesData[Product Name],SalesData[[#This Row],[Product Name]]),
    SalesData[[#This Row],[Unit Price]])</f>
        <v>15</v>
      </c>
      <c r="M590" s="15">
        <v>5.59</v>
      </c>
      <c r="N590" s="15">
        <f>SalesData[[#This Row],[Quantity Sold]] * SalesData[[#This Row],[Cleaned Unit Price]]</f>
        <v>135</v>
      </c>
      <c r="O590" s="15">
        <f>SalesData[[#This Row],[Quantity Sold]] * SalesData[[#This Row],[Unit Cost]]</f>
        <v>50.31</v>
      </c>
      <c r="P590" s="15">
        <f>SalesData[[#This Row],[Revenue]] - SalesData[[#This Row],[Cost]]</f>
        <v>84.69</v>
      </c>
      <c r="Q590" s="13">
        <f>IF(SalesData[[#This Row],[Revenue]]=0,0,SalesData[[#This Row],[Profit]]/SalesData[[#This Row],[Revenue]])</f>
        <v>0.6273333333333333</v>
      </c>
      <c r="R590" t="s">
        <v>1202</v>
      </c>
      <c r="S590" t="s">
        <v>1401</v>
      </c>
      <c r="T590" t="str">
        <f>PROPER(SalesData[[#This Row],[Customer Name]])</f>
        <v>Aiden Smith</v>
      </c>
      <c r="U590" t="s">
        <v>1414</v>
      </c>
      <c r="V590" t="s">
        <v>1422</v>
      </c>
    </row>
    <row r="591" spans="1:22" x14ac:dyDescent="0.25">
      <c r="A591" t="s">
        <v>2017</v>
      </c>
      <c r="B591" s="5">
        <v>45503</v>
      </c>
      <c r="C591" s="2" t="str">
        <f>TEXT(SalesData[[#This Row],[Order Date]],"mmm")</f>
        <v>Jul</v>
      </c>
      <c r="D591" s="7">
        <f>MONTH(SalesData[[#This Row],[Order Date]])</f>
        <v>7</v>
      </c>
      <c r="E591" s="7">
        <f>YEAR(SalesData[[#This Row],[Order Date]])</f>
        <v>2024</v>
      </c>
      <c r="F591" t="s">
        <v>729</v>
      </c>
      <c r="G591" t="str">
        <f>PROPER(SalesData[[#This Row],[Product Name]])</f>
        <v>Solar Led Lantern</v>
      </c>
      <c r="H591" t="s">
        <v>1012</v>
      </c>
      <c r="I591" t="str">
        <f>UPPER(SalesData[[#This Row],[Product Category]])</f>
        <v>LIGHTING</v>
      </c>
      <c r="J591">
        <v>10</v>
      </c>
      <c r="K591">
        <v>40</v>
      </c>
      <c r="L591" s="15">
        <f>IF(SalesData[[#This Row],[Unit Price]]="",
    AVERAGEIFS(SalesData[Unit Price],
               SalesData[Product Name],SalesData[[#This Row],[Product Name]]),
    SalesData[[#This Row],[Unit Price]])</f>
        <v>40</v>
      </c>
      <c r="M591" s="15">
        <v>15.91</v>
      </c>
      <c r="N591" s="15">
        <f>SalesData[[#This Row],[Quantity Sold]] * SalesData[[#This Row],[Cleaned Unit Price]]</f>
        <v>400</v>
      </c>
      <c r="O591" s="15">
        <f>SalesData[[#This Row],[Quantity Sold]] * SalesData[[#This Row],[Unit Cost]]</f>
        <v>159.1</v>
      </c>
      <c r="P591" s="15">
        <f>SalesData[[#This Row],[Revenue]] - SalesData[[#This Row],[Cost]]</f>
        <v>240.9</v>
      </c>
      <c r="Q591" s="13">
        <f>IF(SalesData[[#This Row],[Revenue]]=0,0,SalesData[[#This Row],[Profit]]/SalesData[[#This Row],[Revenue]])</f>
        <v>0.60225000000000006</v>
      </c>
      <c r="R591" t="s">
        <v>1114</v>
      </c>
      <c r="S591" t="s">
        <v>1313</v>
      </c>
      <c r="T591" t="str">
        <f>PROPER(SalesData[[#This Row],[Customer Name]])</f>
        <v>James Williams</v>
      </c>
      <c r="U591" t="s">
        <v>1414</v>
      </c>
      <c r="V591" t="s">
        <v>1425</v>
      </c>
    </row>
    <row r="592" spans="1:22" x14ac:dyDescent="0.25">
      <c r="A592" t="s">
        <v>2018</v>
      </c>
      <c r="B592" s="5">
        <v>45504</v>
      </c>
      <c r="C592" s="2" t="str">
        <f>TEXT(SalesData[[#This Row],[Order Date]],"mmm")</f>
        <v>Jul</v>
      </c>
      <c r="D592" s="7">
        <f>MONTH(SalesData[[#This Row],[Order Date]])</f>
        <v>7</v>
      </c>
      <c r="E592" s="7">
        <f>YEAR(SalesData[[#This Row],[Order Date]])</f>
        <v>2024</v>
      </c>
      <c r="F592" t="s">
        <v>36</v>
      </c>
      <c r="G592" t="str">
        <f>PROPER(SalesData[[#This Row],[Product Name]])</f>
        <v>Reusable Bamboo Utensil Set</v>
      </c>
      <c r="H592" t="s">
        <v>1014</v>
      </c>
      <c r="I592" t="str">
        <f>UPPER(SalesData[[#This Row],[Product Category]])</f>
        <v>KITCHENWARE</v>
      </c>
      <c r="J592">
        <v>9</v>
      </c>
      <c r="K592">
        <v>15</v>
      </c>
      <c r="L592" s="15">
        <f>IF(SalesData[[#This Row],[Unit Price]]="",
    AVERAGEIFS(SalesData[Unit Price],
               SalesData[Product Name],SalesData[[#This Row],[Product Name]]),
    SalesData[[#This Row],[Unit Price]])</f>
        <v>15</v>
      </c>
      <c r="M592" s="15">
        <v>5.14</v>
      </c>
      <c r="N592" s="15">
        <f>SalesData[[#This Row],[Quantity Sold]] * SalesData[[#This Row],[Cleaned Unit Price]]</f>
        <v>135</v>
      </c>
      <c r="O592" s="15">
        <f>SalesData[[#This Row],[Quantity Sold]] * SalesData[[#This Row],[Unit Cost]]</f>
        <v>46.26</v>
      </c>
      <c r="P592" s="15">
        <f>SalesData[[#This Row],[Revenue]] - SalesData[[#This Row],[Cost]]</f>
        <v>88.740000000000009</v>
      </c>
      <c r="Q592" s="13">
        <f>IF(SalesData[[#This Row],[Revenue]]=0,0,SalesData[[#This Row],[Profit]]/SalesData[[#This Row],[Revenue]])</f>
        <v>0.65733333333333344</v>
      </c>
      <c r="R592" t="s">
        <v>1038</v>
      </c>
      <c r="S592" t="s">
        <v>1237</v>
      </c>
      <c r="T592" t="str">
        <f>PROPER(SalesData[[#This Row],[Customer Name]])</f>
        <v>Harper Garcia</v>
      </c>
      <c r="U592" t="s">
        <v>1414</v>
      </c>
      <c r="V592" t="s">
        <v>1419</v>
      </c>
    </row>
    <row r="593" spans="1:22" x14ac:dyDescent="0.25">
      <c r="A593" t="s">
        <v>2019</v>
      </c>
      <c r="B593" s="5">
        <v>45505</v>
      </c>
      <c r="C593" s="2" t="str">
        <f>TEXT(SalesData[[#This Row],[Order Date]],"mmm")</f>
        <v>Aug</v>
      </c>
      <c r="D593" s="7">
        <f>MONTH(SalesData[[#This Row],[Order Date]])</f>
        <v>8</v>
      </c>
      <c r="E593" s="7">
        <f>YEAR(SalesData[[#This Row],[Order Date]])</f>
        <v>2024</v>
      </c>
      <c r="F593" t="s">
        <v>644</v>
      </c>
      <c r="G593" t="str">
        <f>PROPER(SalesData[[#This Row],[Product Name]])</f>
        <v>Eco Canvas Tote Bag</v>
      </c>
      <c r="H593" t="s">
        <v>1013</v>
      </c>
      <c r="I593" t="str">
        <f>UPPER(SalesData[[#This Row],[Product Category]])</f>
        <v>BAGS</v>
      </c>
      <c r="J593">
        <v>2</v>
      </c>
      <c r="K593">
        <v>25</v>
      </c>
      <c r="L593" s="15">
        <f>IF(SalesData[[#This Row],[Unit Price]]="",
    AVERAGEIFS(SalesData[Unit Price],
               SalesData[Product Name],SalesData[[#This Row],[Product Name]]),
    SalesData[[#This Row],[Unit Price]])</f>
        <v>25</v>
      </c>
      <c r="M593" s="15">
        <v>8.4</v>
      </c>
      <c r="N593" s="15">
        <f>SalesData[[#This Row],[Quantity Sold]] * SalesData[[#This Row],[Cleaned Unit Price]]</f>
        <v>50</v>
      </c>
      <c r="O593" s="15">
        <f>SalesData[[#This Row],[Quantity Sold]] * SalesData[[#This Row],[Unit Cost]]</f>
        <v>16.8</v>
      </c>
      <c r="P593" s="15">
        <f>SalesData[[#This Row],[Revenue]] - SalesData[[#This Row],[Cost]]</f>
        <v>33.200000000000003</v>
      </c>
      <c r="Q593" s="13">
        <f>IF(SalesData[[#This Row],[Revenue]]=0,0,SalesData[[#This Row],[Profit]]/SalesData[[#This Row],[Revenue]])</f>
        <v>0.66400000000000003</v>
      </c>
      <c r="R593" t="s">
        <v>1056</v>
      </c>
      <c r="S593" t="s">
        <v>1255</v>
      </c>
      <c r="T593" t="str">
        <f>PROPER(SalesData[[#This Row],[Customer Name]])</f>
        <v>Noah Martinez</v>
      </c>
      <c r="U593" t="s">
        <v>1414</v>
      </c>
      <c r="V593" t="s">
        <v>1422</v>
      </c>
    </row>
    <row r="594" spans="1:22" x14ac:dyDescent="0.25">
      <c r="A594" t="s">
        <v>2020</v>
      </c>
      <c r="B594" s="5">
        <v>45505</v>
      </c>
      <c r="C594" s="2" t="str">
        <f>TEXT(SalesData[[#This Row],[Order Date]],"mmm")</f>
        <v>Aug</v>
      </c>
      <c r="D594" s="7">
        <f>MONTH(SalesData[[#This Row],[Order Date]])</f>
        <v>8</v>
      </c>
      <c r="E594" s="7">
        <f>YEAR(SalesData[[#This Row],[Order Date]])</f>
        <v>2024</v>
      </c>
      <c r="F594" t="s">
        <v>816</v>
      </c>
      <c r="G594" t="str">
        <f>PROPER(SalesData[[#This Row],[Product Name]])</f>
        <v>Reusable Bamboo Utensil Set</v>
      </c>
      <c r="H594" t="s">
        <v>1014</v>
      </c>
      <c r="I594" t="str">
        <f>UPPER(SalesData[[#This Row],[Product Category]])</f>
        <v>KITCHENWARE</v>
      </c>
      <c r="J594">
        <v>2</v>
      </c>
      <c r="K594">
        <v>15</v>
      </c>
      <c r="L594" s="15">
        <f>IF(SalesData[[#This Row],[Unit Price]]="",
    AVERAGEIFS(SalesData[Unit Price],
               SalesData[Product Name],SalesData[[#This Row],[Product Name]]),
    SalesData[[#This Row],[Unit Price]])</f>
        <v>15</v>
      </c>
      <c r="M594" s="15">
        <v>4.3099999999999996</v>
      </c>
      <c r="N594" s="15">
        <f>SalesData[[#This Row],[Quantity Sold]] * SalesData[[#This Row],[Cleaned Unit Price]]</f>
        <v>30</v>
      </c>
      <c r="O594" s="15">
        <f>SalesData[[#This Row],[Quantity Sold]] * SalesData[[#This Row],[Unit Cost]]</f>
        <v>8.6199999999999992</v>
      </c>
      <c r="P594" s="15">
        <f>SalesData[[#This Row],[Revenue]] - SalesData[[#This Row],[Cost]]</f>
        <v>21.380000000000003</v>
      </c>
      <c r="Q594" s="13">
        <f>IF(SalesData[[#This Row],[Revenue]]=0,0,SalesData[[#This Row],[Profit]]/SalesData[[#This Row],[Revenue]])</f>
        <v>0.71266666666666678</v>
      </c>
      <c r="R594" t="s">
        <v>1211</v>
      </c>
      <c r="S594" t="s">
        <v>1410</v>
      </c>
      <c r="T594" t="str">
        <f>PROPER(SalesData[[#This Row],[Customer Name]])</f>
        <v>Emma Davis</v>
      </c>
      <c r="U594" t="s">
        <v>1417</v>
      </c>
      <c r="V594" t="s">
        <v>1423</v>
      </c>
    </row>
    <row r="595" spans="1:22" x14ac:dyDescent="0.25">
      <c r="A595" t="s">
        <v>2021</v>
      </c>
      <c r="B595" s="5">
        <v>45505</v>
      </c>
      <c r="C595" s="2" t="str">
        <f>TEXT(SalesData[[#This Row],[Order Date]],"mmm")</f>
        <v>Aug</v>
      </c>
      <c r="D595" s="7">
        <f>MONTH(SalesData[[#This Row],[Order Date]])</f>
        <v>8</v>
      </c>
      <c r="E595" s="7">
        <f>YEAR(SalesData[[#This Row],[Order Date]])</f>
        <v>2024</v>
      </c>
      <c r="F595" t="s">
        <v>1001</v>
      </c>
      <c r="G595" t="str">
        <f>PROPER(SalesData[[#This Row],[Product Name]])</f>
        <v>Solar Led Lantern</v>
      </c>
      <c r="H595" t="s">
        <v>1012</v>
      </c>
      <c r="I595" t="str">
        <f>UPPER(SalesData[[#This Row],[Product Category]])</f>
        <v>LIGHTING</v>
      </c>
      <c r="J595">
        <v>9</v>
      </c>
      <c r="K595">
        <v>40</v>
      </c>
      <c r="L595" s="15">
        <f>IF(SalesData[[#This Row],[Unit Price]]="",
    AVERAGEIFS(SalesData[Unit Price],
               SalesData[Product Name],SalesData[[#This Row],[Product Name]]),
    SalesData[[#This Row],[Unit Price]])</f>
        <v>40</v>
      </c>
      <c r="M595" s="15">
        <v>11.09</v>
      </c>
      <c r="N595" s="15">
        <f>SalesData[[#This Row],[Quantity Sold]] * SalesData[[#This Row],[Cleaned Unit Price]]</f>
        <v>360</v>
      </c>
      <c r="O595" s="15">
        <f>SalesData[[#This Row],[Quantity Sold]] * SalesData[[#This Row],[Unit Cost]]</f>
        <v>99.81</v>
      </c>
      <c r="P595" s="15">
        <f>SalesData[[#This Row],[Revenue]] - SalesData[[#This Row],[Cost]]</f>
        <v>260.19</v>
      </c>
      <c r="Q595" s="13">
        <f>IF(SalesData[[#This Row],[Revenue]]=0,0,SalesData[[#This Row],[Profit]]/SalesData[[#This Row],[Revenue]])</f>
        <v>0.72275</v>
      </c>
      <c r="R595" t="s">
        <v>1159</v>
      </c>
      <c r="S595" t="s">
        <v>1358</v>
      </c>
      <c r="T595" t="str">
        <f>PROPER(SalesData[[#This Row],[Customer Name]])</f>
        <v>Sophia Rodriguez</v>
      </c>
      <c r="U595" t="s">
        <v>1414</v>
      </c>
      <c r="V595" t="s">
        <v>1423</v>
      </c>
    </row>
    <row r="596" spans="1:22" x14ac:dyDescent="0.25">
      <c r="A596" t="s">
        <v>2022</v>
      </c>
      <c r="B596" s="5">
        <v>45507</v>
      </c>
      <c r="C596" s="2" t="str">
        <f>TEXT(SalesData[[#This Row],[Order Date]],"mmm")</f>
        <v>Aug</v>
      </c>
      <c r="D596" s="7">
        <f>MONTH(SalesData[[#This Row],[Order Date]])</f>
        <v>8</v>
      </c>
      <c r="E596" s="7">
        <f>YEAR(SalesData[[#This Row],[Order Date]])</f>
        <v>2024</v>
      </c>
      <c r="F596" t="s">
        <v>59</v>
      </c>
      <c r="G596" t="str">
        <f>PROPER(SalesData[[#This Row],[Product Name]])</f>
        <v>Compostable Plant Pots</v>
      </c>
      <c r="H596" t="s">
        <v>1011</v>
      </c>
      <c r="I596" t="str">
        <f>UPPER(SalesData[[#This Row],[Product Category]])</f>
        <v>GARDENING</v>
      </c>
      <c r="J596">
        <v>2</v>
      </c>
      <c r="K596">
        <v>12</v>
      </c>
      <c r="L596" s="15">
        <f>IF(SalesData[[#This Row],[Unit Price]]="",
    AVERAGEIFS(SalesData[Unit Price],
               SalesData[Product Name],SalesData[[#This Row],[Product Name]]),
    SalesData[[#This Row],[Unit Price]])</f>
        <v>12</v>
      </c>
      <c r="M596" s="15">
        <v>3.35</v>
      </c>
      <c r="N596" s="15">
        <f>SalesData[[#This Row],[Quantity Sold]] * SalesData[[#This Row],[Cleaned Unit Price]]</f>
        <v>24</v>
      </c>
      <c r="O596" s="15">
        <f>SalesData[[#This Row],[Quantity Sold]] * SalesData[[#This Row],[Unit Cost]]</f>
        <v>6.7</v>
      </c>
      <c r="P596" s="15">
        <f>SalesData[[#This Row],[Revenue]] - SalesData[[#This Row],[Cost]]</f>
        <v>17.3</v>
      </c>
      <c r="Q596" s="13">
        <f>IF(SalesData[[#This Row],[Revenue]]=0,0,SalesData[[#This Row],[Profit]]/SalesData[[#This Row],[Revenue]])</f>
        <v>0.72083333333333333</v>
      </c>
      <c r="R596" t="s">
        <v>1057</v>
      </c>
      <c r="S596" t="s">
        <v>1256</v>
      </c>
      <c r="T596" t="str">
        <f>PROPER(SalesData[[#This Row],[Customer Name]])</f>
        <v>Isabella Garcia</v>
      </c>
      <c r="U596" t="s">
        <v>1415</v>
      </c>
      <c r="V596" t="s">
        <v>1426</v>
      </c>
    </row>
    <row r="597" spans="1:22" x14ac:dyDescent="0.25">
      <c r="A597" t="s">
        <v>2023</v>
      </c>
      <c r="B597" s="5">
        <v>45508</v>
      </c>
      <c r="C597" s="2" t="str">
        <f>TEXT(SalesData[[#This Row],[Order Date]],"mmm")</f>
        <v>Aug</v>
      </c>
      <c r="D597" s="7">
        <f>MONTH(SalesData[[#This Row],[Order Date]])</f>
        <v>8</v>
      </c>
      <c r="E597" s="7">
        <f>YEAR(SalesData[[#This Row],[Order Date]])</f>
        <v>2024</v>
      </c>
      <c r="F597" t="s">
        <v>51</v>
      </c>
      <c r="G597" t="str">
        <f>PROPER(SalesData[[#This Row],[Product Name]])</f>
        <v>Compostable Plant Pots</v>
      </c>
      <c r="H597" t="s">
        <v>1011</v>
      </c>
      <c r="I597" t="str">
        <f>UPPER(SalesData[[#This Row],[Product Category]])</f>
        <v>GARDENING</v>
      </c>
      <c r="J597">
        <v>9</v>
      </c>
      <c r="K597">
        <v>12</v>
      </c>
      <c r="L597" s="15">
        <f>IF(SalesData[[#This Row],[Unit Price]]="",
    AVERAGEIFS(SalesData[Unit Price],
               SalesData[Product Name],SalesData[[#This Row],[Product Name]]),
    SalesData[[#This Row],[Unit Price]])</f>
        <v>12</v>
      </c>
      <c r="M597" s="15">
        <v>4.04</v>
      </c>
      <c r="N597" s="15">
        <f>SalesData[[#This Row],[Quantity Sold]] * SalesData[[#This Row],[Cleaned Unit Price]]</f>
        <v>108</v>
      </c>
      <c r="O597" s="15">
        <f>SalesData[[#This Row],[Quantity Sold]] * SalesData[[#This Row],[Unit Cost]]</f>
        <v>36.36</v>
      </c>
      <c r="P597" s="15">
        <f>SalesData[[#This Row],[Revenue]] - SalesData[[#This Row],[Cost]]</f>
        <v>71.64</v>
      </c>
      <c r="Q597" s="13">
        <f>IF(SalesData[[#This Row],[Revenue]]=0,0,SalesData[[#This Row],[Profit]]/SalesData[[#This Row],[Revenue]])</f>
        <v>0.66333333333333333</v>
      </c>
      <c r="R597" t="s">
        <v>1050</v>
      </c>
      <c r="S597" t="s">
        <v>1249</v>
      </c>
      <c r="T597" t="str">
        <f>PROPER(SalesData[[#This Row],[Customer Name]])</f>
        <v>Charlotte Garcia</v>
      </c>
      <c r="U597" t="s">
        <v>1416</v>
      </c>
      <c r="V597" t="s">
        <v>1427</v>
      </c>
    </row>
    <row r="598" spans="1:22" x14ac:dyDescent="0.25">
      <c r="A598" t="s">
        <v>2024</v>
      </c>
      <c r="B598" s="5">
        <v>45508</v>
      </c>
      <c r="C598" s="2" t="str">
        <f>TEXT(SalesData[[#This Row],[Order Date]],"mmm")</f>
        <v>Aug</v>
      </c>
      <c r="D598" s="7">
        <f>MONTH(SalesData[[#This Row],[Order Date]])</f>
        <v>8</v>
      </c>
      <c r="E598" s="7">
        <f>YEAR(SalesData[[#This Row],[Order Date]])</f>
        <v>2024</v>
      </c>
      <c r="F598" t="s">
        <v>186</v>
      </c>
      <c r="G598" t="str">
        <f>PROPER(SalesData[[#This Row],[Product Name]])</f>
        <v>Eco Canvas Tote Bag</v>
      </c>
      <c r="H598" t="s">
        <v>1013</v>
      </c>
      <c r="I598" t="str">
        <f>UPPER(SalesData[[#This Row],[Product Category]])</f>
        <v>BAGS</v>
      </c>
      <c r="J598">
        <v>2</v>
      </c>
      <c r="K598">
        <v>25</v>
      </c>
      <c r="L598" s="15">
        <f>IF(SalesData[[#This Row],[Unit Price]]="",
    AVERAGEIFS(SalesData[Unit Price],
               SalesData[Product Name],SalesData[[#This Row],[Product Name]]),
    SalesData[[#This Row],[Unit Price]])</f>
        <v>25</v>
      </c>
      <c r="M598" s="15">
        <v>7.09</v>
      </c>
      <c r="N598" s="15">
        <f>SalesData[[#This Row],[Quantity Sold]] * SalesData[[#This Row],[Cleaned Unit Price]]</f>
        <v>50</v>
      </c>
      <c r="O598" s="15">
        <f>SalesData[[#This Row],[Quantity Sold]] * SalesData[[#This Row],[Unit Cost]]</f>
        <v>14.18</v>
      </c>
      <c r="P598" s="15">
        <f>SalesData[[#This Row],[Revenue]] - SalesData[[#This Row],[Cost]]</f>
        <v>35.82</v>
      </c>
      <c r="Q598" s="13">
        <f>IF(SalesData[[#This Row],[Revenue]]=0,0,SalesData[[#This Row],[Profit]]/SalesData[[#This Row],[Revenue]])</f>
        <v>0.71640000000000004</v>
      </c>
      <c r="R598" t="s">
        <v>1096</v>
      </c>
      <c r="S598" t="s">
        <v>1295</v>
      </c>
      <c r="T598" t="str">
        <f>PROPER(SalesData[[#This Row],[Customer Name]])</f>
        <v>Mason Davis</v>
      </c>
      <c r="U598" t="s">
        <v>1414</v>
      </c>
      <c r="V598" t="s">
        <v>1422</v>
      </c>
    </row>
    <row r="599" spans="1:22" x14ac:dyDescent="0.25">
      <c r="A599" t="s">
        <v>2025</v>
      </c>
      <c r="B599" s="5">
        <v>45508</v>
      </c>
      <c r="C599" s="2" t="str">
        <f>TEXT(SalesData[[#This Row],[Order Date]],"mmm")</f>
        <v>Aug</v>
      </c>
      <c r="D599" s="7">
        <f>MONTH(SalesData[[#This Row],[Order Date]])</f>
        <v>8</v>
      </c>
      <c r="E599" s="7">
        <f>YEAR(SalesData[[#This Row],[Order Date]])</f>
        <v>2024</v>
      </c>
      <c r="F599" t="s">
        <v>219</v>
      </c>
      <c r="G599" t="str">
        <f>PROPER(SalesData[[#This Row],[Product Name]])</f>
        <v>Eco Canvas Tote Bag</v>
      </c>
      <c r="H599" t="s">
        <v>1013</v>
      </c>
      <c r="I599" t="str">
        <f>UPPER(SalesData[[#This Row],[Product Category]])</f>
        <v>BAGS</v>
      </c>
      <c r="J599">
        <v>7</v>
      </c>
      <c r="K599">
        <v>25</v>
      </c>
      <c r="L599" s="15">
        <f>IF(SalesData[[#This Row],[Unit Price]]="",
    AVERAGEIFS(SalesData[Unit Price],
               SalesData[Product Name],SalesData[[#This Row],[Product Name]]),
    SalesData[[#This Row],[Unit Price]])</f>
        <v>25</v>
      </c>
      <c r="M599" s="15">
        <v>5.54</v>
      </c>
      <c r="N599" s="15">
        <f>SalesData[[#This Row],[Quantity Sold]] * SalesData[[#This Row],[Cleaned Unit Price]]</f>
        <v>175</v>
      </c>
      <c r="O599" s="15">
        <f>SalesData[[#This Row],[Quantity Sold]] * SalesData[[#This Row],[Unit Cost]]</f>
        <v>38.78</v>
      </c>
      <c r="P599" s="15">
        <f>SalesData[[#This Row],[Revenue]] - SalesData[[#This Row],[Cost]]</f>
        <v>136.22</v>
      </c>
      <c r="Q599" s="13">
        <f>IF(SalesData[[#This Row],[Revenue]]=0,0,SalesData[[#This Row],[Profit]]/SalesData[[#This Row],[Revenue]])</f>
        <v>0.77839999999999998</v>
      </c>
      <c r="R599" t="s">
        <v>1145</v>
      </c>
      <c r="S599" t="s">
        <v>1344</v>
      </c>
      <c r="T599" t="str">
        <f>PROPER(SalesData[[#This Row],[Customer Name]])</f>
        <v>James Jones</v>
      </c>
      <c r="U599" t="s">
        <v>1414</v>
      </c>
      <c r="V599" t="s">
        <v>1421</v>
      </c>
    </row>
    <row r="600" spans="1:22" x14ac:dyDescent="0.25">
      <c r="A600" t="s">
        <v>2026</v>
      </c>
      <c r="B600" s="5">
        <v>45508</v>
      </c>
      <c r="C600" s="2" t="str">
        <f>TEXT(SalesData[[#This Row],[Order Date]],"mmm")</f>
        <v>Aug</v>
      </c>
      <c r="D600" s="7">
        <f>MONTH(SalesData[[#This Row],[Order Date]])</f>
        <v>8</v>
      </c>
      <c r="E600" s="7">
        <f>YEAR(SalesData[[#This Row],[Order Date]])</f>
        <v>2024</v>
      </c>
      <c r="F600" t="s">
        <v>885</v>
      </c>
      <c r="G600" t="str">
        <f>PROPER(SalesData[[#This Row],[Product Name]])</f>
        <v>Solar Led Lantern</v>
      </c>
      <c r="H600" t="s">
        <v>1012</v>
      </c>
      <c r="I600" t="str">
        <f>UPPER(SalesData[[#This Row],[Product Category]])</f>
        <v>LIGHTING</v>
      </c>
      <c r="J600">
        <v>5</v>
      </c>
      <c r="K600">
        <v>40</v>
      </c>
      <c r="L600" s="15">
        <f>IF(SalesData[[#This Row],[Unit Price]]="",
    AVERAGEIFS(SalesData[Unit Price],
               SalesData[Product Name],SalesData[[#This Row],[Product Name]]),
    SalesData[[#This Row],[Unit Price]])</f>
        <v>40</v>
      </c>
      <c r="M600" s="15">
        <v>8.2799999999999994</v>
      </c>
      <c r="N600" s="15">
        <f>SalesData[[#This Row],[Quantity Sold]] * SalesData[[#This Row],[Cleaned Unit Price]]</f>
        <v>200</v>
      </c>
      <c r="O600" s="15">
        <f>SalesData[[#This Row],[Quantity Sold]] * SalesData[[#This Row],[Unit Cost]]</f>
        <v>41.4</v>
      </c>
      <c r="P600" s="15">
        <f>SalesData[[#This Row],[Revenue]] - SalesData[[#This Row],[Cost]]</f>
        <v>158.6</v>
      </c>
      <c r="Q600" s="13">
        <f>IF(SalesData[[#This Row],[Revenue]]=0,0,SalesData[[#This Row],[Profit]]/SalesData[[#This Row],[Revenue]])</f>
        <v>0.79299999999999993</v>
      </c>
      <c r="R600" t="s">
        <v>1092</v>
      </c>
      <c r="S600" t="s">
        <v>1291</v>
      </c>
      <c r="T600" t="str">
        <f>PROPER(SalesData[[#This Row],[Customer Name]])</f>
        <v>Emma Brown</v>
      </c>
      <c r="U600" t="s">
        <v>1416</v>
      </c>
      <c r="V600" t="s">
        <v>1421</v>
      </c>
    </row>
    <row r="601" spans="1:22" x14ac:dyDescent="0.25">
      <c r="A601" t="s">
        <v>2027</v>
      </c>
      <c r="B601" s="5">
        <v>45509</v>
      </c>
      <c r="C601" s="2" t="str">
        <f>TEXT(SalesData[[#This Row],[Order Date]],"mmm")</f>
        <v>Aug</v>
      </c>
      <c r="D601" s="7">
        <f>MONTH(SalesData[[#This Row],[Order Date]])</f>
        <v>8</v>
      </c>
      <c r="E601" s="7">
        <f>YEAR(SalesData[[#This Row],[Order Date]])</f>
        <v>2024</v>
      </c>
      <c r="F601" t="s">
        <v>284</v>
      </c>
      <c r="G601" t="str">
        <f>PROPER(SalesData[[#This Row],[Product Name]])</f>
        <v>Eco Canvas Tote Bag</v>
      </c>
      <c r="H601" t="s">
        <v>1013</v>
      </c>
      <c r="I601" t="str">
        <f>UPPER(SalesData[[#This Row],[Product Category]])</f>
        <v>BAGS</v>
      </c>
      <c r="J601">
        <v>8</v>
      </c>
      <c r="K601">
        <v>25</v>
      </c>
      <c r="L601" s="15">
        <f>IF(SalesData[[#This Row],[Unit Price]]="",
    AVERAGEIFS(SalesData[Unit Price],
               SalesData[Product Name],SalesData[[#This Row],[Product Name]]),
    SalesData[[#This Row],[Unit Price]])</f>
        <v>25</v>
      </c>
      <c r="M601" s="15">
        <v>9.98</v>
      </c>
      <c r="N601" s="15">
        <f>SalesData[[#This Row],[Quantity Sold]] * SalesData[[#This Row],[Cleaned Unit Price]]</f>
        <v>200</v>
      </c>
      <c r="O601" s="15">
        <f>SalesData[[#This Row],[Quantity Sold]] * SalesData[[#This Row],[Unit Cost]]</f>
        <v>79.84</v>
      </c>
      <c r="P601" s="15">
        <f>SalesData[[#This Row],[Revenue]] - SalesData[[#This Row],[Cost]]</f>
        <v>120.16</v>
      </c>
      <c r="Q601" s="13">
        <f>IF(SalesData[[#This Row],[Revenue]]=0,0,SalesData[[#This Row],[Profit]]/SalesData[[#This Row],[Revenue]])</f>
        <v>0.6008</v>
      </c>
      <c r="R601" t="s">
        <v>1166</v>
      </c>
      <c r="S601" t="s">
        <v>1365</v>
      </c>
      <c r="T601" t="str">
        <f>PROPER(SalesData[[#This Row],[Customer Name]])</f>
        <v>Olivia Garcia</v>
      </c>
      <c r="U601" t="s">
        <v>1416</v>
      </c>
      <c r="V601" t="s">
        <v>1427</v>
      </c>
    </row>
    <row r="602" spans="1:22" x14ac:dyDescent="0.25">
      <c r="A602" t="s">
        <v>2028</v>
      </c>
      <c r="B602" s="5">
        <v>45509</v>
      </c>
      <c r="C602" s="2" t="str">
        <f>TEXT(SalesData[[#This Row],[Order Date]],"mmm")</f>
        <v>Aug</v>
      </c>
      <c r="D602" s="7">
        <f>MONTH(SalesData[[#This Row],[Order Date]])</f>
        <v>8</v>
      </c>
      <c r="E602" s="7">
        <f>YEAR(SalesData[[#This Row],[Order Date]])</f>
        <v>2024</v>
      </c>
      <c r="F602" t="s">
        <v>385</v>
      </c>
      <c r="G602" t="str">
        <f>PROPER(SalesData[[#This Row],[Product Name]])</f>
        <v>Reusable Bamboo Utensil Set</v>
      </c>
      <c r="H602" t="s">
        <v>1014</v>
      </c>
      <c r="I602" t="str">
        <f>UPPER(SalesData[[#This Row],[Product Category]])</f>
        <v>KITCHENWARE</v>
      </c>
      <c r="J602">
        <v>3</v>
      </c>
      <c r="K602">
        <v>15</v>
      </c>
      <c r="L602" s="15">
        <f>IF(SalesData[[#This Row],[Unit Price]]="",
    AVERAGEIFS(SalesData[Unit Price],
               SalesData[Product Name],SalesData[[#This Row],[Product Name]]),
    SalesData[[#This Row],[Unit Price]])</f>
        <v>15</v>
      </c>
      <c r="M602" s="15">
        <v>3.84</v>
      </c>
      <c r="N602" s="15">
        <f>SalesData[[#This Row],[Quantity Sold]] * SalesData[[#This Row],[Cleaned Unit Price]]</f>
        <v>45</v>
      </c>
      <c r="O602" s="15">
        <f>SalesData[[#This Row],[Quantity Sold]] * SalesData[[#This Row],[Unit Cost]]</f>
        <v>11.52</v>
      </c>
      <c r="P602" s="15">
        <f>SalesData[[#This Row],[Revenue]] - SalesData[[#This Row],[Cost]]</f>
        <v>33.480000000000004</v>
      </c>
      <c r="Q602" s="13">
        <f>IF(SalesData[[#This Row],[Revenue]]=0,0,SalesData[[#This Row],[Profit]]/SalesData[[#This Row],[Revenue]])</f>
        <v>0.74400000000000011</v>
      </c>
      <c r="R602" t="s">
        <v>1097</v>
      </c>
      <c r="S602" t="s">
        <v>1296</v>
      </c>
      <c r="T602" t="str">
        <f>PROPER(SalesData[[#This Row],[Customer Name]])</f>
        <v>Elijah Brown</v>
      </c>
      <c r="U602" t="s">
        <v>1416</v>
      </c>
      <c r="V602" t="s">
        <v>1425</v>
      </c>
    </row>
    <row r="603" spans="1:22" x14ac:dyDescent="0.25">
      <c r="A603" t="s">
        <v>2029</v>
      </c>
      <c r="B603" s="5">
        <v>45509</v>
      </c>
      <c r="C603" s="2" t="str">
        <f>TEXT(SalesData[[#This Row],[Order Date]],"mmm")</f>
        <v>Aug</v>
      </c>
      <c r="D603" s="7">
        <f>MONTH(SalesData[[#This Row],[Order Date]])</f>
        <v>8</v>
      </c>
      <c r="E603" s="7">
        <f>YEAR(SalesData[[#This Row],[Order Date]])</f>
        <v>2024</v>
      </c>
      <c r="F603" t="s">
        <v>684</v>
      </c>
      <c r="G603" t="str">
        <f>PROPER(SalesData[[#This Row],[Product Name]])</f>
        <v>Reusable Bamboo Utensil Set</v>
      </c>
      <c r="H603" t="s">
        <v>1014</v>
      </c>
      <c r="I603" t="str">
        <f>UPPER(SalesData[[#This Row],[Product Category]])</f>
        <v>KITCHENWARE</v>
      </c>
      <c r="J603">
        <v>1</v>
      </c>
      <c r="K603">
        <v>15</v>
      </c>
      <c r="L603" s="15">
        <f>IF(SalesData[[#This Row],[Unit Price]]="",
    AVERAGEIFS(SalesData[Unit Price],
               SalesData[Product Name],SalesData[[#This Row],[Product Name]]),
    SalesData[[#This Row],[Unit Price]])</f>
        <v>15</v>
      </c>
      <c r="M603" s="15">
        <v>4.22</v>
      </c>
      <c r="N603" s="15">
        <f>SalesData[[#This Row],[Quantity Sold]] * SalesData[[#This Row],[Cleaned Unit Price]]</f>
        <v>15</v>
      </c>
      <c r="O603" s="15">
        <f>SalesData[[#This Row],[Quantity Sold]] * SalesData[[#This Row],[Unit Cost]]</f>
        <v>4.22</v>
      </c>
      <c r="P603" s="15">
        <f>SalesData[[#This Row],[Revenue]] - SalesData[[#This Row],[Cost]]</f>
        <v>10.780000000000001</v>
      </c>
      <c r="Q603" s="13">
        <f>IF(SalesData[[#This Row],[Revenue]]=0,0,SalesData[[#This Row],[Profit]]/SalesData[[#This Row],[Revenue]])</f>
        <v>0.71866666666666679</v>
      </c>
      <c r="R603" t="s">
        <v>1193</v>
      </c>
      <c r="S603" t="s">
        <v>1392</v>
      </c>
      <c r="T603" t="str">
        <f>PROPER(SalesData[[#This Row],[Customer Name]])</f>
        <v>Harper Davis</v>
      </c>
      <c r="U603" t="s">
        <v>1414</v>
      </c>
      <c r="V603" t="s">
        <v>1425</v>
      </c>
    </row>
    <row r="604" spans="1:22" x14ac:dyDescent="0.25">
      <c r="A604" t="s">
        <v>2030</v>
      </c>
      <c r="B604" s="5">
        <v>45509</v>
      </c>
      <c r="C604" s="2" t="str">
        <f>TEXT(SalesData[[#This Row],[Order Date]],"mmm")</f>
        <v>Aug</v>
      </c>
      <c r="D604" s="7">
        <f>MONTH(SalesData[[#This Row],[Order Date]])</f>
        <v>8</v>
      </c>
      <c r="E604" s="7">
        <f>YEAR(SalesData[[#This Row],[Order Date]])</f>
        <v>2024</v>
      </c>
      <c r="F604" t="s">
        <v>900</v>
      </c>
      <c r="G604" t="str">
        <f>PROPER(SalesData[[#This Row],[Product Name]])</f>
        <v>Compostable Plant Pots</v>
      </c>
      <c r="H604" t="s">
        <v>1011</v>
      </c>
      <c r="I604" t="str">
        <f>UPPER(SalesData[[#This Row],[Product Category]])</f>
        <v>GARDENING</v>
      </c>
      <c r="J604">
        <v>6</v>
      </c>
      <c r="K604">
        <v>12</v>
      </c>
      <c r="L604" s="15">
        <f>IF(SalesData[[#This Row],[Unit Price]]="",
    AVERAGEIFS(SalesData[Unit Price],
               SalesData[Product Name],SalesData[[#This Row],[Product Name]]),
    SalesData[[#This Row],[Unit Price]])</f>
        <v>12</v>
      </c>
      <c r="M604" s="15">
        <v>3.28</v>
      </c>
      <c r="N604" s="15">
        <f>SalesData[[#This Row],[Quantity Sold]] * SalesData[[#This Row],[Cleaned Unit Price]]</f>
        <v>72</v>
      </c>
      <c r="O604" s="15">
        <f>SalesData[[#This Row],[Quantity Sold]] * SalesData[[#This Row],[Unit Cost]]</f>
        <v>19.68</v>
      </c>
      <c r="P604" s="15">
        <f>SalesData[[#This Row],[Revenue]] - SalesData[[#This Row],[Cost]]</f>
        <v>52.32</v>
      </c>
      <c r="Q604" s="13">
        <f>IF(SalesData[[#This Row],[Revenue]]=0,0,SalesData[[#This Row],[Profit]]/SalesData[[#This Row],[Revenue]])</f>
        <v>0.72666666666666668</v>
      </c>
      <c r="R604" t="s">
        <v>1124</v>
      </c>
      <c r="S604" t="s">
        <v>1323</v>
      </c>
      <c r="T604" t="str">
        <f>PROPER(SalesData[[#This Row],[Customer Name]])</f>
        <v>Emma Davis</v>
      </c>
      <c r="U604" t="s">
        <v>1414</v>
      </c>
      <c r="V604" t="s">
        <v>1421</v>
      </c>
    </row>
    <row r="605" spans="1:22" x14ac:dyDescent="0.25">
      <c r="A605" t="s">
        <v>2031</v>
      </c>
      <c r="B605" s="5">
        <v>45510</v>
      </c>
      <c r="C605" s="2" t="str">
        <f>TEXT(SalesData[[#This Row],[Order Date]],"mmm")</f>
        <v>Aug</v>
      </c>
      <c r="D605" s="7">
        <f>MONTH(SalesData[[#This Row],[Order Date]])</f>
        <v>8</v>
      </c>
      <c r="E605" s="7">
        <f>YEAR(SalesData[[#This Row],[Order Date]])</f>
        <v>2024</v>
      </c>
      <c r="F605" t="s">
        <v>206</v>
      </c>
      <c r="G605" t="str">
        <f>PROPER(SalesData[[#This Row],[Product Name]])</f>
        <v>Reusable Bamboo Utensil Set</v>
      </c>
      <c r="H605" t="s">
        <v>1014</v>
      </c>
      <c r="I605" t="str">
        <f>UPPER(SalesData[[#This Row],[Product Category]])</f>
        <v>KITCHENWARE</v>
      </c>
      <c r="J605">
        <v>1</v>
      </c>
      <c r="K605">
        <v>15</v>
      </c>
      <c r="L605" s="15">
        <f>IF(SalesData[[#This Row],[Unit Price]]="",
    AVERAGEIFS(SalesData[Unit Price],
               SalesData[Product Name],SalesData[[#This Row],[Product Name]]),
    SalesData[[#This Row],[Unit Price]])</f>
        <v>15</v>
      </c>
      <c r="M605" s="15">
        <v>3.96</v>
      </c>
      <c r="N605" s="15">
        <f>SalesData[[#This Row],[Quantity Sold]] * SalesData[[#This Row],[Cleaned Unit Price]]</f>
        <v>15</v>
      </c>
      <c r="O605" s="15">
        <f>SalesData[[#This Row],[Quantity Sold]] * SalesData[[#This Row],[Unit Cost]]</f>
        <v>3.96</v>
      </c>
      <c r="P605" s="15">
        <f>SalesData[[#This Row],[Revenue]] - SalesData[[#This Row],[Cost]]</f>
        <v>11.04</v>
      </c>
      <c r="Q605" s="13">
        <f>IF(SalesData[[#This Row],[Revenue]]=0,0,SalesData[[#This Row],[Profit]]/SalesData[[#This Row],[Revenue]])</f>
        <v>0.73599999999999999</v>
      </c>
      <c r="R605" t="s">
        <v>1141</v>
      </c>
      <c r="S605" t="s">
        <v>1340</v>
      </c>
      <c r="T605" t="str">
        <f>PROPER(SalesData[[#This Row],[Customer Name]])</f>
        <v>Emma Garcia</v>
      </c>
      <c r="U605" t="s">
        <v>1414</v>
      </c>
      <c r="V605" t="s">
        <v>1420</v>
      </c>
    </row>
    <row r="606" spans="1:22" x14ac:dyDescent="0.25">
      <c r="A606" t="s">
        <v>2032</v>
      </c>
      <c r="B606" s="5">
        <v>45510</v>
      </c>
      <c r="C606" s="2" t="str">
        <f>TEXT(SalesData[[#This Row],[Order Date]],"mmm")</f>
        <v>Aug</v>
      </c>
      <c r="D606" s="7">
        <f>MONTH(SalesData[[#This Row],[Order Date]])</f>
        <v>8</v>
      </c>
      <c r="E606" s="7">
        <f>YEAR(SalesData[[#This Row],[Order Date]])</f>
        <v>2024</v>
      </c>
      <c r="F606" t="s">
        <v>313</v>
      </c>
      <c r="G606" t="str">
        <f>PROPER(SalesData[[#This Row],[Product Name]])</f>
        <v>Solar Led Lantern</v>
      </c>
      <c r="H606" t="s">
        <v>1012</v>
      </c>
      <c r="I606" t="str">
        <f>UPPER(SalesData[[#This Row],[Product Category]])</f>
        <v>LIGHTING</v>
      </c>
      <c r="J606">
        <v>10</v>
      </c>
      <c r="K606">
        <v>40</v>
      </c>
      <c r="L606" s="15">
        <f>IF(SalesData[[#This Row],[Unit Price]]="",
    AVERAGEIFS(SalesData[Unit Price],
               SalesData[Product Name],SalesData[[#This Row],[Product Name]]),
    SalesData[[#This Row],[Unit Price]])</f>
        <v>40</v>
      </c>
      <c r="M606" s="15">
        <v>12.88</v>
      </c>
      <c r="N606" s="15">
        <f>SalesData[[#This Row],[Quantity Sold]] * SalesData[[#This Row],[Cleaned Unit Price]]</f>
        <v>400</v>
      </c>
      <c r="O606" s="15">
        <f>SalesData[[#This Row],[Quantity Sold]] * SalesData[[#This Row],[Unit Cost]]</f>
        <v>128.80000000000001</v>
      </c>
      <c r="P606" s="15">
        <f>SalesData[[#This Row],[Revenue]] - SalesData[[#This Row],[Cost]]</f>
        <v>271.2</v>
      </c>
      <c r="Q606" s="13">
        <f>IF(SalesData[[#This Row],[Revenue]]=0,0,SalesData[[#This Row],[Profit]]/SalesData[[#This Row],[Revenue]])</f>
        <v>0.67799999999999994</v>
      </c>
      <c r="R606" t="s">
        <v>1037</v>
      </c>
      <c r="S606" t="s">
        <v>1236</v>
      </c>
      <c r="T606" t="str">
        <f>PROPER(SalesData[[#This Row],[Customer Name]])</f>
        <v>Amelia Johnson</v>
      </c>
      <c r="U606" t="s">
        <v>1414</v>
      </c>
      <c r="V606" t="s">
        <v>1422</v>
      </c>
    </row>
    <row r="607" spans="1:22" x14ac:dyDescent="0.25">
      <c r="A607" t="s">
        <v>2033</v>
      </c>
      <c r="B607" s="5">
        <v>45510</v>
      </c>
      <c r="C607" s="2" t="str">
        <f>TEXT(SalesData[[#This Row],[Order Date]],"mmm")</f>
        <v>Aug</v>
      </c>
      <c r="D607" s="7">
        <f>MONTH(SalesData[[#This Row],[Order Date]])</f>
        <v>8</v>
      </c>
      <c r="E607" s="7">
        <f>YEAR(SalesData[[#This Row],[Order Date]])</f>
        <v>2024</v>
      </c>
      <c r="F607" t="s">
        <v>392</v>
      </c>
      <c r="G607" t="str">
        <f>PROPER(SalesData[[#This Row],[Product Name]])</f>
        <v>Compostable Plant Pots</v>
      </c>
      <c r="H607" t="s">
        <v>1011</v>
      </c>
      <c r="I607" t="str">
        <f>UPPER(SalesData[[#This Row],[Product Category]])</f>
        <v>GARDENING</v>
      </c>
      <c r="J607">
        <v>9</v>
      </c>
      <c r="K607">
        <v>12</v>
      </c>
      <c r="L607" s="15">
        <f>IF(SalesData[[#This Row],[Unit Price]]="",
    AVERAGEIFS(SalesData[Unit Price],
               SalesData[Product Name],SalesData[[#This Row],[Product Name]]),
    SalesData[[#This Row],[Unit Price]])</f>
        <v>12</v>
      </c>
      <c r="M607" s="15">
        <v>4.04</v>
      </c>
      <c r="N607" s="15">
        <f>SalesData[[#This Row],[Quantity Sold]] * SalesData[[#This Row],[Cleaned Unit Price]]</f>
        <v>108</v>
      </c>
      <c r="O607" s="15">
        <f>SalesData[[#This Row],[Quantity Sold]] * SalesData[[#This Row],[Unit Cost]]</f>
        <v>36.36</v>
      </c>
      <c r="P607" s="15">
        <f>SalesData[[#This Row],[Revenue]] - SalesData[[#This Row],[Cost]]</f>
        <v>71.64</v>
      </c>
      <c r="Q607" s="13">
        <f>IF(SalesData[[#This Row],[Revenue]]=0,0,SalesData[[#This Row],[Profit]]/SalesData[[#This Row],[Revenue]])</f>
        <v>0.66333333333333333</v>
      </c>
      <c r="R607" t="s">
        <v>1120</v>
      </c>
      <c r="S607" t="s">
        <v>1319</v>
      </c>
      <c r="T607" t="str">
        <f>PROPER(SalesData[[#This Row],[Customer Name]])</f>
        <v>Isabella Johnson</v>
      </c>
      <c r="U607" t="s">
        <v>1414</v>
      </c>
      <c r="V607" t="s">
        <v>1425</v>
      </c>
    </row>
    <row r="608" spans="1:22" x14ac:dyDescent="0.25">
      <c r="A608" t="s">
        <v>2034</v>
      </c>
      <c r="B608" s="5">
        <v>45510</v>
      </c>
      <c r="C608" s="2" t="str">
        <f>TEXT(SalesData[[#This Row],[Order Date]],"mmm")</f>
        <v>Aug</v>
      </c>
      <c r="D608" s="7">
        <f>MONTH(SalesData[[#This Row],[Order Date]])</f>
        <v>8</v>
      </c>
      <c r="E608" s="7">
        <f>YEAR(SalesData[[#This Row],[Order Date]])</f>
        <v>2024</v>
      </c>
      <c r="F608" t="s">
        <v>605</v>
      </c>
      <c r="G608" t="str">
        <f>PROPER(SalesData[[#This Row],[Product Name]])</f>
        <v>Compostable Plant Pots</v>
      </c>
      <c r="H608" t="s">
        <v>1011</v>
      </c>
      <c r="I608" t="str">
        <f>UPPER(SalesData[[#This Row],[Product Category]])</f>
        <v>GARDENING</v>
      </c>
      <c r="J608">
        <v>3</v>
      </c>
      <c r="L608" s="15">
        <f>IF(SalesData[[#This Row],[Unit Price]]="",
    AVERAGEIFS(SalesData[Unit Price],
               SalesData[Product Name],SalesData[[#This Row],[Product Name]]),
    SalesData[[#This Row],[Unit Price]])</f>
        <v>12</v>
      </c>
      <c r="M608" s="15">
        <v>2.83</v>
      </c>
      <c r="N608" s="15">
        <f>SalesData[[#This Row],[Quantity Sold]] * SalesData[[#This Row],[Cleaned Unit Price]]</f>
        <v>36</v>
      </c>
      <c r="O608" s="15">
        <f>SalesData[[#This Row],[Quantity Sold]] * SalesData[[#This Row],[Unit Cost]]</f>
        <v>8.49</v>
      </c>
      <c r="P608" s="15">
        <f>SalesData[[#This Row],[Revenue]] - SalesData[[#This Row],[Cost]]</f>
        <v>27.509999999999998</v>
      </c>
      <c r="Q608" s="13">
        <f>IF(SalesData[[#This Row],[Revenue]]=0,0,SalesData[[#This Row],[Profit]]/SalesData[[#This Row],[Revenue]])</f>
        <v>0.76416666666666666</v>
      </c>
      <c r="R608" t="s">
        <v>1186</v>
      </c>
      <c r="S608" t="s">
        <v>1385</v>
      </c>
      <c r="T608" t="str">
        <f>PROPER(SalesData[[#This Row],[Customer Name]])</f>
        <v>Ava Martinez</v>
      </c>
      <c r="U608" t="s">
        <v>1417</v>
      </c>
      <c r="V608" t="s">
        <v>1420</v>
      </c>
    </row>
    <row r="609" spans="1:22" x14ac:dyDescent="0.25">
      <c r="A609" t="s">
        <v>2035</v>
      </c>
      <c r="B609" s="5">
        <v>45510</v>
      </c>
      <c r="C609" s="2" t="str">
        <f>TEXT(SalesData[[#This Row],[Order Date]],"mmm")</f>
        <v>Aug</v>
      </c>
      <c r="D609" s="7">
        <f>MONTH(SalesData[[#This Row],[Order Date]])</f>
        <v>8</v>
      </c>
      <c r="E609" s="7">
        <f>YEAR(SalesData[[#This Row],[Order Date]])</f>
        <v>2024</v>
      </c>
      <c r="F609" t="s">
        <v>718</v>
      </c>
      <c r="G609" t="str">
        <f>PROPER(SalesData[[#This Row],[Product Name]])</f>
        <v>Eco Canvas Tote Bag</v>
      </c>
      <c r="H609" t="s">
        <v>1013</v>
      </c>
      <c r="I609" t="str">
        <f>UPPER(SalesData[[#This Row],[Product Category]])</f>
        <v>BAGS</v>
      </c>
      <c r="J609">
        <v>9</v>
      </c>
      <c r="K609">
        <v>25</v>
      </c>
      <c r="L609" s="15">
        <f>IF(SalesData[[#This Row],[Unit Price]]="",
    AVERAGEIFS(SalesData[Unit Price],
               SalesData[Product Name],SalesData[[#This Row],[Product Name]]),
    SalesData[[#This Row],[Unit Price]])</f>
        <v>25</v>
      </c>
      <c r="M609" s="15">
        <v>9.89</v>
      </c>
      <c r="N609" s="15">
        <f>SalesData[[#This Row],[Quantity Sold]] * SalesData[[#This Row],[Cleaned Unit Price]]</f>
        <v>225</v>
      </c>
      <c r="O609" s="15">
        <f>SalesData[[#This Row],[Quantity Sold]] * SalesData[[#This Row],[Unit Cost]]</f>
        <v>89.01</v>
      </c>
      <c r="P609" s="15">
        <f>SalesData[[#This Row],[Revenue]] - SalesData[[#This Row],[Cost]]</f>
        <v>135.99</v>
      </c>
      <c r="Q609" s="13">
        <f>IF(SalesData[[#This Row],[Revenue]]=0,0,SalesData[[#This Row],[Profit]]/SalesData[[#This Row],[Revenue]])</f>
        <v>0.60440000000000005</v>
      </c>
      <c r="R609" t="s">
        <v>1070</v>
      </c>
      <c r="S609" t="s">
        <v>1269</v>
      </c>
      <c r="T609" t="str">
        <f>PROPER(SalesData[[#This Row],[Customer Name]])</f>
        <v>Amelia Garcia</v>
      </c>
      <c r="U609" t="s">
        <v>1414</v>
      </c>
      <c r="V609" t="s">
        <v>1426</v>
      </c>
    </row>
    <row r="610" spans="1:22" x14ac:dyDescent="0.25">
      <c r="A610" t="s">
        <v>2036</v>
      </c>
      <c r="B610" s="5">
        <v>45510</v>
      </c>
      <c r="C610" s="2" t="str">
        <f>TEXT(SalesData[[#This Row],[Order Date]],"mmm")</f>
        <v>Aug</v>
      </c>
      <c r="D610" s="7">
        <f>MONTH(SalesData[[#This Row],[Order Date]])</f>
        <v>8</v>
      </c>
      <c r="E610" s="7">
        <f>YEAR(SalesData[[#This Row],[Order Date]])</f>
        <v>2024</v>
      </c>
      <c r="F610" t="s">
        <v>957</v>
      </c>
      <c r="G610" t="str">
        <f>PROPER(SalesData[[#This Row],[Product Name]])</f>
        <v>Biodegradable Cleaning Cloth</v>
      </c>
      <c r="H610" t="s">
        <v>1015</v>
      </c>
      <c r="I610" t="str">
        <f>UPPER(SalesData[[#This Row],[Product Category]])</f>
        <v>CLEANING</v>
      </c>
      <c r="J610">
        <v>6</v>
      </c>
      <c r="K610">
        <v>10</v>
      </c>
      <c r="L610" s="15">
        <f>IF(SalesData[[#This Row],[Unit Price]]="",
    AVERAGEIFS(SalesData[Unit Price],
               SalesData[Product Name],SalesData[[#This Row],[Product Name]]),
    SalesData[[#This Row],[Unit Price]])</f>
        <v>10</v>
      </c>
      <c r="M610" s="15">
        <v>3.93</v>
      </c>
      <c r="N610" s="15">
        <f>SalesData[[#This Row],[Quantity Sold]] * SalesData[[#This Row],[Cleaned Unit Price]]</f>
        <v>60</v>
      </c>
      <c r="O610" s="15">
        <f>SalesData[[#This Row],[Quantity Sold]] * SalesData[[#This Row],[Unit Cost]]</f>
        <v>23.580000000000002</v>
      </c>
      <c r="P610" s="15">
        <f>SalesData[[#This Row],[Revenue]] - SalesData[[#This Row],[Cost]]</f>
        <v>36.42</v>
      </c>
      <c r="Q610" s="13">
        <f>IF(SalesData[[#This Row],[Revenue]]=0,0,SalesData[[#This Row],[Profit]]/SalesData[[#This Row],[Revenue]])</f>
        <v>0.60699999999999998</v>
      </c>
      <c r="R610" t="s">
        <v>1198</v>
      </c>
      <c r="S610" t="s">
        <v>1397</v>
      </c>
      <c r="T610" t="str">
        <f>PROPER(SalesData[[#This Row],[Customer Name]])</f>
        <v>Oliver Johnson</v>
      </c>
      <c r="U610" t="s">
        <v>1416</v>
      </c>
      <c r="V610" t="s">
        <v>1422</v>
      </c>
    </row>
    <row r="611" spans="1:22" x14ac:dyDescent="0.25">
      <c r="A611" t="s">
        <v>2037</v>
      </c>
      <c r="B611" s="5">
        <v>45511</v>
      </c>
      <c r="C611" s="2" t="str">
        <f>TEXT(SalesData[[#This Row],[Order Date]],"mmm")</f>
        <v>Aug</v>
      </c>
      <c r="D611" s="7">
        <f>MONTH(SalesData[[#This Row],[Order Date]])</f>
        <v>8</v>
      </c>
      <c r="E611" s="7">
        <f>YEAR(SalesData[[#This Row],[Order Date]])</f>
        <v>2024</v>
      </c>
      <c r="F611" t="s">
        <v>763</v>
      </c>
      <c r="G611" t="str">
        <f>PROPER(SalesData[[#This Row],[Product Name]])</f>
        <v>Biodegradable Cleaning Cloth</v>
      </c>
      <c r="H611" t="s">
        <v>1015</v>
      </c>
      <c r="I611" t="str">
        <f>UPPER(SalesData[[#This Row],[Product Category]])</f>
        <v>CLEANING</v>
      </c>
      <c r="J611">
        <v>5</v>
      </c>
      <c r="K611">
        <v>10</v>
      </c>
      <c r="L611" s="15">
        <f>IF(SalesData[[#This Row],[Unit Price]]="",
    AVERAGEIFS(SalesData[Unit Price],
               SalesData[Product Name],SalesData[[#This Row],[Product Name]]),
    SalesData[[#This Row],[Unit Price]])</f>
        <v>10</v>
      </c>
      <c r="M611" s="15">
        <v>3.41</v>
      </c>
      <c r="N611" s="15">
        <f>SalesData[[#This Row],[Quantity Sold]] * SalesData[[#This Row],[Cleaned Unit Price]]</f>
        <v>50</v>
      </c>
      <c r="O611" s="15">
        <f>SalesData[[#This Row],[Quantity Sold]] * SalesData[[#This Row],[Unit Cost]]</f>
        <v>17.05</v>
      </c>
      <c r="P611" s="15">
        <f>SalesData[[#This Row],[Revenue]] - SalesData[[#This Row],[Cost]]</f>
        <v>32.950000000000003</v>
      </c>
      <c r="Q611" s="13">
        <f>IF(SalesData[[#This Row],[Revenue]]=0,0,SalesData[[#This Row],[Profit]]/SalesData[[#This Row],[Revenue]])</f>
        <v>0.65900000000000003</v>
      </c>
      <c r="R611" t="s">
        <v>1198</v>
      </c>
      <c r="S611" t="s">
        <v>1397</v>
      </c>
      <c r="T611" t="str">
        <f>PROPER(SalesData[[#This Row],[Customer Name]])</f>
        <v>Oliver Johnson</v>
      </c>
      <c r="U611" t="s">
        <v>1416</v>
      </c>
      <c r="V611" t="s">
        <v>1424</v>
      </c>
    </row>
    <row r="612" spans="1:22" x14ac:dyDescent="0.25">
      <c r="A612" t="s">
        <v>2038</v>
      </c>
      <c r="B612" s="5">
        <v>45512</v>
      </c>
      <c r="C612" s="2" t="str">
        <f>TEXT(SalesData[[#This Row],[Order Date]],"mmm")</f>
        <v>Aug</v>
      </c>
      <c r="D612" s="7">
        <f>MONTH(SalesData[[#This Row],[Order Date]])</f>
        <v>8</v>
      </c>
      <c r="E612" s="7">
        <f>YEAR(SalesData[[#This Row],[Order Date]])</f>
        <v>2024</v>
      </c>
      <c r="F612" t="s">
        <v>126</v>
      </c>
      <c r="G612" t="str">
        <f>PROPER(SalesData[[#This Row],[Product Name]])</f>
        <v>Reusable Bamboo Utensil Set</v>
      </c>
      <c r="H612" t="s">
        <v>1014</v>
      </c>
      <c r="I612" t="str">
        <f>UPPER(SalesData[[#This Row],[Product Category]])</f>
        <v>KITCHENWARE</v>
      </c>
      <c r="J612">
        <v>10</v>
      </c>
      <c r="K612">
        <v>15</v>
      </c>
      <c r="L612" s="15">
        <f>IF(SalesData[[#This Row],[Unit Price]]="",
    AVERAGEIFS(SalesData[Unit Price],
               SalesData[Product Name],SalesData[[#This Row],[Product Name]]),
    SalesData[[#This Row],[Unit Price]])</f>
        <v>15</v>
      </c>
      <c r="M612" s="15">
        <v>5.3</v>
      </c>
      <c r="N612" s="15">
        <f>SalesData[[#This Row],[Quantity Sold]] * SalesData[[#This Row],[Cleaned Unit Price]]</f>
        <v>150</v>
      </c>
      <c r="O612" s="15">
        <f>SalesData[[#This Row],[Quantity Sold]] * SalesData[[#This Row],[Unit Cost]]</f>
        <v>53</v>
      </c>
      <c r="P612" s="15">
        <f>SalesData[[#This Row],[Revenue]] - SalesData[[#This Row],[Cost]]</f>
        <v>97</v>
      </c>
      <c r="Q612" s="13">
        <f>IF(SalesData[[#This Row],[Revenue]]=0,0,SalesData[[#This Row],[Profit]]/SalesData[[#This Row],[Revenue]])</f>
        <v>0.64666666666666661</v>
      </c>
      <c r="R612" t="s">
        <v>1104</v>
      </c>
      <c r="S612" t="s">
        <v>1303</v>
      </c>
      <c r="T612" t="str">
        <f>PROPER(SalesData[[#This Row],[Customer Name]])</f>
        <v>Harper Brown</v>
      </c>
      <c r="U612" t="s">
        <v>1414</v>
      </c>
      <c r="V612" t="s">
        <v>1427</v>
      </c>
    </row>
    <row r="613" spans="1:22" x14ac:dyDescent="0.25">
      <c r="A613" t="s">
        <v>2039</v>
      </c>
      <c r="B613" s="5">
        <v>45512</v>
      </c>
      <c r="C613" s="2" t="str">
        <f>TEXT(SalesData[[#This Row],[Order Date]],"mmm")</f>
        <v>Aug</v>
      </c>
      <c r="D613" s="7">
        <f>MONTH(SalesData[[#This Row],[Order Date]])</f>
        <v>8</v>
      </c>
      <c r="E613" s="7">
        <f>YEAR(SalesData[[#This Row],[Order Date]])</f>
        <v>2024</v>
      </c>
      <c r="F613" t="s">
        <v>603</v>
      </c>
      <c r="G613" t="str">
        <f>PROPER(SalesData[[#This Row],[Product Name]])</f>
        <v>Compostable Plant Pots</v>
      </c>
      <c r="H613" t="s">
        <v>1011</v>
      </c>
      <c r="I613" t="str">
        <f>UPPER(SalesData[[#This Row],[Product Category]])</f>
        <v>GARDENING</v>
      </c>
      <c r="J613">
        <v>10</v>
      </c>
      <c r="K613">
        <v>12</v>
      </c>
      <c r="L613" s="15">
        <f>IF(SalesData[[#This Row],[Unit Price]]="",
    AVERAGEIFS(SalesData[Unit Price],
               SalesData[Product Name],SalesData[[#This Row],[Product Name]]),
    SalesData[[#This Row],[Unit Price]])</f>
        <v>12</v>
      </c>
      <c r="M613" s="15">
        <v>3.43</v>
      </c>
      <c r="N613" s="15">
        <f>SalesData[[#This Row],[Quantity Sold]] * SalesData[[#This Row],[Cleaned Unit Price]]</f>
        <v>120</v>
      </c>
      <c r="O613" s="15">
        <f>SalesData[[#This Row],[Quantity Sold]] * SalesData[[#This Row],[Unit Cost]]</f>
        <v>34.300000000000004</v>
      </c>
      <c r="P613" s="15">
        <f>SalesData[[#This Row],[Revenue]] - SalesData[[#This Row],[Cost]]</f>
        <v>85.699999999999989</v>
      </c>
      <c r="Q613" s="13">
        <f>IF(SalesData[[#This Row],[Revenue]]=0,0,SalesData[[#This Row],[Profit]]/SalesData[[#This Row],[Revenue]])</f>
        <v>0.71416666666666662</v>
      </c>
      <c r="R613" t="s">
        <v>1190</v>
      </c>
      <c r="S613" t="s">
        <v>1389</v>
      </c>
      <c r="T613" t="str">
        <f>PROPER(SalesData[[#This Row],[Customer Name]])</f>
        <v>James Garcia</v>
      </c>
      <c r="U613" t="s">
        <v>1414</v>
      </c>
      <c r="V613" t="s">
        <v>1421</v>
      </c>
    </row>
    <row r="614" spans="1:22" x14ac:dyDescent="0.25">
      <c r="A614" t="s">
        <v>2040</v>
      </c>
      <c r="B614" s="5">
        <v>45512</v>
      </c>
      <c r="C614" s="2" t="str">
        <f>TEXT(SalesData[[#This Row],[Order Date]],"mmm")</f>
        <v>Aug</v>
      </c>
      <c r="D614" s="7">
        <f>MONTH(SalesData[[#This Row],[Order Date]])</f>
        <v>8</v>
      </c>
      <c r="E614" s="7">
        <f>YEAR(SalesData[[#This Row],[Order Date]])</f>
        <v>2024</v>
      </c>
      <c r="F614" t="s">
        <v>724</v>
      </c>
      <c r="G614" t="str">
        <f>PROPER(SalesData[[#This Row],[Product Name]])</f>
        <v>Compostable Plant Pots</v>
      </c>
      <c r="H614" t="s">
        <v>1011</v>
      </c>
      <c r="I614" t="str">
        <f>UPPER(SalesData[[#This Row],[Product Category]])</f>
        <v>GARDENING</v>
      </c>
      <c r="J614">
        <v>4</v>
      </c>
      <c r="K614">
        <v>12</v>
      </c>
      <c r="L614" s="15">
        <f>IF(SalesData[[#This Row],[Unit Price]]="",
    AVERAGEIFS(SalesData[Unit Price],
               SalesData[Product Name],SalesData[[#This Row],[Product Name]]),
    SalesData[[#This Row],[Unit Price]])</f>
        <v>12</v>
      </c>
      <c r="M614" s="15">
        <v>4.12</v>
      </c>
      <c r="N614" s="15">
        <f>SalesData[[#This Row],[Quantity Sold]] * SalesData[[#This Row],[Cleaned Unit Price]]</f>
        <v>48</v>
      </c>
      <c r="O614" s="15">
        <f>SalesData[[#This Row],[Quantity Sold]] * SalesData[[#This Row],[Unit Cost]]</f>
        <v>16.48</v>
      </c>
      <c r="P614" s="15">
        <f>SalesData[[#This Row],[Revenue]] - SalesData[[#This Row],[Cost]]</f>
        <v>31.52</v>
      </c>
      <c r="Q614" s="13">
        <f>IF(SalesData[[#This Row],[Revenue]]=0,0,SalesData[[#This Row],[Profit]]/SalesData[[#This Row],[Revenue]])</f>
        <v>0.65666666666666662</v>
      </c>
      <c r="R614" t="s">
        <v>1183</v>
      </c>
      <c r="S614" t="s">
        <v>1382</v>
      </c>
      <c r="T614" t="str">
        <f>PROPER(SalesData[[#This Row],[Customer Name]])</f>
        <v>Logan Rodriguez</v>
      </c>
      <c r="U614" t="s">
        <v>1417</v>
      </c>
      <c r="V614" t="s">
        <v>1426</v>
      </c>
    </row>
    <row r="615" spans="1:22" x14ac:dyDescent="0.25">
      <c r="A615" t="s">
        <v>2041</v>
      </c>
      <c r="B615" s="5">
        <v>45512</v>
      </c>
      <c r="C615" s="2" t="str">
        <f>TEXT(SalesData[[#This Row],[Order Date]],"mmm")</f>
        <v>Aug</v>
      </c>
      <c r="D615" s="7">
        <f>MONTH(SalesData[[#This Row],[Order Date]])</f>
        <v>8</v>
      </c>
      <c r="E615" s="7">
        <f>YEAR(SalesData[[#This Row],[Order Date]])</f>
        <v>2024</v>
      </c>
      <c r="F615" t="s">
        <v>859</v>
      </c>
      <c r="G615" t="str">
        <f>PROPER(SalesData[[#This Row],[Product Name]])</f>
        <v>Reusable Bamboo Utensil Set</v>
      </c>
      <c r="H615" t="s">
        <v>1014</v>
      </c>
      <c r="I615" t="str">
        <f>UPPER(SalesData[[#This Row],[Product Category]])</f>
        <v>KITCHENWARE</v>
      </c>
      <c r="J615">
        <v>8</v>
      </c>
      <c r="K615">
        <v>15</v>
      </c>
      <c r="L615" s="15">
        <f>IF(SalesData[[#This Row],[Unit Price]]="",
    AVERAGEIFS(SalesData[Unit Price],
               SalesData[Product Name],SalesData[[#This Row],[Product Name]]),
    SalesData[[#This Row],[Unit Price]])</f>
        <v>15</v>
      </c>
      <c r="M615" s="15">
        <v>4.28</v>
      </c>
      <c r="N615" s="15">
        <f>SalesData[[#This Row],[Quantity Sold]] * SalesData[[#This Row],[Cleaned Unit Price]]</f>
        <v>120</v>
      </c>
      <c r="O615" s="15">
        <f>SalesData[[#This Row],[Quantity Sold]] * SalesData[[#This Row],[Unit Cost]]</f>
        <v>34.24</v>
      </c>
      <c r="P615" s="15">
        <f>SalesData[[#This Row],[Revenue]] - SalesData[[#This Row],[Cost]]</f>
        <v>85.759999999999991</v>
      </c>
      <c r="Q615" s="13">
        <f>IF(SalesData[[#This Row],[Revenue]]=0,0,SalesData[[#This Row],[Profit]]/SalesData[[#This Row],[Revenue]])</f>
        <v>0.71466666666666656</v>
      </c>
      <c r="R615" t="s">
        <v>1119</v>
      </c>
      <c r="S615" t="s">
        <v>1318</v>
      </c>
      <c r="T615" t="str">
        <f>PROPER(SalesData[[#This Row],[Customer Name]])</f>
        <v>Aiden Williams</v>
      </c>
      <c r="U615" t="s">
        <v>1414</v>
      </c>
      <c r="V615" t="s">
        <v>1425</v>
      </c>
    </row>
    <row r="616" spans="1:22" x14ac:dyDescent="0.25">
      <c r="A616" t="s">
        <v>2042</v>
      </c>
      <c r="B616" s="5">
        <v>45513</v>
      </c>
      <c r="C616" s="2" t="str">
        <f>TEXT(SalesData[[#This Row],[Order Date]],"mmm")</f>
        <v>Aug</v>
      </c>
      <c r="D616" s="7">
        <f>MONTH(SalesData[[#This Row],[Order Date]])</f>
        <v>8</v>
      </c>
      <c r="E616" s="7">
        <f>YEAR(SalesData[[#This Row],[Order Date]])</f>
        <v>2024</v>
      </c>
      <c r="F616" t="s">
        <v>246</v>
      </c>
      <c r="G616" t="str">
        <f>PROPER(SalesData[[#This Row],[Product Name]])</f>
        <v>Solar Led Lantern</v>
      </c>
      <c r="H616" t="s">
        <v>1012</v>
      </c>
      <c r="I616" t="str">
        <f>UPPER(SalesData[[#This Row],[Product Category]])</f>
        <v>LIGHTING</v>
      </c>
      <c r="J616">
        <v>1</v>
      </c>
      <c r="K616">
        <v>40</v>
      </c>
      <c r="L616" s="15">
        <f>IF(SalesData[[#This Row],[Unit Price]]="",
    AVERAGEIFS(SalesData[Unit Price],
               SalesData[Product Name],SalesData[[#This Row],[Product Name]]),
    SalesData[[#This Row],[Unit Price]])</f>
        <v>40</v>
      </c>
      <c r="M616" s="15">
        <v>14.6</v>
      </c>
      <c r="N616" s="15">
        <f>SalesData[[#This Row],[Quantity Sold]] * SalesData[[#This Row],[Cleaned Unit Price]]</f>
        <v>40</v>
      </c>
      <c r="O616" s="15">
        <f>SalesData[[#This Row],[Quantity Sold]] * SalesData[[#This Row],[Unit Cost]]</f>
        <v>14.6</v>
      </c>
      <c r="P616" s="15">
        <f>SalesData[[#This Row],[Revenue]] - SalesData[[#This Row],[Cost]]</f>
        <v>25.4</v>
      </c>
      <c r="Q616" s="13">
        <f>IF(SalesData[[#This Row],[Revenue]]=0,0,SalesData[[#This Row],[Profit]]/SalesData[[#This Row],[Revenue]])</f>
        <v>0.63500000000000001</v>
      </c>
      <c r="R616" t="s">
        <v>1155</v>
      </c>
      <c r="S616" t="s">
        <v>1354</v>
      </c>
      <c r="T616" t="str">
        <f>PROPER(SalesData[[#This Row],[Customer Name]])</f>
        <v>Oliver Jones</v>
      </c>
      <c r="U616" t="s">
        <v>1415</v>
      </c>
      <c r="V616" t="s">
        <v>1425</v>
      </c>
    </row>
    <row r="617" spans="1:22" x14ac:dyDescent="0.25">
      <c r="A617" t="s">
        <v>2043</v>
      </c>
      <c r="B617" s="5">
        <v>45513</v>
      </c>
      <c r="C617" s="2" t="str">
        <f>TEXT(SalesData[[#This Row],[Order Date]],"mmm")</f>
        <v>Aug</v>
      </c>
      <c r="D617" s="7">
        <f>MONTH(SalesData[[#This Row],[Order Date]])</f>
        <v>8</v>
      </c>
      <c r="E617" s="7">
        <f>YEAR(SalesData[[#This Row],[Order Date]])</f>
        <v>2024</v>
      </c>
      <c r="F617" t="s">
        <v>770</v>
      </c>
      <c r="G617" t="str">
        <f>PROPER(SalesData[[#This Row],[Product Name]])</f>
        <v>Compostable Plant Pots</v>
      </c>
      <c r="H617" t="s">
        <v>1011</v>
      </c>
      <c r="I617" t="str">
        <f>UPPER(SalesData[[#This Row],[Product Category]])</f>
        <v>GARDENING</v>
      </c>
      <c r="J617">
        <v>1</v>
      </c>
      <c r="K617">
        <v>12</v>
      </c>
      <c r="L617" s="15">
        <f>IF(SalesData[[#This Row],[Unit Price]]="",
    AVERAGEIFS(SalesData[Unit Price],
               SalesData[Product Name],SalesData[[#This Row],[Product Name]]),
    SalesData[[#This Row],[Unit Price]])</f>
        <v>12</v>
      </c>
      <c r="M617" s="15">
        <v>3.32</v>
      </c>
      <c r="N617" s="15">
        <f>SalesData[[#This Row],[Quantity Sold]] * SalesData[[#This Row],[Cleaned Unit Price]]</f>
        <v>12</v>
      </c>
      <c r="O617" s="15">
        <f>SalesData[[#This Row],[Quantity Sold]] * SalesData[[#This Row],[Unit Cost]]</f>
        <v>3.32</v>
      </c>
      <c r="P617" s="15">
        <f>SalesData[[#This Row],[Revenue]] - SalesData[[#This Row],[Cost]]</f>
        <v>8.68</v>
      </c>
      <c r="Q617" s="13">
        <f>IF(SalesData[[#This Row],[Revenue]]=0,0,SalesData[[#This Row],[Profit]]/SalesData[[#This Row],[Revenue]])</f>
        <v>0.72333333333333327</v>
      </c>
      <c r="R617" t="s">
        <v>1175</v>
      </c>
      <c r="S617" t="s">
        <v>1374</v>
      </c>
      <c r="T617" t="str">
        <f>PROPER(SalesData[[#This Row],[Customer Name]])</f>
        <v>Ava Rodriguez</v>
      </c>
      <c r="U617" t="s">
        <v>1416</v>
      </c>
      <c r="V617" t="s">
        <v>1420</v>
      </c>
    </row>
    <row r="618" spans="1:22" x14ac:dyDescent="0.25">
      <c r="A618" t="s">
        <v>2044</v>
      </c>
      <c r="B618" s="5">
        <v>45513</v>
      </c>
      <c r="C618" s="2" t="str">
        <f>TEXT(SalesData[[#This Row],[Order Date]],"mmm")</f>
        <v>Aug</v>
      </c>
      <c r="D618" s="7">
        <f>MONTH(SalesData[[#This Row],[Order Date]])</f>
        <v>8</v>
      </c>
      <c r="E618" s="7">
        <f>YEAR(SalesData[[#This Row],[Order Date]])</f>
        <v>2024</v>
      </c>
      <c r="F618" t="s">
        <v>925</v>
      </c>
      <c r="G618" t="str">
        <f>PROPER(SalesData[[#This Row],[Product Name]])</f>
        <v>Compostable Plant Pots</v>
      </c>
      <c r="H618" t="s">
        <v>1011</v>
      </c>
      <c r="I618" t="str">
        <f>UPPER(SalesData[[#This Row],[Product Category]])</f>
        <v>GARDENING</v>
      </c>
      <c r="J618">
        <v>8</v>
      </c>
      <c r="K618">
        <v>12</v>
      </c>
      <c r="L618" s="15">
        <f>IF(SalesData[[#This Row],[Unit Price]]="",
    AVERAGEIFS(SalesData[Unit Price],
               SalesData[Product Name],SalesData[[#This Row],[Product Name]]),
    SalesData[[#This Row],[Unit Price]])</f>
        <v>12</v>
      </c>
      <c r="M618" s="15">
        <v>2.92</v>
      </c>
      <c r="N618" s="15">
        <f>SalesData[[#This Row],[Quantity Sold]] * SalesData[[#This Row],[Cleaned Unit Price]]</f>
        <v>96</v>
      </c>
      <c r="O618" s="15">
        <f>SalesData[[#This Row],[Quantity Sold]] * SalesData[[#This Row],[Unit Cost]]</f>
        <v>23.36</v>
      </c>
      <c r="P618" s="15">
        <f>SalesData[[#This Row],[Revenue]] - SalesData[[#This Row],[Cost]]</f>
        <v>72.64</v>
      </c>
      <c r="Q618" s="13">
        <f>IF(SalesData[[#This Row],[Revenue]]=0,0,SalesData[[#This Row],[Profit]]/SalesData[[#This Row],[Revenue]])</f>
        <v>0.75666666666666671</v>
      </c>
      <c r="R618" t="s">
        <v>1197</v>
      </c>
      <c r="S618" t="s">
        <v>1396</v>
      </c>
      <c r="T618" t="str">
        <f>PROPER(SalesData[[#This Row],[Customer Name]])</f>
        <v>Logan Smith</v>
      </c>
      <c r="U618" t="s">
        <v>1416</v>
      </c>
      <c r="V618" t="s">
        <v>1418</v>
      </c>
    </row>
    <row r="619" spans="1:22" x14ac:dyDescent="0.25">
      <c r="A619" t="s">
        <v>2045</v>
      </c>
      <c r="B619" s="5">
        <v>45514</v>
      </c>
      <c r="C619" s="2" t="str">
        <f>TEXT(SalesData[[#This Row],[Order Date]],"mmm")</f>
        <v>Aug</v>
      </c>
      <c r="D619" s="7">
        <f>MONTH(SalesData[[#This Row],[Order Date]])</f>
        <v>8</v>
      </c>
      <c r="E619" s="7">
        <f>YEAR(SalesData[[#This Row],[Order Date]])</f>
        <v>2024</v>
      </c>
      <c r="F619" t="s">
        <v>620</v>
      </c>
      <c r="G619" t="str">
        <f>PROPER(SalesData[[#This Row],[Product Name]])</f>
        <v>Biodegradable Cleaning Cloth</v>
      </c>
      <c r="H619" t="s">
        <v>1015</v>
      </c>
      <c r="I619" t="str">
        <f>UPPER(SalesData[[#This Row],[Product Category]])</f>
        <v>CLEANING</v>
      </c>
      <c r="J619">
        <v>6</v>
      </c>
      <c r="K619">
        <v>10</v>
      </c>
      <c r="L619" s="15">
        <f>IF(SalesData[[#This Row],[Unit Price]]="",
    AVERAGEIFS(SalesData[Unit Price],
               SalesData[Product Name],SalesData[[#This Row],[Product Name]]),
    SalesData[[#This Row],[Unit Price]])</f>
        <v>10</v>
      </c>
      <c r="M619" s="15">
        <v>2.2000000000000002</v>
      </c>
      <c r="N619" s="15">
        <f>SalesData[[#This Row],[Quantity Sold]] * SalesData[[#This Row],[Cleaned Unit Price]]</f>
        <v>60</v>
      </c>
      <c r="O619" s="15">
        <f>SalesData[[#This Row],[Quantity Sold]] * SalesData[[#This Row],[Unit Cost]]</f>
        <v>13.200000000000001</v>
      </c>
      <c r="P619" s="15">
        <f>SalesData[[#This Row],[Revenue]] - SalesData[[#This Row],[Cost]]</f>
        <v>46.8</v>
      </c>
      <c r="Q619" s="13">
        <f>IF(SalesData[[#This Row],[Revenue]]=0,0,SalesData[[#This Row],[Profit]]/SalesData[[#This Row],[Revenue]])</f>
        <v>0.77999999999999992</v>
      </c>
      <c r="R619" t="s">
        <v>1068</v>
      </c>
      <c r="S619" t="s">
        <v>1267</v>
      </c>
      <c r="T619" t="str">
        <f>PROPER(SalesData[[#This Row],[Customer Name]])</f>
        <v>Evelyn Martinez</v>
      </c>
      <c r="U619" t="s">
        <v>1414</v>
      </c>
      <c r="V619" t="s">
        <v>1423</v>
      </c>
    </row>
    <row r="620" spans="1:22" x14ac:dyDescent="0.25">
      <c r="A620" t="s">
        <v>2046</v>
      </c>
      <c r="B620" s="5">
        <v>45515</v>
      </c>
      <c r="C620" s="2" t="str">
        <f>TEXT(SalesData[[#This Row],[Order Date]],"mmm")</f>
        <v>Aug</v>
      </c>
      <c r="D620" s="7">
        <f>MONTH(SalesData[[#This Row],[Order Date]])</f>
        <v>8</v>
      </c>
      <c r="E620" s="7">
        <f>YEAR(SalesData[[#This Row],[Order Date]])</f>
        <v>2024</v>
      </c>
      <c r="F620" t="s">
        <v>62</v>
      </c>
      <c r="G620" t="str">
        <f>PROPER(SalesData[[#This Row],[Product Name]])</f>
        <v>Solar Led Lantern</v>
      </c>
      <c r="H620" t="s">
        <v>1012</v>
      </c>
      <c r="I620" t="str">
        <f>UPPER(SalesData[[#This Row],[Product Category]])</f>
        <v>LIGHTING</v>
      </c>
      <c r="J620">
        <v>5</v>
      </c>
      <c r="K620">
        <v>40</v>
      </c>
      <c r="L620" s="15">
        <f>IF(SalesData[[#This Row],[Unit Price]]="",
    AVERAGEIFS(SalesData[Unit Price],
               SalesData[Product Name],SalesData[[#This Row],[Product Name]]),
    SalesData[[#This Row],[Unit Price]])</f>
        <v>40</v>
      </c>
      <c r="M620" s="15">
        <v>11.64</v>
      </c>
      <c r="N620" s="15">
        <f>SalesData[[#This Row],[Quantity Sold]] * SalesData[[#This Row],[Cleaned Unit Price]]</f>
        <v>200</v>
      </c>
      <c r="O620" s="15">
        <f>SalesData[[#This Row],[Quantity Sold]] * SalesData[[#This Row],[Unit Cost]]</f>
        <v>58.2</v>
      </c>
      <c r="P620" s="15">
        <f>SalesData[[#This Row],[Revenue]] - SalesData[[#This Row],[Cost]]</f>
        <v>141.80000000000001</v>
      </c>
      <c r="Q620" s="13">
        <f>IF(SalesData[[#This Row],[Revenue]]=0,0,SalesData[[#This Row],[Profit]]/SalesData[[#This Row],[Revenue]])</f>
        <v>0.70900000000000007</v>
      </c>
      <c r="R620" t="s">
        <v>1059</v>
      </c>
      <c r="S620" t="s">
        <v>1258</v>
      </c>
      <c r="T620" t="str">
        <f>PROPER(SalesData[[#This Row],[Customer Name]])</f>
        <v>Liam Jones</v>
      </c>
      <c r="U620" t="s">
        <v>1416</v>
      </c>
      <c r="V620" t="s">
        <v>1420</v>
      </c>
    </row>
    <row r="621" spans="1:22" x14ac:dyDescent="0.25">
      <c r="A621" t="s">
        <v>2047</v>
      </c>
      <c r="B621" s="5">
        <v>45515</v>
      </c>
      <c r="C621" s="2" t="str">
        <f>TEXT(SalesData[[#This Row],[Order Date]],"mmm")</f>
        <v>Aug</v>
      </c>
      <c r="D621" s="7">
        <f>MONTH(SalesData[[#This Row],[Order Date]])</f>
        <v>8</v>
      </c>
      <c r="E621" s="7">
        <f>YEAR(SalesData[[#This Row],[Order Date]])</f>
        <v>2024</v>
      </c>
      <c r="F621" t="s">
        <v>558</v>
      </c>
      <c r="G621" t="str">
        <f>PROPER(SalesData[[#This Row],[Product Name]])</f>
        <v>Biodegradable Cleaning Cloth</v>
      </c>
      <c r="H621" t="s">
        <v>1015</v>
      </c>
      <c r="I621" t="str">
        <f>UPPER(SalesData[[#This Row],[Product Category]])</f>
        <v>CLEANING</v>
      </c>
      <c r="J621">
        <v>3</v>
      </c>
      <c r="K621">
        <v>10</v>
      </c>
      <c r="L621" s="15">
        <f>IF(SalesData[[#This Row],[Unit Price]]="",
    AVERAGEIFS(SalesData[Unit Price],
               SalesData[Product Name],SalesData[[#This Row],[Product Name]]),
    SalesData[[#This Row],[Unit Price]])</f>
        <v>10</v>
      </c>
      <c r="M621" s="15">
        <v>2.54</v>
      </c>
      <c r="N621" s="15">
        <f>SalesData[[#This Row],[Quantity Sold]] * SalesData[[#This Row],[Cleaned Unit Price]]</f>
        <v>30</v>
      </c>
      <c r="O621" s="15">
        <f>SalesData[[#This Row],[Quantity Sold]] * SalesData[[#This Row],[Unit Cost]]</f>
        <v>7.62</v>
      </c>
      <c r="P621" s="15">
        <f>SalesData[[#This Row],[Revenue]] - SalesData[[#This Row],[Cost]]</f>
        <v>22.38</v>
      </c>
      <c r="Q621" s="13">
        <f>IF(SalesData[[#This Row],[Revenue]]=0,0,SalesData[[#This Row],[Profit]]/SalesData[[#This Row],[Revenue]])</f>
        <v>0.746</v>
      </c>
      <c r="R621" t="s">
        <v>1016</v>
      </c>
      <c r="S621" t="s">
        <v>1215</v>
      </c>
      <c r="T621" t="str">
        <f>PROPER(SalesData[[#This Row],[Customer Name]])</f>
        <v>Harper Davis</v>
      </c>
      <c r="U621" t="s">
        <v>1414</v>
      </c>
      <c r="V621" t="s">
        <v>1419</v>
      </c>
    </row>
    <row r="622" spans="1:22" x14ac:dyDescent="0.25">
      <c r="A622" t="s">
        <v>2048</v>
      </c>
      <c r="B622" s="5">
        <v>45516</v>
      </c>
      <c r="C622" s="2" t="str">
        <f>TEXT(SalesData[[#This Row],[Order Date]],"mmm")</f>
        <v>Aug</v>
      </c>
      <c r="D622" s="7">
        <f>MONTH(SalesData[[#This Row],[Order Date]])</f>
        <v>8</v>
      </c>
      <c r="E622" s="7">
        <f>YEAR(SalesData[[#This Row],[Order Date]])</f>
        <v>2024</v>
      </c>
      <c r="F622" t="s">
        <v>312</v>
      </c>
      <c r="G622" t="str">
        <f>PROPER(SalesData[[#This Row],[Product Name]])</f>
        <v>Eco Canvas Tote Bag</v>
      </c>
      <c r="H622" t="s">
        <v>1013</v>
      </c>
      <c r="I622" t="str">
        <f>UPPER(SalesData[[#This Row],[Product Category]])</f>
        <v>BAGS</v>
      </c>
      <c r="J622">
        <v>5</v>
      </c>
      <c r="K622">
        <v>25</v>
      </c>
      <c r="L622" s="15">
        <f>IF(SalesData[[#This Row],[Unit Price]]="",
    AVERAGEIFS(SalesData[Unit Price],
               SalesData[Product Name],SalesData[[#This Row],[Product Name]]),
    SalesData[[#This Row],[Unit Price]])</f>
        <v>25</v>
      </c>
      <c r="M622" s="15">
        <v>9.66</v>
      </c>
      <c r="N622" s="15">
        <f>SalesData[[#This Row],[Quantity Sold]] * SalesData[[#This Row],[Cleaned Unit Price]]</f>
        <v>125</v>
      </c>
      <c r="O622" s="15">
        <f>SalesData[[#This Row],[Quantity Sold]] * SalesData[[#This Row],[Unit Cost]]</f>
        <v>48.3</v>
      </c>
      <c r="P622" s="15">
        <f>SalesData[[#This Row],[Revenue]] - SalesData[[#This Row],[Cost]]</f>
        <v>76.7</v>
      </c>
      <c r="Q622" s="13">
        <f>IF(SalesData[[#This Row],[Revenue]]=0,0,SalesData[[#This Row],[Profit]]/SalesData[[#This Row],[Revenue]])</f>
        <v>0.61360000000000003</v>
      </c>
      <c r="R622" t="s">
        <v>1064</v>
      </c>
      <c r="S622" t="s">
        <v>1263</v>
      </c>
      <c r="T622" t="str">
        <f>PROPER(SalesData[[#This Row],[Customer Name]])</f>
        <v>Isabella Miller</v>
      </c>
      <c r="U622" t="s">
        <v>1416</v>
      </c>
      <c r="V622" t="s">
        <v>1422</v>
      </c>
    </row>
    <row r="623" spans="1:22" x14ac:dyDescent="0.25">
      <c r="A623" t="s">
        <v>2049</v>
      </c>
      <c r="B623" s="5">
        <v>45516</v>
      </c>
      <c r="C623" s="2" t="str">
        <f>TEXT(SalesData[[#This Row],[Order Date]],"mmm")</f>
        <v>Aug</v>
      </c>
      <c r="D623" s="7">
        <f>MONTH(SalesData[[#This Row],[Order Date]])</f>
        <v>8</v>
      </c>
      <c r="E623" s="7">
        <f>YEAR(SalesData[[#This Row],[Order Date]])</f>
        <v>2024</v>
      </c>
      <c r="F623" t="s">
        <v>454</v>
      </c>
      <c r="G623" t="str">
        <f>PROPER(SalesData[[#This Row],[Product Name]])</f>
        <v>Reusable Bamboo Utensil Set</v>
      </c>
      <c r="H623" t="s">
        <v>1014</v>
      </c>
      <c r="I623" t="str">
        <f>UPPER(SalesData[[#This Row],[Product Category]])</f>
        <v>KITCHENWARE</v>
      </c>
      <c r="J623">
        <v>1</v>
      </c>
      <c r="K623">
        <v>15</v>
      </c>
      <c r="L623" s="15">
        <f>IF(SalesData[[#This Row],[Unit Price]]="",
    AVERAGEIFS(SalesData[Unit Price],
               SalesData[Product Name],SalesData[[#This Row],[Product Name]]),
    SalesData[[#This Row],[Unit Price]])</f>
        <v>15</v>
      </c>
      <c r="M623" s="15">
        <v>4.66</v>
      </c>
      <c r="N623" s="15">
        <f>SalesData[[#This Row],[Quantity Sold]] * SalesData[[#This Row],[Cleaned Unit Price]]</f>
        <v>15</v>
      </c>
      <c r="O623" s="15">
        <f>SalesData[[#This Row],[Quantity Sold]] * SalesData[[#This Row],[Unit Cost]]</f>
        <v>4.66</v>
      </c>
      <c r="P623" s="15">
        <f>SalesData[[#This Row],[Revenue]] - SalesData[[#This Row],[Cost]]</f>
        <v>10.34</v>
      </c>
      <c r="Q623" s="13">
        <f>IF(SalesData[[#This Row],[Revenue]]=0,0,SalesData[[#This Row],[Profit]]/SalesData[[#This Row],[Revenue]])</f>
        <v>0.68933333333333335</v>
      </c>
      <c r="R623" t="s">
        <v>1133</v>
      </c>
      <c r="S623" t="s">
        <v>1332</v>
      </c>
      <c r="T623" t="str">
        <f>PROPER(SalesData[[#This Row],[Customer Name]])</f>
        <v>Charlotte Garcia</v>
      </c>
      <c r="U623" t="s">
        <v>1414</v>
      </c>
      <c r="V623" t="s">
        <v>1426</v>
      </c>
    </row>
    <row r="624" spans="1:22" x14ac:dyDescent="0.25">
      <c r="A624" t="s">
        <v>2050</v>
      </c>
      <c r="B624" s="5">
        <v>45517</v>
      </c>
      <c r="C624" s="2" t="str">
        <f>TEXT(SalesData[[#This Row],[Order Date]],"mmm")</f>
        <v>Aug</v>
      </c>
      <c r="D624" s="7">
        <f>MONTH(SalesData[[#This Row],[Order Date]])</f>
        <v>8</v>
      </c>
      <c r="E624" s="7">
        <f>YEAR(SalesData[[#This Row],[Order Date]])</f>
        <v>2024</v>
      </c>
      <c r="F624" t="s">
        <v>349</v>
      </c>
      <c r="G624" t="str">
        <f>PROPER(SalesData[[#This Row],[Product Name]])</f>
        <v>Compostable Plant Pots</v>
      </c>
      <c r="H624" t="s">
        <v>1011</v>
      </c>
      <c r="I624" t="str">
        <f>UPPER(SalesData[[#This Row],[Product Category]])</f>
        <v>GARDENING</v>
      </c>
      <c r="J624">
        <v>10</v>
      </c>
      <c r="K624">
        <v>12</v>
      </c>
      <c r="L624" s="15">
        <f>IF(SalesData[[#This Row],[Unit Price]]="",
    AVERAGEIFS(SalesData[Unit Price],
               SalesData[Product Name],SalesData[[#This Row],[Product Name]]),
    SalesData[[#This Row],[Unit Price]])</f>
        <v>12</v>
      </c>
      <c r="M624" s="15">
        <v>3.4</v>
      </c>
      <c r="N624" s="15">
        <f>SalesData[[#This Row],[Quantity Sold]] * SalesData[[#This Row],[Cleaned Unit Price]]</f>
        <v>120</v>
      </c>
      <c r="O624" s="15">
        <f>SalesData[[#This Row],[Quantity Sold]] * SalesData[[#This Row],[Unit Cost]]</f>
        <v>34</v>
      </c>
      <c r="P624" s="15">
        <f>SalesData[[#This Row],[Revenue]] - SalesData[[#This Row],[Cost]]</f>
        <v>86</v>
      </c>
      <c r="Q624" s="13">
        <f>IF(SalesData[[#This Row],[Revenue]]=0,0,SalesData[[#This Row],[Profit]]/SalesData[[#This Row],[Revenue]])</f>
        <v>0.71666666666666667</v>
      </c>
      <c r="R624" t="s">
        <v>1094</v>
      </c>
      <c r="S624" t="s">
        <v>1293</v>
      </c>
      <c r="T624" t="str">
        <f>PROPER(SalesData[[#This Row],[Customer Name]])</f>
        <v>Sophia Davis</v>
      </c>
      <c r="U624" t="s">
        <v>1414</v>
      </c>
      <c r="V624" t="s">
        <v>1425</v>
      </c>
    </row>
    <row r="625" spans="1:22" x14ac:dyDescent="0.25">
      <c r="A625" t="s">
        <v>2051</v>
      </c>
      <c r="B625" s="5">
        <v>45517</v>
      </c>
      <c r="C625" s="2" t="str">
        <f>TEXT(SalesData[[#This Row],[Order Date]],"mmm")</f>
        <v>Aug</v>
      </c>
      <c r="D625" s="7">
        <f>MONTH(SalesData[[#This Row],[Order Date]])</f>
        <v>8</v>
      </c>
      <c r="E625" s="7">
        <f>YEAR(SalesData[[#This Row],[Order Date]])</f>
        <v>2024</v>
      </c>
      <c r="F625" t="s">
        <v>667</v>
      </c>
      <c r="G625" t="str">
        <f>PROPER(SalesData[[#This Row],[Product Name]])</f>
        <v>Solar Led Lantern</v>
      </c>
      <c r="H625" t="s">
        <v>1012</v>
      </c>
      <c r="I625" t="str">
        <f>UPPER(SalesData[[#This Row],[Product Category]])</f>
        <v>LIGHTING</v>
      </c>
      <c r="J625">
        <v>9</v>
      </c>
      <c r="K625">
        <v>40</v>
      </c>
      <c r="L625" s="15">
        <f>IF(SalesData[[#This Row],[Unit Price]]="",
    AVERAGEIFS(SalesData[Unit Price],
               SalesData[Product Name],SalesData[[#This Row],[Product Name]]),
    SalesData[[#This Row],[Unit Price]])</f>
        <v>40</v>
      </c>
      <c r="M625" s="15">
        <v>10.210000000000001</v>
      </c>
      <c r="N625" s="15">
        <f>SalesData[[#This Row],[Quantity Sold]] * SalesData[[#This Row],[Cleaned Unit Price]]</f>
        <v>360</v>
      </c>
      <c r="O625" s="15">
        <f>SalesData[[#This Row],[Quantity Sold]] * SalesData[[#This Row],[Unit Cost]]</f>
        <v>91.890000000000015</v>
      </c>
      <c r="P625" s="15">
        <f>SalesData[[#This Row],[Revenue]] - SalesData[[#This Row],[Cost]]</f>
        <v>268.11</v>
      </c>
      <c r="Q625" s="13">
        <f>IF(SalesData[[#This Row],[Revenue]]=0,0,SalesData[[#This Row],[Profit]]/SalesData[[#This Row],[Revenue]])</f>
        <v>0.74475000000000002</v>
      </c>
      <c r="R625" t="s">
        <v>1046</v>
      </c>
      <c r="S625" t="s">
        <v>1245</v>
      </c>
      <c r="T625" t="str">
        <f>PROPER(SalesData[[#This Row],[Customer Name]])</f>
        <v>Lucas Williams</v>
      </c>
      <c r="U625" t="s">
        <v>1414</v>
      </c>
      <c r="V625" t="s">
        <v>1419</v>
      </c>
    </row>
    <row r="626" spans="1:22" x14ac:dyDescent="0.25">
      <c r="A626" t="s">
        <v>2052</v>
      </c>
      <c r="B626" s="5">
        <v>45517</v>
      </c>
      <c r="C626" s="2" t="str">
        <f>TEXT(SalesData[[#This Row],[Order Date]],"mmm")</f>
        <v>Aug</v>
      </c>
      <c r="D626" s="7">
        <f>MONTH(SalesData[[#This Row],[Order Date]])</f>
        <v>8</v>
      </c>
      <c r="E626" s="7">
        <f>YEAR(SalesData[[#This Row],[Order Date]])</f>
        <v>2024</v>
      </c>
      <c r="F626" t="s">
        <v>746</v>
      </c>
      <c r="G626" t="str">
        <f>PROPER(SalesData[[#This Row],[Product Name]])</f>
        <v>Eco Canvas Tote Bag</v>
      </c>
      <c r="H626" t="s">
        <v>1013</v>
      </c>
      <c r="I626" t="str">
        <f>UPPER(SalesData[[#This Row],[Product Category]])</f>
        <v>BAGS</v>
      </c>
      <c r="J626">
        <v>3</v>
      </c>
      <c r="K626">
        <v>25</v>
      </c>
      <c r="L626" s="15">
        <f>IF(SalesData[[#This Row],[Unit Price]]="",
    AVERAGEIFS(SalesData[Unit Price],
               SalesData[Product Name],SalesData[[#This Row],[Product Name]]),
    SalesData[[#This Row],[Unit Price]])</f>
        <v>25</v>
      </c>
      <c r="M626" s="15">
        <v>8.93</v>
      </c>
      <c r="N626" s="15">
        <f>SalesData[[#This Row],[Quantity Sold]] * SalesData[[#This Row],[Cleaned Unit Price]]</f>
        <v>75</v>
      </c>
      <c r="O626" s="15">
        <f>SalesData[[#This Row],[Quantity Sold]] * SalesData[[#This Row],[Unit Cost]]</f>
        <v>26.79</v>
      </c>
      <c r="P626" s="15">
        <f>SalesData[[#This Row],[Revenue]] - SalesData[[#This Row],[Cost]]</f>
        <v>48.21</v>
      </c>
      <c r="Q626" s="13">
        <f>IF(SalesData[[#This Row],[Revenue]]=0,0,SalesData[[#This Row],[Profit]]/SalesData[[#This Row],[Revenue]])</f>
        <v>0.64280000000000004</v>
      </c>
      <c r="R626" t="s">
        <v>1196</v>
      </c>
      <c r="S626" t="s">
        <v>1395</v>
      </c>
      <c r="T626" t="str">
        <f>PROPER(SalesData[[#This Row],[Customer Name]])</f>
        <v>Aiden Miller</v>
      </c>
      <c r="U626" t="s">
        <v>1416</v>
      </c>
      <c r="V626" t="s">
        <v>1425</v>
      </c>
    </row>
    <row r="627" spans="1:22" x14ac:dyDescent="0.25">
      <c r="A627" t="s">
        <v>2053</v>
      </c>
      <c r="B627" s="5">
        <v>45517</v>
      </c>
      <c r="C627" s="2" t="str">
        <f>TEXT(SalesData[[#This Row],[Order Date]],"mmm")</f>
        <v>Aug</v>
      </c>
      <c r="D627" s="7">
        <f>MONTH(SalesData[[#This Row],[Order Date]])</f>
        <v>8</v>
      </c>
      <c r="E627" s="7">
        <f>YEAR(SalesData[[#This Row],[Order Date]])</f>
        <v>2024</v>
      </c>
      <c r="F627" t="s">
        <v>755</v>
      </c>
      <c r="G627" t="str">
        <f>PROPER(SalesData[[#This Row],[Product Name]])</f>
        <v>Compostable Plant Pots</v>
      </c>
      <c r="H627" t="s">
        <v>1011</v>
      </c>
      <c r="I627" t="str">
        <f>UPPER(SalesData[[#This Row],[Product Category]])</f>
        <v>GARDENING</v>
      </c>
      <c r="J627">
        <v>3</v>
      </c>
      <c r="K627">
        <v>12</v>
      </c>
      <c r="L627" s="15">
        <f>IF(SalesData[[#This Row],[Unit Price]]="",
    AVERAGEIFS(SalesData[Unit Price],
               SalesData[Product Name],SalesData[[#This Row],[Product Name]]),
    SalesData[[#This Row],[Unit Price]])</f>
        <v>12</v>
      </c>
      <c r="M627" s="15">
        <v>2.89</v>
      </c>
      <c r="N627" s="15">
        <f>SalesData[[#This Row],[Quantity Sold]] * SalesData[[#This Row],[Cleaned Unit Price]]</f>
        <v>36</v>
      </c>
      <c r="O627" s="15">
        <f>SalesData[[#This Row],[Quantity Sold]] * SalesData[[#This Row],[Unit Cost]]</f>
        <v>8.67</v>
      </c>
      <c r="P627" s="15">
        <f>SalesData[[#This Row],[Revenue]] - SalesData[[#This Row],[Cost]]</f>
        <v>27.33</v>
      </c>
      <c r="Q627" s="13">
        <f>IF(SalesData[[#This Row],[Revenue]]=0,0,SalesData[[#This Row],[Profit]]/SalesData[[#This Row],[Revenue]])</f>
        <v>0.75916666666666666</v>
      </c>
      <c r="R627" t="s">
        <v>1213</v>
      </c>
      <c r="S627" t="s">
        <v>1412</v>
      </c>
      <c r="T627" t="str">
        <f>PROPER(SalesData[[#This Row],[Customer Name]])</f>
        <v>Olivia Jones</v>
      </c>
      <c r="U627" t="s">
        <v>1415</v>
      </c>
      <c r="V627" t="s">
        <v>1423</v>
      </c>
    </row>
    <row r="628" spans="1:22" x14ac:dyDescent="0.25">
      <c r="A628" t="s">
        <v>2054</v>
      </c>
      <c r="B628" s="5">
        <v>45517</v>
      </c>
      <c r="C628" s="2" t="str">
        <f>TEXT(SalesData[[#This Row],[Order Date]],"mmm")</f>
        <v>Aug</v>
      </c>
      <c r="D628" s="7">
        <f>MONTH(SalesData[[#This Row],[Order Date]])</f>
        <v>8</v>
      </c>
      <c r="E628" s="7">
        <f>YEAR(SalesData[[#This Row],[Order Date]])</f>
        <v>2024</v>
      </c>
      <c r="F628" t="s">
        <v>971</v>
      </c>
      <c r="G628" t="str">
        <f>PROPER(SalesData[[#This Row],[Product Name]])</f>
        <v>Compostable Plant Pots</v>
      </c>
      <c r="H628" t="s">
        <v>1011</v>
      </c>
      <c r="I628" t="str">
        <f>UPPER(SalesData[[#This Row],[Product Category]])</f>
        <v>GARDENING</v>
      </c>
      <c r="J628">
        <v>9</v>
      </c>
      <c r="K628">
        <v>12</v>
      </c>
      <c r="L628" s="15">
        <f>IF(SalesData[[#This Row],[Unit Price]]="",
    AVERAGEIFS(SalesData[Unit Price],
               SalesData[Product Name],SalesData[[#This Row],[Product Name]]),
    SalesData[[#This Row],[Unit Price]])</f>
        <v>12</v>
      </c>
      <c r="M628" s="15">
        <v>3.61</v>
      </c>
      <c r="N628" s="15">
        <f>SalesData[[#This Row],[Quantity Sold]] * SalesData[[#This Row],[Cleaned Unit Price]]</f>
        <v>108</v>
      </c>
      <c r="O628" s="15">
        <f>SalesData[[#This Row],[Quantity Sold]] * SalesData[[#This Row],[Unit Cost]]</f>
        <v>32.49</v>
      </c>
      <c r="P628" s="15">
        <f>SalesData[[#This Row],[Revenue]] - SalesData[[#This Row],[Cost]]</f>
        <v>75.509999999999991</v>
      </c>
      <c r="Q628" s="13">
        <f>IF(SalesData[[#This Row],[Revenue]]=0,0,SalesData[[#This Row],[Profit]]/SalesData[[#This Row],[Revenue]])</f>
        <v>0.6991666666666666</v>
      </c>
      <c r="R628" t="s">
        <v>1175</v>
      </c>
      <c r="S628" t="s">
        <v>1374</v>
      </c>
      <c r="T628" t="str">
        <f>PROPER(SalesData[[#This Row],[Customer Name]])</f>
        <v>Ava Rodriguez</v>
      </c>
      <c r="U628" t="s">
        <v>1414</v>
      </c>
      <c r="V628" t="s">
        <v>1425</v>
      </c>
    </row>
    <row r="629" spans="1:22" x14ac:dyDescent="0.25">
      <c r="A629" t="s">
        <v>2055</v>
      </c>
      <c r="B629" s="5">
        <v>45518</v>
      </c>
      <c r="C629" s="2" t="str">
        <f>TEXT(SalesData[[#This Row],[Order Date]],"mmm")</f>
        <v>Aug</v>
      </c>
      <c r="D629" s="7">
        <f>MONTH(SalesData[[#This Row],[Order Date]])</f>
        <v>8</v>
      </c>
      <c r="E629" s="7">
        <f>YEAR(SalesData[[#This Row],[Order Date]])</f>
        <v>2024</v>
      </c>
      <c r="F629" t="s">
        <v>590</v>
      </c>
      <c r="G629" t="str">
        <f>PROPER(SalesData[[#This Row],[Product Name]])</f>
        <v>Solar Led Lantern</v>
      </c>
      <c r="H629" t="s">
        <v>1012</v>
      </c>
      <c r="I629" t="str">
        <f>UPPER(SalesData[[#This Row],[Product Category]])</f>
        <v>LIGHTING</v>
      </c>
      <c r="J629">
        <v>3</v>
      </c>
      <c r="K629">
        <v>40</v>
      </c>
      <c r="L629" s="15">
        <f>IF(SalesData[[#This Row],[Unit Price]]="",
    AVERAGEIFS(SalesData[Unit Price],
               SalesData[Product Name],SalesData[[#This Row],[Product Name]]),
    SalesData[[#This Row],[Unit Price]])</f>
        <v>40</v>
      </c>
      <c r="M629" s="15">
        <v>10.51</v>
      </c>
      <c r="N629" s="15">
        <f>SalesData[[#This Row],[Quantity Sold]] * SalesData[[#This Row],[Cleaned Unit Price]]</f>
        <v>120</v>
      </c>
      <c r="O629" s="15">
        <f>SalesData[[#This Row],[Quantity Sold]] * SalesData[[#This Row],[Unit Cost]]</f>
        <v>31.53</v>
      </c>
      <c r="P629" s="15">
        <f>SalesData[[#This Row],[Revenue]] - SalesData[[#This Row],[Cost]]</f>
        <v>88.47</v>
      </c>
      <c r="Q629" s="13">
        <f>IF(SalesData[[#This Row],[Revenue]]=0,0,SalesData[[#This Row],[Profit]]/SalesData[[#This Row],[Revenue]])</f>
        <v>0.73724999999999996</v>
      </c>
      <c r="R629" t="s">
        <v>1130</v>
      </c>
      <c r="S629" t="s">
        <v>1329</v>
      </c>
      <c r="T629" t="str">
        <f>PROPER(SalesData[[#This Row],[Customer Name]])</f>
        <v>Sophia Johnson</v>
      </c>
      <c r="U629" t="s">
        <v>1414</v>
      </c>
      <c r="V629" t="s">
        <v>1425</v>
      </c>
    </row>
    <row r="630" spans="1:22" x14ac:dyDescent="0.25">
      <c r="A630" t="s">
        <v>2056</v>
      </c>
      <c r="B630" s="5">
        <v>45518</v>
      </c>
      <c r="C630" s="2" t="str">
        <f>TEXT(SalesData[[#This Row],[Order Date]],"mmm")</f>
        <v>Aug</v>
      </c>
      <c r="D630" s="7">
        <f>MONTH(SalesData[[#This Row],[Order Date]])</f>
        <v>8</v>
      </c>
      <c r="E630" s="7">
        <f>YEAR(SalesData[[#This Row],[Order Date]])</f>
        <v>2024</v>
      </c>
      <c r="F630" t="s">
        <v>830</v>
      </c>
      <c r="G630" t="str">
        <f>PROPER(SalesData[[#This Row],[Product Name]])</f>
        <v>Biodegradable Cleaning Cloth</v>
      </c>
      <c r="H630" t="s">
        <v>1015</v>
      </c>
      <c r="I630" t="str">
        <f>UPPER(SalesData[[#This Row],[Product Category]])</f>
        <v>CLEANING</v>
      </c>
      <c r="J630">
        <v>4</v>
      </c>
      <c r="K630">
        <v>10</v>
      </c>
      <c r="L630" s="15">
        <f>IF(SalesData[[#This Row],[Unit Price]]="",
    AVERAGEIFS(SalesData[Unit Price],
               SalesData[Product Name],SalesData[[#This Row],[Product Name]]),
    SalesData[[#This Row],[Unit Price]])</f>
        <v>10</v>
      </c>
      <c r="M630" s="15">
        <v>3.97</v>
      </c>
      <c r="N630" s="15">
        <f>SalesData[[#This Row],[Quantity Sold]] * SalesData[[#This Row],[Cleaned Unit Price]]</f>
        <v>40</v>
      </c>
      <c r="O630" s="15">
        <f>SalesData[[#This Row],[Quantity Sold]] * SalesData[[#This Row],[Unit Cost]]</f>
        <v>15.88</v>
      </c>
      <c r="P630" s="15">
        <f>SalesData[[#This Row],[Revenue]] - SalesData[[#This Row],[Cost]]</f>
        <v>24.119999999999997</v>
      </c>
      <c r="Q630" s="13">
        <f>IF(SalesData[[#This Row],[Revenue]]=0,0,SalesData[[#This Row],[Profit]]/SalesData[[#This Row],[Revenue]])</f>
        <v>0.60299999999999998</v>
      </c>
      <c r="R630" t="s">
        <v>1152</v>
      </c>
      <c r="S630" t="s">
        <v>1351</v>
      </c>
      <c r="T630" t="str">
        <f>PROPER(SalesData[[#This Row],[Customer Name]])</f>
        <v>Amelia Johnson</v>
      </c>
      <c r="U630" t="s">
        <v>1414</v>
      </c>
      <c r="V630" t="s">
        <v>1424</v>
      </c>
    </row>
    <row r="631" spans="1:22" x14ac:dyDescent="0.25">
      <c r="A631" t="s">
        <v>2057</v>
      </c>
      <c r="B631" s="5">
        <v>45519</v>
      </c>
      <c r="C631" s="2" t="str">
        <f>TEXT(SalesData[[#This Row],[Order Date]],"mmm")</f>
        <v>Aug</v>
      </c>
      <c r="D631" s="7">
        <f>MONTH(SalesData[[#This Row],[Order Date]])</f>
        <v>8</v>
      </c>
      <c r="E631" s="7">
        <f>YEAR(SalesData[[#This Row],[Order Date]])</f>
        <v>2024</v>
      </c>
      <c r="F631" t="s">
        <v>253</v>
      </c>
      <c r="G631" t="str">
        <f>PROPER(SalesData[[#This Row],[Product Name]])</f>
        <v>Reusable Bamboo Utensil Set</v>
      </c>
      <c r="H631" t="s">
        <v>1014</v>
      </c>
      <c r="I631" t="str">
        <f>UPPER(SalesData[[#This Row],[Product Category]])</f>
        <v>KITCHENWARE</v>
      </c>
      <c r="J631">
        <v>3</v>
      </c>
      <c r="K631">
        <v>15</v>
      </c>
      <c r="L631" s="15">
        <f>IF(SalesData[[#This Row],[Unit Price]]="",
    AVERAGEIFS(SalesData[Unit Price],
               SalesData[Product Name],SalesData[[#This Row],[Product Name]]),
    SalesData[[#This Row],[Unit Price]])</f>
        <v>15</v>
      </c>
      <c r="M631" s="15">
        <v>4.7699999999999996</v>
      </c>
      <c r="N631" s="15">
        <f>SalesData[[#This Row],[Quantity Sold]] * SalesData[[#This Row],[Cleaned Unit Price]]</f>
        <v>45</v>
      </c>
      <c r="O631" s="15">
        <f>SalesData[[#This Row],[Quantity Sold]] * SalesData[[#This Row],[Unit Cost]]</f>
        <v>14.309999999999999</v>
      </c>
      <c r="P631" s="15">
        <f>SalesData[[#This Row],[Revenue]] - SalesData[[#This Row],[Cost]]</f>
        <v>30.69</v>
      </c>
      <c r="Q631" s="13">
        <f>IF(SalesData[[#This Row],[Revenue]]=0,0,SalesData[[#This Row],[Profit]]/SalesData[[#This Row],[Revenue]])</f>
        <v>0.68200000000000005</v>
      </c>
      <c r="R631" t="s">
        <v>1159</v>
      </c>
      <c r="S631" t="s">
        <v>1358</v>
      </c>
      <c r="T631" t="str">
        <f>PROPER(SalesData[[#This Row],[Customer Name]])</f>
        <v>Sophia Rodriguez</v>
      </c>
      <c r="U631" t="s">
        <v>1414</v>
      </c>
      <c r="V631" t="s">
        <v>1420</v>
      </c>
    </row>
    <row r="632" spans="1:22" x14ac:dyDescent="0.25">
      <c r="A632" t="s">
        <v>2058</v>
      </c>
      <c r="B632" s="5">
        <v>45519</v>
      </c>
      <c r="C632" s="2" t="str">
        <f>TEXT(SalesData[[#This Row],[Order Date]],"mmm")</f>
        <v>Aug</v>
      </c>
      <c r="D632" s="7">
        <f>MONTH(SalesData[[#This Row],[Order Date]])</f>
        <v>8</v>
      </c>
      <c r="E632" s="7">
        <f>YEAR(SalesData[[#This Row],[Order Date]])</f>
        <v>2024</v>
      </c>
      <c r="F632" t="s">
        <v>802</v>
      </c>
      <c r="G632" t="str">
        <f>PROPER(SalesData[[#This Row],[Product Name]])</f>
        <v>Reusable Bamboo Utensil Set</v>
      </c>
      <c r="H632" t="s">
        <v>1014</v>
      </c>
      <c r="I632" t="str">
        <f>UPPER(SalesData[[#This Row],[Product Category]])</f>
        <v>KITCHENWARE</v>
      </c>
      <c r="J632">
        <v>4</v>
      </c>
      <c r="K632">
        <v>15</v>
      </c>
      <c r="L632" s="15">
        <f>IF(SalesData[[#This Row],[Unit Price]]="",
    AVERAGEIFS(SalesData[Unit Price],
               SalesData[Product Name],SalesData[[#This Row],[Product Name]]),
    SalesData[[#This Row],[Unit Price]])</f>
        <v>15</v>
      </c>
      <c r="M632" s="15">
        <v>4.16</v>
      </c>
      <c r="N632" s="15">
        <f>SalesData[[#This Row],[Quantity Sold]] * SalesData[[#This Row],[Cleaned Unit Price]]</f>
        <v>60</v>
      </c>
      <c r="O632" s="15">
        <f>SalesData[[#This Row],[Quantity Sold]] * SalesData[[#This Row],[Unit Cost]]</f>
        <v>16.64</v>
      </c>
      <c r="P632" s="15">
        <f>SalesData[[#This Row],[Revenue]] - SalesData[[#This Row],[Cost]]</f>
        <v>43.36</v>
      </c>
      <c r="Q632" s="13">
        <f>IF(SalesData[[#This Row],[Revenue]]=0,0,SalesData[[#This Row],[Profit]]/SalesData[[#This Row],[Revenue]])</f>
        <v>0.72266666666666668</v>
      </c>
      <c r="R632" t="s">
        <v>1091</v>
      </c>
      <c r="S632" t="s">
        <v>1290</v>
      </c>
      <c r="T632" t="str">
        <f>PROPER(SalesData[[#This Row],[Customer Name]])</f>
        <v>Elijah Garcia</v>
      </c>
      <c r="U632" t="s">
        <v>1416</v>
      </c>
      <c r="V632" t="s">
        <v>1421</v>
      </c>
    </row>
    <row r="633" spans="1:22" x14ac:dyDescent="0.25">
      <c r="A633" t="s">
        <v>2059</v>
      </c>
      <c r="B633" s="5">
        <v>45520</v>
      </c>
      <c r="C633" s="2" t="str">
        <f>TEXT(SalesData[[#This Row],[Order Date]],"mmm")</f>
        <v>Aug</v>
      </c>
      <c r="D633" s="7">
        <f>MONTH(SalesData[[#This Row],[Order Date]])</f>
        <v>8</v>
      </c>
      <c r="E633" s="7">
        <f>YEAR(SalesData[[#This Row],[Order Date]])</f>
        <v>2024</v>
      </c>
      <c r="F633" t="s">
        <v>16</v>
      </c>
      <c r="G633" t="str">
        <f>PROPER(SalesData[[#This Row],[Product Name]])</f>
        <v>Reusable Bamboo Utensil Set</v>
      </c>
      <c r="H633" t="s">
        <v>1014</v>
      </c>
      <c r="I633" t="str">
        <f>UPPER(SalesData[[#This Row],[Product Category]])</f>
        <v>KITCHENWARE</v>
      </c>
      <c r="J633">
        <v>6</v>
      </c>
      <c r="K633">
        <v>15</v>
      </c>
      <c r="L633" s="15">
        <f>IF(SalesData[[#This Row],[Unit Price]]="",
    AVERAGEIFS(SalesData[Unit Price],
               SalesData[Product Name],SalesData[[#This Row],[Product Name]]),
    SalesData[[#This Row],[Unit Price]])</f>
        <v>15</v>
      </c>
      <c r="M633" s="15">
        <v>3.31</v>
      </c>
      <c r="N633" s="15">
        <f>SalesData[[#This Row],[Quantity Sold]] * SalesData[[#This Row],[Cleaned Unit Price]]</f>
        <v>90</v>
      </c>
      <c r="O633" s="15">
        <f>SalesData[[#This Row],[Quantity Sold]] * SalesData[[#This Row],[Unit Cost]]</f>
        <v>19.86</v>
      </c>
      <c r="P633" s="15">
        <f>SalesData[[#This Row],[Revenue]] - SalesData[[#This Row],[Cost]]</f>
        <v>70.14</v>
      </c>
      <c r="Q633" s="13">
        <f>IF(SalesData[[#This Row],[Revenue]]=0,0,SalesData[[#This Row],[Profit]]/SalesData[[#This Row],[Revenue]])</f>
        <v>0.77933333333333332</v>
      </c>
      <c r="R633" t="s">
        <v>1021</v>
      </c>
      <c r="S633" t="s">
        <v>1220</v>
      </c>
      <c r="T633" t="str">
        <f>PROPER(SalesData[[#This Row],[Customer Name]])</f>
        <v>Liam Garcia</v>
      </c>
      <c r="U633" t="s">
        <v>1416</v>
      </c>
      <c r="V633" t="s">
        <v>1422</v>
      </c>
    </row>
    <row r="634" spans="1:22" x14ac:dyDescent="0.25">
      <c r="A634" t="s">
        <v>2060</v>
      </c>
      <c r="B634" s="5">
        <v>45521</v>
      </c>
      <c r="C634" s="2" t="str">
        <f>TEXT(SalesData[[#This Row],[Order Date]],"mmm")</f>
        <v>Aug</v>
      </c>
      <c r="D634" s="7">
        <f>MONTH(SalesData[[#This Row],[Order Date]])</f>
        <v>8</v>
      </c>
      <c r="E634" s="7">
        <f>YEAR(SalesData[[#This Row],[Order Date]])</f>
        <v>2024</v>
      </c>
      <c r="F634" t="s">
        <v>437</v>
      </c>
      <c r="G634" t="str">
        <f>PROPER(SalesData[[#This Row],[Product Name]])</f>
        <v>Reusable Bamboo Utensil Set</v>
      </c>
      <c r="H634" t="s">
        <v>1014</v>
      </c>
      <c r="I634" t="str">
        <f>UPPER(SalesData[[#This Row],[Product Category]])</f>
        <v>KITCHENWARE</v>
      </c>
      <c r="J634">
        <v>9</v>
      </c>
      <c r="K634">
        <v>15</v>
      </c>
      <c r="L634" s="15">
        <f>IF(SalesData[[#This Row],[Unit Price]]="",
    AVERAGEIFS(SalesData[Unit Price],
               SalesData[Product Name],SalesData[[#This Row],[Product Name]]),
    SalesData[[#This Row],[Unit Price]])</f>
        <v>15</v>
      </c>
      <c r="M634" s="15">
        <v>3.56</v>
      </c>
      <c r="N634" s="15">
        <f>SalesData[[#This Row],[Quantity Sold]] * SalesData[[#This Row],[Cleaned Unit Price]]</f>
        <v>135</v>
      </c>
      <c r="O634" s="15">
        <f>SalesData[[#This Row],[Quantity Sold]] * SalesData[[#This Row],[Unit Cost]]</f>
        <v>32.04</v>
      </c>
      <c r="P634" s="15">
        <f>SalesData[[#This Row],[Revenue]] - SalesData[[#This Row],[Cost]]</f>
        <v>102.96000000000001</v>
      </c>
      <c r="Q634" s="13">
        <f>IF(SalesData[[#This Row],[Revenue]]=0,0,SalesData[[#This Row],[Profit]]/SalesData[[#This Row],[Revenue]])</f>
        <v>0.76266666666666671</v>
      </c>
      <c r="R634" t="s">
        <v>1102</v>
      </c>
      <c r="S634" t="s">
        <v>1301</v>
      </c>
      <c r="T634" t="str">
        <f>PROPER(SalesData[[#This Row],[Customer Name]])</f>
        <v>Aiden Garcia</v>
      </c>
      <c r="U634" t="s">
        <v>1414</v>
      </c>
      <c r="V634" t="s">
        <v>1423</v>
      </c>
    </row>
    <row r="635" spans="1:22" x14ac:dyDescent="0.25">
      <c r="A635" t="s">
        <v>2061</v>
      </c>
      <c r="B635" s="5">
        <v>45521</v>
      </c>
      <c r="C635" s="2" t="str">
        <f>TEXT(SalesData[[#This Row],[Order Date]],"mmm")</f>
        <v>Aug</v>
      </c>
      <c r="D635" s="7">
        <f>MONTH(SalesData[[#This Row],[Order Date]])</f>
        <v>8</v>
      </c>
      <c r="E635" s="7">
        <f>YEAR(SalesData[[#This Row],[Order Date]])</f>
        <v>2024</v>
      </c>
      <c r="F635" t="s">
        <v>446</v>
      </c>
      <c r="G635" t="str">
        <f>PROPER(SalesData[[#This Row],[Product Name]])</f>
        <v>Biodegradable Cleaning Cloth</v>
      </c>
      <c r="H635" t="s">
        <v>1015</v>
      </c>
      <c r="I635" t="str">
        <f>UPPER(SalesData[[#This Row],[Product Category]])</f>
        <v>CLEANING</v>
      </c>
      <c r="J635">
        <v>7</v>
      </c>
      <c r="K635">
        <v>10</v>
      </c>
      <c r="L635" s="15">
        <f>IF(SalesData[[#This Row],[Unit Price]]="",
    AVERAGEIFS(SalesData[Unit Price],
               SalesData[Product Name],SalesData[[#This Row],[Product Name]]),
    SalesData[[#This Row],[Unit Price]])</f>
        <v>10</v>
      </c>
      <c r="M635" s="15">
        <v>2.65</v>
      </c>
      <c r="N635" s="15">
        <f>SalesData[[#This Row],[Quantity Sold]] * SalesData[[#This Row],[Cleaned Unit Price]]</f>
        <v>70</v>
      </c>
      <c r="O635" s="15">
        <f>SalesData[[#This Row],[Quantity Sold]] * SalesData[[#This Row],[Unit Cost]]</f>
        <v>18.55</v>
      </c>
      <c r="P635" s="15">
        <f>SalesData[[#This Row],[Revenue]] - SalesData[[#This Row],[Cost]]</f>
        <v>51.45</v>
      </c>
      <c r="Q635" s="13">
        <f>IF(SalesData[[#This Row],[Revenue]]=0,0,SalesData[[#This Row],[Profit]]/SalesData[[#This Row],[Revenue]])</f>
        <v>0.73499999999999999</v>
      </c>
      <c r="R635" t="s">
        <v>1065</v>
      </c>
      <c r="S635" t="s">
        <v>1264</v>
      </c>
      <c r="T635" t="str">
        <f>PROPER(SalesData[[#This Row],[Customer Name]])</f>
        <v>Elijah Jones</v>
      </c>
      <c r="U635" t="s">
        <v>1414</v>
      </c>
      <c r="V635" t="s">
        <v>1422</v>
      </c>
    </row>
    <row r="636" spans="1:22" x14ac:dyDescent="0.25">
      <c r="A636" t="s">
        <v>2062</v>
      </c>
      <c r="B636" s="5">
        <v>45521</v>
      </c>
      <c r="C636" s="2" t="str">
        <f>TEXT(SalesData[[#This Row],[Order Date]],"mmm")</f>
        <v>Aug</v>
      </c>
      <c r="D636" s="7">
        <f>MONTH(SalesData[[#This Row],[Order Date]])</f>
        <v>8</v>
      </c>
      <c r="E636" s="7">
        <f>YEAR(SalesData[[#This Row],[Order Date]])</f>
        <v>2024</v>
      </c>
      <c r="F636" t="s">
        <v>495</v>
      </c>
      <c r="G636" t="str">
        <f>PROPER(SalesData[[#This Row],[Product Name]])</f>
        <v>Eco Canvas Tote Bag</v>
      </c>
      <c r="H636" t="s">
        <v>1013</v>
      </c>
      <c r="I636" t="str">
        <f>UPPER(SalesData[[#This Row],[Product Category]])</f>
        <v>BAGS</v>
      </c>
      <c r="J636">
        <v>1</v>
      </c>
      <c r="K636">
        <v>25</v>
      </c>
      <c r="L636" s="15">
        <f>IF(SalesData[[#This Row],[Unit Price]]="",
    AVERAGEIFS(SalesData[Unit Price],
               SalesData[Product Name],SalesData[[#This Row],[Product Name]]),
    SalesData[[#This Row],[Unit Price]])</f>
        <v>25</v>
      </c>
      <c r="M636" s="15">
        <v>7.24</v>
      </c>
      <c r="N636" s="15">
        <f>SalesData[[#This Row],[Quantity Sold]] * SalesData[[#This Row],[Cleaned Unit Price]]</f>
        <v>25</v>
      </c>
      <c r="O636" s="15">
        <f>SalesData[[#This Row],[Quantity Sold]] * SalesData[[#This Row],[Unit Cost]]</f>
        <v>7.24</v>
      </c>
      <c r="P636" s="15">
        <f>SalesData[[#This Row],[Revenue]] - SalesData[[#This Row],[Cost]]</f>
        <v>17.759999999999998</v>
      </c>
      <c r="Q636" s="13">
        <f>IF(SalesData[[#This Row],[Revenue]]=0,0,SalesData[[#This Row],[Profit]]/SalesData[[#This Row],[Revenue]])</f>
        <v>0.71039999999999992</v>
      </c>
      <c r="R636" t="s">
        <v>1149</v>
      </c>
      <c r="S636" t="s">
        <v>1348</v>
      </c>
      <c r="T636" t="str">
        <f>PROPER(SalesData[[#This Row],[Customer Name]])</f>
        <v>Oliver Johnson</v>
      </c>
      <c r="U636" t="s">
        <v>1414</v>
      </c>
      <c r="V636" t="s">
        <v>1421</v>
      </c>
    </row>
    <row r="637" spans="1:22" x14ac:dyDescent="0.25">
      <c r="A637" t="s">
        <v>2063</v>
      </c>
      <c r="B637" s="5">
        <v>45521</v>
      </c>
      <c r="C637" s="2" t="str">
        <f>TEXT(SalesData[[#This Row],[Order Date]],"mmm")</f>
        <v>Aug</v>
      </c>
      <c r="D637" s="7">
        <f>MONTH(SalesData[[#This Row],[Order Date]])</f>
        <v>8</v>
      </c>
      <c r="E637" s="7">
        <f>YEAR(SalesData[[#This Row],[Order Date]])</f>
        <v>2024</v>
      </c>
      <c r="F637" t="s">
        <v>836</v>
      </c>
      <c r="G637" t="str">
        <f>PROPER(SalesData[[#This Row],[Product Name]])</f>
        <v>Eco Canvas Tote Bag</v>
      </c>
      <c r="H637" t="s">
        <v>1013</v>
      </c>
      <c r="I637" t="str">
        <f>UPPER(SalesData[[#This Row],[Product Category]])</f>
        <v>BAGS</v>
      </c>
      <c r="J637">
        <v>10</v>
      </c>
      <c r="K637">
        <v>25</v>
      </c>
      <c r="L637" s="15">
        <f>IF(SalesData[[#This Row],[Unit Price]]="",
    AVERAGEIFS(SalesData[Unit Price],
               SalesData[Product Name],SalesData[[#This Row],[Product Name]]),
    SalesData[[#This Row],[Unit Price]])</f>
        <v>25</v>
      </c>
      <c r="M637" s="15">
        <v>7.06</v>
      </c>
      <c r="N637" s="15">
        <f>SalesData[[#This Row],[Quantity Sold]] * SalesData[[#This Row],[Cleaned Unit Price]]</f>
        <v>250</v>
      </c>
      <c r="O637" s="15">
        <f>SalesData[[#This Row],[Quantity Sold]] * SalesData[[#This Row],[Unit Cost]]</f>
        <v>70.599999999999994</v>
      </c>
      <c r="P637" s="15">
        <f>SalesData[[#This Row],[Revenue]] - SalesData[[#This Row],[Cost]]</f>
        <v>179.4</v>
      </c>
      <c r="Q637" s="13">
        <f>IF(SalesData[[#This Row],[Revenue]]=0,0,SalesData[[#This Row],[Profit]]/SalesData[[#This Row],[Revenue]])</f>
        <v>0.71760000000000002</v>
      </c>
      <c r="R637" t="s">
        <v>1132</v>
      </c>
      <c r="S637" t="s">
        <v>1331</v>
      </c>
      <c r="T637" t="str">
        <f>PROPER(SalesData[[#This Row],[Customer Name]])</f>
        <v>Isabella Rodriguez</v>
      </c>
      <c r="U637" t="s">
        <v>1416</v>
      </c>
      <c r="V637" t="s">
        <v>1426</v>
      </c>
    </row>
    <row r="638" spans="1:22" x14ac:dyDescent="0.25">
      <c r="A638" t="s">
        <v>2064</v>
      </c>
      <c r="B638" s="5">
        <v>45522</v>
      </c>
      <c r="C638" s="2" t="str">
        <f>TEXT(SalesData[[#This Row],[Order Date]],"mmm")</f>
        <v>Aug</v>
      </c>
      <c r="D638" s="7">
        <f>MONTH(SalesData[[#This Row],[Order Date]])</f>
        <v>8</v>
      </c>
      <c r="E638" s="7">
        <f>YEAR(SalesData[[#This Row],[Order Date]])</f>
        <v>2024</v>
      </c>
      <c r="F638" t="s">
        <v>288</v>
      </c>
      <c r="G638" t="str">
        <f>PROPER(SalesData[[#This Row],[Product Name]])</f>
        <v>Eco Canvas Tote Bag</v>
      </c>
      <c r="H638" t="s">
        <v>1013</v>
      </c>
      <c r="I638" t="str">
        <f>UPPER(SalesData[[#This Row],[Product Category]])</f>
        <v>BAGS</v>
      </c>
      <c r="J638">
        <v>8</v>
      </c>
      <c r="K638">
        <v>25</v>
      </c>
      <c r="L638" s="15">
        <f>IF(SalesData[[#This Row],[Unit Price]]="",
    AVERAGEIFS(SalesData[Unit Price],
               SalesData[Product Name],SalesData[[#This Row],[Product Name]]),
    SalesData[[#This Row],[Unit Price]])</f>
        <v>25</v>
      </c>
      <c r="M638" s="15">
        <v>7.93</v>
      </c>
      <c r="N638" s="15">
        <f>SalesData[[#This Row],[Quantity Sold]] * SalesData[[#This Row],[Cleaned Unit Price]]</f>
        <v>200</v>
      </c>
      <c r="O638" s="15">
        <f>SalesData[[#This Row],[Quantity Sold]] * SalesData[[#This Row],[Unit Cost]]</f>
        <v>63.44</v>
      </c>
      <c r="P638" s="15">
        <f>SalesData[[#This Row],[Revenue]] - SalesData[[#This Row],[Cost]]</f>
        <v>136.56</v>
      </c>
      <c r="Q638" s="13">
        <f>IF(SalesData[[#This Row],[Revenue]]=0,0,SalesData[[#This Row],[Profit]]/SalesData[[#This Row],[Revenue]])</f>
        <v>0.68279999999999996</v>
      </c>
      <c r="R638" t="s">
        <v>1054</v>
      </c>
      <c r="S638" t="s">
        <v>1253</v>
      </c>
      <c r="T638" t="str">
        <f>PROPER(SalesData[[#This Row],[Customer Name]])</f>
        <v>Ethan Johnson</v>
      </c>
      <c r="U638" t="s">
        <v>1414</v>
      </c>
      <c r="V638" t="s">
        <v>1420</v>
      </c>
    </row>
    <row r="639" spans="1:22" x14ac:dyDescent="0.25">
      <c r="A639" t="s">
        <v>2065</v>
      </c>
      <c r="B639" s="5">
        <v>45522</v>
      </c>
      <c r="C639" s="2" t="str">
        <f>TEXT(SalesData[[#This Row],[Order Date]],"mmm")</f>
        <v>Aug</v>
      </c>
      <c r="D639" s="7">
        <f>MONTH(SalesData[[#This Row],[Order Date]])</f>
        <v>8</v>
      </c>
      <c r="E639" s="7">
        <f>YEAR(SalesData[[#This Row],[Order Date]])</f>
        <v>2024</v>
      </c>
      <c r="F639" t="s">
        <v>389</v>
      </c>
      <c r="G639" t="str">
        <f>PROPER(SalesData[[#This Row],[Product Name]])</f>
        <v>Compostable Plant Pots</v>
      </c>
      <c r="H639" t="s">
        <v>1011</v>
      </c>
      <c r="I639" t="str">
        <f>UPPER(SalesData[[#This Row],[Product Category]])</f>
        <v>GARDENING</v>
      </c>
      <c r="J639">
        <v>5</v>
      </c>
      <c r="K639">
        <v>12</v>
      </c>
      <c r="L639" s="15">
        <f>IF(SalesData[[#This Row],[Unit Price]]="",
    AVERAGEIFS(SalesData[Unit Price],
               SalesData[Product Name],SalesData[[#This Row],[Product Name]]),
    SalesData[[#This Row],[Unit Price]])</f>
        <v>12</v>
      </c>
      <c r="M639" s="15">
        <v>3.24</v>
      </c>
      <c r="N639" s="15">
        <f>SalesData[[#This Row],[Quantity Sold]] * SalesData[[#This Row],[Cleaned Unit Price]]</f>
        <v>60</v>
      </c>
      <c r="O639" s="15">
        <f>SalesData[[#This Row],[Quantity Sold]] * SalesData[[#This Row],[Unit Cost]]</f>
        <v>16.200000000000003</v>
      </c>
      <c r="P639" s="15">
        <f>SalesData[[#This Row],[Revenue]] - SalesData[[#This Row],[Cost]]</f>
        <v>43.8</v>
      </c>
      <c r="Q639" s="13">
        <f>IF(SalesData[[#This Row],[Revenue]]=0,0,SalesData[[#This Row],[Profit]]/SalesData[[#This Row],[Revenue]])</f>
        <v>0.73</v>
      </c>
      <c r="R639" t="s">
        <v>1184</v>
      </c>
      <c r="S639" t="s">
        <v>1383</v>
      </c>
      <c r="T639" t="str">
        <f>PROPER(SalesData[[#This Row],[Customer Name]])</f>
        <v>Aiden Rodriguez</v>
      </c>
      <c r="U639" t="s">
        <v>1414</v>
      </c>
      <c r="V639" t="s">
        <v>1422</v>
      </c>
    </row>
    <row r="640" spans="1:22" x14ac:dyDescent="0.25">
      <c r="A640" t="s">
        <v>2066</v>
      </c>
      <c r="B640" s="5">
        <v>45522</v>
      </c>
      <c r="C640" s="2" t="str">
        <f>TEXT(SalesData[[#This Row],[Order Date]],"mmm")</f>
        <v>Aug</v>
      </c>
      <c r="D640" s="7">
        <f>MONTH(SalesData[[#This Row],[Order Date]])</f>
        <v>8</v>
      </c>
      <c r="E640" s="7">
        <f>YEAR(SalesData[[#This Row],[Order Date]])</f>
        <v>2024</v>
      </c>
      <c r="F640" t="s">
        <v>447</v>
      </c>
      <c r="G640" t="str">
        <f>PROPER(SalesData[[#This Row],[Product Name]])</f>
        <v>Compostable Plant Pots</v>
      </c>
      <c r="H640" t="s">
        <v>1011</v>
      </c>
      <c r="I640" t="str">
        <f>UPPER(SalesData[[#This Row],[Product Category]])</f>
        <v>GARDENING</v>
      </c>
      <c r="J640">
        <v>3</v>
      </c>
      <c r="K640">
        <v>12</v>
      </c>
      <c r="L640" s="15">
        <f>IF(SalesData[[#This Row],[Unit Price]]="",
    AVERAGEIFS(SalesData[Unit Price],
               SalesData[Product Name],SalesData[[#This Row],[Product Name]]),
    SalesData[[#This Row],[Unit Price]])</f>
        <v>12</v>
      </c>
      <c r="M640" s="15">
        <v>2.42</v>
      </c>
      <c r="N640" s="15">
        <f>SalesData[[#This Row],[Quantity Sold]] * SalesData[[#This Row],[Cleaned Unit Price]]</f>
        <v>36</v>
      </c>
      <c r="O640" s="15">
        <f>SalesData[[#This Row],[Quantity Sold]] * SalesData[[#This Row],[Unit Cost]]</f>
        <v>7.26</v>
      </c>
      <c r="P640" s="15">
        <f>SalesData[[#This Row],[Revenue]] - SalesData[[#This Row],[Cost]]</f>
        <v>28.740000000000002</v>
      </c>
      <c r="Q640" s="13">
        <f>IF(SalesData[[#This Row],[Revenue]]=0,0,SalesData[[#This Row],[Profit]]/SalesData[[#This Row],[Revenue]])</f>
        <v>0.79833333333333334</v>
      </c>
      <c r="R640" t="s">
        <v>1194</v>
      </c>
      <c r="S640" t="s">
        <v>1393</v>
      </c>
      <c r="T640" t="str">
        <f>PROPER(SalesData[[#This Row],[Customer Name]])</f>
        <v>James Williams</v>
      </c>
      <c r="U640" t="s">
        <v>1415</v>
      </c>
      <c r="V640" t="s">
        <v>1425</v>
      </c>
    </row>
    <row r="641" spans="1:22" x14ac:dyDescent="0.25">
      <c r="A641" t="s">
        <v>2067</v>
      </c>
      <c r="B641" s="5">
        <v>45522</v>
      </c>
      <c r="C641" s="2" t="str">
        <f>TEXT(SalesData[[#This Row],[Order Date]],"mmm")</f>
        <v>Aug</v>
      </c>
      <c r="D641" s="7">
        <f>MONTH(SalesData[[#This Row],[Order Date]])</f>
        <v>8</v>
      </c>
      <c r="E641" s="7">
        <f>YEAR(SalesData[[#This Row],[Order Date]])</f>
        <v>2024</v>
      </c>
      <c r="F641" t="s">
        <v>788</v>
      </c>
      <c r="G641" t="str">
        <f>PROPER(SalesData[[#This Row],[Product Name]])</f>
        <v>Solar Led Lantern</v>
      </c>
      <c r="H641" t="s">
        <v>1012</v>
      </c>
      <c r="I641" t="str">
        <f>UPPER(SalesData[[#This Row],[Product Category]])</f>
        <v>LIGHTING</v>
      </c>
      <c r="J641">
        <v>4</v>
      </c>
      <c r="K641">
        <v>40</v>
      </c>
      <c r="L641" s="15">
        <f>IF(SalesData[[#This Row],[Unit Price]]="",
    AVERAGEIFS(SalesData[Unit Price],
               SalesData[Product Name],SalesData[[#This Row],[Product Name]]),
    SalesData[[#This Row],[Unit Price]])</f>
        <v>40</v>
      </c>
      <c r="M641" s="15">
        <v>11.94</v>
      </c>
      <c r="N641" s="15">
        <f>SalesData[[#This Row],[Quantity Sold]] * SalesData[[#This Row],[Cleaned Unit Price]]</f>
        <v>160</v>
      </c>
      <c r="O641" s="15">
        <f>SalesData[[#This Row],[Quantity Sold]] * SalesData[[#This Row],[Unit Cost]]</f>
        <v>47.76</v>
      </c>
      <c r="P641" s="15">
        <f>SalesData[[#This Row],[Revenue]] - SalesData[[#This Row],[Cost]]</f>
        <v>112.24000000000001</v>
      </c>
      <c r="Q641" s="13">
        <f>IF(SalesData[[#This Row],[Revenue]]=0,0,SalesData[[#This Row],[Profit]]/SalesData[[#This Row],[Revenue]])</f>
        <v>0.70150000000000001</v>
      </c>
      <c r="R641" t="s">
        <v>1078</v>
      </c>
      <c r="S641" t="s">
        <v>1277</v>
      </c>
      <c r="T641" t="str">
        <f>PROPER(SalesData[[#This Row],[Customer Name]])</f>
        <v>Elijah Martinez</v>
      </c>
      <c r="U641" t="s">
        <v>1417</v>
      </c>
      <c r="V641" t="s">
        <v>1426</v>
      </c>
    </row>
    <row r="642" spans="1:22" x14ac:dyDescent="0.25">
      <c r="A642" t="s">
        <v>2068</v>
      </c>
      <c r="B642" s="5">
        <v>45522</v>
      </c>
      <c r="C642" s="2" t="str">
        <f>TEXT(SalesData[[#This Row],[Order Date]],"mmm")</f>
        <v>Aug</v>
      </c>
      <c r="D642" s="7">
        <f>MONTH(SalesData[[#This Row],[Order Date]])</f>
        <v>8</v>
      </c>
      <c r="E642" s="7">
        <f>YEAR(SalesData[[#This Row],[Order Date]])</f>
        <v>2024</v>
      </c>
      <c r="F642" t="s">
        <v>897</v>
      </c>
      <c r="G642" t="str">
        <f>PROPER(SalesData[[#This Row],[Product Name]])</f>
        <v>Solar Led Lantern</v>
      </c>
      <c r="H642" t="s">
        <v>1012</v>
      </c>
      <c r="I642" t="str">
        <f>UPPER(SalesData[[#This Row],[Product Category]])</f>
        <v>LIGHTING</v>
      </c>
      <c r="J642">
        <v>5</v>
      </c>
      <c r="K642">
        <v>40</v>
      </c>
      <c r="L642" s="15">
        <f>IF(SalesData[[#This Row],[Unit Price]]="",
    AVERAGEIFS(SalesData[Unit Price],
               SalesData[Product Name],SalesData[[#This Row],[Product Name]]),
    SalesData[[#This Row],[Unit Price]])</f>
        <v>40</v>
      </c>
      <c r="M642" s="15">
        <v>10.23</v>
      </c>
      <c r="N642" s="15">
        <f>SalesData[[#This Row],[Quantity Sold]] * SalesData[[#This Row],[Cleaned Unit Price]]</f>
        <v>200</v>
      </c>
      <c r="O642" s="15">
        <f>SalesData[[#This Row],[Quantity Sold]] * SalesData[[#This Row],[Unit Cost]]</f>
        <v>51.150000000000006</v>
      </c>
      <c r="P642" s="15">
        <f>SalesData[[#This Row],[Revenue]] - SalesData[[#This Row],[Cost]]</f>
        <v>148.85</v>
      </c>
      <c r="Q642" s="13">
        <f>IF(SalesData[[#This Row],[Revenue]]=0,0,SalesData[[#This Row],[Profit]]/SalesData[[#This Row],[Revenue]])</f>
        <v>0.74424999999999997</v>
      </c>
      <c r="R642" t="s">
        <v>1205</v>
      </c>
      <c r="S642" t="s">
        <v>1404</v>
      </c>
      <c r="T642" t="str">
        <f>PROPER(SalesData[[#This Row],[Customer Name]])</f>
        <v>Logan Miller</v>
      </c>
      <c r="U642" t="s">
        <v>1417</v>
      </c>
      <c r="V642" t="s">
        <v>1425</v>
      </c>
    </row>
    <row r="643" spans="1:22" x14ac:dyDescent="0.25">
      <c r="A643" t="s">
        <v>2069</v>
      </c>
      <c r="B643" s="5">
        <v>45523</v>
      </c>
      <c r="C643" s="2" t="str">
        <f>TEXT(SalesData[[#This Row],[Order Date]],"mmm")</f>
        <v>Aug</v>
      </c>
      <c r="D643" s="7">
        <f>MONTH(SalesData[[#This Row],[Order Date]])</f>
        <v>8</v>
      </c>
      <c r="E643" s="7">
        <f>YEAR(SalesData[[#This Row],[Order Date]])</f>
        <v>2024</v>
      </c>
      <c r="F643" t="s">
        <v>441</v>
      </c>
      <c r="G643" t="str">
        <f>PROPER(SalesData[[#This Row],[Product Name]])</f>
        <v>Compostable Plant Pots</v>
      </c>
      <c r="H643" t="s">
        <v>1011</v>
      </c>
      <c r="I643" t="str">
        <f>UPPER(SalesData[[#This Row],[Product Category]])</f>
        <v>GARDENING</v>
      </c>
      <c r="J643">
        <v>7</v>
      </c>
      <c r="K643">
        <v>12</v>
      </c>
      <c r="L643" s="15">
        <f>IF(SalesData[[#This Row],[Unit Price]]="",
    AVERAGEIFS(SalesData[Unit Price],
               SalesData[Product Name],SalesData[[#This Row],[Product Name]]),
    SalesData[[#This Row],[Unit Price]])</f>
        <v>12</v>
      </c>
      <c r="M643" s="15">
        <v>4.46</v>
      </c>
      <c r="N643" s="15">
        <f>SalesData[[#This Row],[Quantity Sold]] * SalesData[[#This Row],[Cleaned Unit Price]]</f>
        <v>84</v>
      </c>
      <c r="O643" s="15">
        <f>SalesData[[#This Row],[Quantity Sold]] * SalesData[[#This Row],[Unit Cost]]</f>
        <v>31.22</v>
      </c>
      <c r="P643" s="15">
        <f>SalesData[[#This Row],[Revenue]] - SalesData[[#This Row],[Cost]]</f>
        <v>52.78</v>
      </c>
      <c r="Q643" s="13">
        <f>IF(SalesData[[#This Row],[Revenue]]=0,0,SalesData[[#This Row],[Profit]]/SalesData[[#This Row],[Revenue]])</f>
        <v>0.6283333333333333</v>
      </c>
      <c r="R643" t="s">
        <v>1171</v>
      </c>
      <c r="S643" t="s">
        <v>1370</v>
      </c>
      <c r="T643" t="str">
        <f>PROPER(SalesData[[#This Row],[Customer Name]])</f>
        <v>Ava Rodriguez</v>
      </c>
      <c r="U643" t="s">
        <v>1414</v>
      </c>
      <c r="V643" t="s">
        <v>1418</v>
      </c>
    </row>
    <row r="644" spans="1:22" x14ac:dyDescent="0.25">
      <c r="A644" t="s">
        <v>2070</v>
      </c>
      <c r="B644" s="5">
        <v>45523</v>
      </c>
      <c r="C644" s="2" t="str">
        <f>TEXT(SalesData[[#This Row],[Order Date]],"mmm")</f>
        <v>Aug</v>
      </c>
      <c r="D644" s="7">
        <f>MONTH(SalesData[[#This Row],[Order Date]])</f>
        <v>8</v>
      </c>
      <c r="E644" s="7">
        <f>YEAR(SalesData[[#This Row],[Order Date]])</f>
        <v>2024</v>
      </c>
      <c r="F644" t="s">
        <v>539</v>
      </c>
      <c r="G644" t="str">
        <f>PROPER(SalesData[[#This Row],[Product Name]])</f>
        <v>Compostable Plant Pots</v>
      </c>
      <c r="H644" t="s">
        <v>1011</v>
      </c>
      <c r="I644" t="str">
        <f>UPPER(SalesData[[#This Row],[Product Category]])</f>
        <v>GARDENING</v>
      </c>
      <c r="J644">
        <v>6</v>
      </c>
      <c r="K644">
        <v>12</v>
      </c>
      <c r="L644" s="15">
        <f>IF(SalesData[[#This Row],[Unit Price]]="",
    AVERAGEIFS(SalesData[Unit Price],
               SalesData[Product Name],SalesData[[#This Row],[Product Name]]),
    SalesData[[#This Row],[Unit Price]])</f>
        <v>12</v>
      </c>
      <c r="M644" s="15">
        <v>4.7300000000000004</v>
      </c>
      <c r="N644" s="15">
        <f>SalesData[[#This Row],[Quantity Sold]] * SalesData[[#This Row],[Cleaned Unit Price]]</f>
        <v>72</v>
      </c>
      <c r="O644" s="15">
        <f>SalesData[[#This Row],[Quantity Sold]] * SalesData[[#This Row],[Unit Cost]]</f>
        <v>28.380000000000003</v>
      </c>
      <c r="P644" s="15">
        <f>SalesData[[#This Row],[Revenue]] - SalesData[[#This Row],[Cost]]</f>
        <v>43.62</v>
      </c>
      <c r="Q644" s="13">
        <f>IF(SalesData[[#This Row],[Revenue]]=0,0,SalesData[[#This Row],[Profit]]/SalesData[[#This Row],[Revenue]])</f>
        <v>0.60583333333333333</v>
      </c>
      <c r="R644" t="s">
        <v>1207</v>
      </c>
      <c r="S644" t="s">
        <v>1406</v>
      </c>
      <c r="T644" t="str">
        <f>PROPER(SalesData[[#This Row],[Customer Name]])</f>
        <v>Logan Martinez</v>
      </c>
      <c r="U644" t="s">
        <v>1416</v>
      </c>
      <c r="V644" t="s">
        <v>1421</v>
      </c>
    </row>
    <row r="645" spans="1:22" x14ac:dyDescent="0.25">
      <c r="A645" t="s">
        <v>2071</v>
      </c>
      <c r="B645" s="5">
        <v>45523</v>
      </c>
      <c r="C645" s="2" t="str">
        <f>TEXT(SalesData[[#This Row],[Order Date]],"mmm")</f>
        <v>Aug</v>
      </c>
      <c r="D645" s="7">
        <f>MONTH(SalesData[[#This Row],[Order Date]])</f>
        <v>8</v>
      </c>
      <c r="E645" s="7">
        <f>YEAR(SalesData[[#This Row],[Order Date]])</f>
        <v>2024</v>
      </c>
      <c r="F645" t="s">
        <v>609</v>
      </c>
      <c r="G645" t="str">
        <f>PROPER(SalesData[[#This Row],[Product Name]])</f>
        <v>Reusable Bamboo Utensil Set</v>
      </c>
      <c r="H645" t="s">
        <v>1014</v>
      </c>
      <c r="I645" t="str">
        <f>UPPER(SalesData[[#This Row],[Product Category]])</f>
        <v>KITCHENWARE</v>
      </c>
      <c r="J645">
        <v>6</v>
      </c>
      <c r="K645">
        <v>15</v>
      </c>
      <c r="L645" s="15">
        <f>IF(SalesData[[#This Row],[Unit Price]]="",
    AVERAGEIFS(SalesData[Unit Price],
               SalesData[Product Name],SalesData[[#This Row],[Product Name]]),
    SalesData[[#This Row],[Unit Price]])</f>
        <v>15</v>
      </c>
      <c r="M645" s="15">
        <v>3.74</v>
      </c>
      <c r="N645" s="15">
        <f>SalesData[[#This Row],[Quantity Sold]] * SalesData[[#This Row],[Cleaned Unit Price]]</f>
        <v>90</v>
      </c>
      <c r="O645" s="15">
        <f>SalesData[[#This Row],[Quantity Sold]] * SalesData[[#This Row],[Unit Cost]]</f>
        <v>22.44</v>
      </c>
      <c r="P645" s="15">
        <f>SalesData[[#This Row],[Revenue]] - SalesData[[#This Row],[Cost]]</f>
        <v>67.56</v>
      </c>
      <c r="Q645" s="13">
        <f>IF(SalesData[[#This Row],[Revenue]]=0,0,SalesData[[#This Row],[Profit]]/SalesData[[#This Row],[Revenue]])</f>
        <v>0.7506666666666667</v>
      </c>
      <c r="R645" t="s">
        <v>1087</v>
      </c>
      <c r="S645" t="s">
        <v>1286</v>
      </c>
      <c r="T645" t="str">
        <f>PROPER(SalesData[[#This Row],[Customer Name]])</f>
        <v>Liam Smith</v>
      </c>
      <c r="U645" t="s">
        <v>1415</v>
      </c>
      <c r="V645" t="s">
        <v>1424</v>
      </c>
    </row>
    <row r="646" spans="1:22" x14ac:dyDescent="0.25">
      <c r="A646" t="s">
        <v>2072</v>
      </c>
      <c r="B646" s="5">
        <v>45523</v>
      </c>
      <c r="C646" s="2" t="str">
        <f>TEXT(SalesData[[#This Row],[Order Date]],"mmm")</f>
        <v>Aug</v>
      </c>
      <c r="D646" s="7">
        <f>MONTH(SalesData[[#This Row],[Order Date]])</f>
        <v>8</v>
      </c>
      <c r="E646" s="7">
        <f>YEAR(SalesData[[#This Row],[Order Date]])</f>
        <v>2024</v>
      </c>
      <c r="F646" t="s">
        <v>758</v>
      </c>
      <c r="G646" t="str">
        <f>PROPER(SalesData[[#This Row],[Product Name]])</f>
        <v>Eco Canvas Tote Bag</v>
      </c>
      <c r="H646" t="s">
        <v>1013</v>
      </c>
      <c r="I646" t="str">
        <f>UPPER(SalesData[[#This Row],[Product Category]])</f>
        <v>BAGS</v>
      </c>
      <c r="J646">
        <v>10</v>
      </c>
      <c r="K646">
        <v>25</v>
      </c>
      <c r="L646" s="15">
        <f>IF(SalesData[[#This Row],[Unit Price]]="",
    AVERAGEIFS(SalesData[Unit Price],
               SalesData[Product Name],SalesData[[#This Row],[Product Name]]),
    SalesData[[#This Row],[Unit Price]])</f>
        <v>25</v>
      </c>
      <c r="M646" s="15">
        <v>6.58</v>
      </c>
      <c r="N646" s="15">
        <f>SalesData[[#This Row],[Quantity Sold]] * SalesData[[#This Row],[Cleaned Unit Price]]</f>
        <v>250</v>
      </c>
      <c r="O646" s="15">
        <f>SalesData[[#This Row],[Quantity Sold]] * SalesData[[#This Row],[Unit Cost]]</f>
        <v>65.8</v>
      </c>
      <c r="P646" s="15">
        <f>SalesData[[#This Row],[Revenue]] - SalesData[[#This Row],[Cost]]</f>
        <v>184.2</v>
      </c>
      <c r="Q646" s="13">
        <f>IF(SalesData[[#This Row],[Revenue]]=0,0,SalesData[[#This Row],[Profit]]/SalesData[[#This Row],[Revenue]])</f>
        <v>0.7367999999999999</v>
      </c>
      <c r="R646" t="s">
        <v>1208</v>
      </c>
      <c r="S646" t="s">
        <v>1407</v>
      </c>
      <c r="T646" t="str">
        <f>PROPER(SalesData[[#This Row],[Customer Name]])</f>
        <v>Evelyn Martinez</v>
      </c>
      <c r="U646" t="s">
        <v>1416</v>
      </c>
      <c r="V646" t="s">
        <v>1423</v>
      </c>
    </row>
    <row r="647" spans="1:22" x14ac:dyDescent="0.25">
      <c r="A647" t="s">
        <v>2073</v>
      </c>
      <c r="B647" s="5">
        <v>45524</v>
      </c>
      <c r="C647" s="2" t="str">
        <f>TEXT(SalesData[[#This Row],[Order Date]],"mmm")</f>
        <v>Aug</v>
      </c>
      <c r="D647" s="7">
        <f>MONTH(SalesData[[#This Row],[Order Date]])</f>
        <v>8</v>
      </c>
      <c r="E647" s="7">
        <f>YEAR(SalesData[[#This Row],[Order Date]])</f>
        <v>2024</v>
      </c>
      <c r="F647" t="s">
        <v>81</v>
      </c>
      <c r="G647" t="str">
        <f>PROPER(SalesData[[#This Row],[Product Name]])</f>
        <v>Reusable Bamboo Utensil Set</v>
      </c>
      <c r="H647" t="s">
        <v>1014</v>
      </c>
      <c r="I647" t="str">
        <f>UPPER(SalesData[[#This Row],[Product Category]])</f>
        <v>KITCHENWARE</v>
      </c>
      <c r="J647">
        <v>2</v>
      </c>
      <c r="K647">
        <v>15</v>
      </c>
      <c r="L647" s="15">
        <f>IF(SalesData[[#This Row],[Unit Price]]="",
    AVERAGEIFS(SalesData[Unit Price],
               SalesData[Product Name],SalesData[[#This Row],[Product Name]]),
    SalesData[[#This Row],[Unit Price]])</f>
        <v>15</v>
      </c>
      <c r="M647" s="15">
        <v>5.88</v>
      </c>
      <c r="N647" s="15">
        <f>SalesData[[#This Row],[Quantity Sold]] * SalesData[[#This Row],[Cleaned Unit Price]]</f>
        <v>30</v>
      </c>
      <c r="O647" s="15">
        <f>SalesData[[#This Row],[Quantity Sold]] * SalesData[[#This Row],[Unit Cost]]</f>
        <v>11.76</v>
      </c>
      <c r="P647" s="15">
        <f>SalesData[[#This Row],[Revenue]] - SalesData[[#This Row],[Cost]]</f>
        <v>18.240000000000002</v>
      </c>
      <c r="Q647" s="13">
        <f>IF(SalesData[[#This Row],[Revenue]]=0,0,SalesData[[#This Row],[Profit]]/SalesData[[#This Row],[Revenue]])</f>
        <v>0.6080000000000001</v>
      </c>
      <c r="R647" t="s">
        <v>1073</v>
      </c>
      <c r="S647" t="s">
        <v>1272</v>
      </c>
      <c r="T647" t="str">
        <f>PROPER(SalesData[[#This Row],[Customer Name]])</f>
        <v>Noah Smith</v>
      </c>
      <c r="U647" t="s">
        <v>1414</v>
      </c>
      <c r="V647" t="s">
        <v>1425</v>
      </c>
    </row>
    <row r="648" spans="1:22" x14ac:dyDescent="0.25">
      <c r="A648" t="s">
        <v>2074</v>
      </c>
      <c r="B648" s="5">
        <v>45524</v>
      </c>
      <c r="C648" s="2" t="str">
        <f>TEXT(SalesData[[#This Row],[Order Date]],"mmm")</f>
        <v>Aug</v>
      </c>
      <c r="D648" s="7">
        <f>MONTH(SalesData[[#This Row],[Order Date]])</f>
        <v>8</v>
      </c>
      <c r="E648" s="7">
        <f>YEAR(SalesData[[#This Row],[Order Date]])</f>
        <v>2024</v>
      </c>
      <c r="F648" t="s">
        <v>212</v>
      </c>
      <c r="G648" t="str">
        <f>PROPER(SalesData[[#This Row],[Product Name]])</f>
        <v>Solar Led Lantern</v>
      </c>
      <c r="H648" t="s">
        <v>1012</v>
      </c>
      <c r="I648" t="str">
        <f>UPPER(SalesData[[#This Row],[Product Category]])</f>
        <v>LIGHTING</v>
      </c>
      <c r="J648">
        <v>2</v>
      </c>
      <c r="K648">
        <v>40</v>
      </c>
      <c r="L648" s="15">
        <f>IF(SalesData[[#This Row],[Unit Price]]="",
    AVERAGEIFS(SalesData[Unit Price],
               SalesData[Product Name],SalesData[[#This Row],[Product Name]]),
    SalesData[[#This Row],[Unit Price]])</f>
        <v>40</v>
      </c>
      <c r="M648" s="15">
        <v>14.55</v>
      </c>
      <c r="N648" s="15">
        <f>SalesData[[#This Row],[Quantity Sold]] * SalesData[[#This Row],[Cleaned Unit Price]]</f>
        <v>80</v>
      </c>
      <c r="O648" s="15">
        <f>SalesData[[#This Row],[Quantity Sold]] * SalesData[[#This Row],[Unit Cost]]</f>
        <v>29.1</v>
      </c>
      <c r="P648" s="15">
        <f>SalesData[[#This Row],[Revenue]] - SalesData[[#This Row],[Cost]]</f>
        <v>50.9</v>
      </c>
      <c r="Q648" s="13">
        <f>IF(SalesData[[#This Row],[Revenue]]=0,0,SalesData[[#This Row],[Profit]]/SalesData[[#This Row],[Revenue]])</f>
        <v>0.63624999999999998</v>
      </c>
      <c r="R648" t="s">
        <v>1093</v>
      </c>
      <c r="S648" t="s">
        <v>1292</v>
      </c>
      <c r="T648" t="str">
        <f>PROPER(SalesData[[#This Row],[Customer Name]])</f>
        <v>Ava Miller</v>
      </c>
      <c r="U648" t="s">
        <v>1416</v>
      </c>
      <c r="V648" t="s">
        <v>1424</v>
      </c>
    </row>
    <row r="649" spans="1:22" x14ac:dyDescent="0.25">
      <c r="A649" t="s">
        <v>2075</v>
      </c>
      <c r="B649" s="5">
        <v>45524</v>
      </c>
      <c r="C649" s="2" t="str">
        <f>TEXT(SalesData[[#This Row],[Order Date]],"mmm")</f>
        <v>Aug</v>
      </c>
      <c r="D649" s="7">
        <f>MONTH(SalesData[[#This Row],[Order Date]])</f>
        <v>8</v>
      </c>
      <c r="E649" s="7">
        <f>YEAR(SalesData[[#This Row],[Order Date]])</f>
        <v>2024</v>
      </c>
      <c r="F649" t="s">
        <v>361</v>
      </c>
      <c r="G649" t="str">
        <f>PROPER(SalesData[[#This Row],[Product Name]])</f>
        <v>Biodegradable Cleaning Cloth</v>
      </c>
      <c r="H649" t="s">
        <v>1015</v>
      </c>
      <c r="I649" t="str">
        <f>UPPER(SalesData[[#This Row],[Product Category]])</f>
        <v>CLEANING</v>
      </c>
      <c r="J649">
        <v>3</v>
      </c>
      <c r="K649">
        <v>10</v>
      </c>
      <c r="L649" s="15">
        <f>IF(SalesData[[#This Row],[Unit Price]]="",
    AVERAGEIFS(SalesData[Unit Price],
               SalesData[Product Name],SalesData[[#This Row],[Product Name]]),
    SalesData[[#This Row],[Unit Price]])</f>
        <v>10</v>
      </c>
      <c r="M649" s="15">
        <v>2.33</v>
      </c>
      <c r="N649" s="15">
        <f>SalesData[[#This Row],[Quantity Sold]] * SalesData[[#This Row],[Cleaned Unit Price]]</f>
        <v>30</v>
      </c>
      <c r="O649" s="15">
        <f>SalesData[[#This Row],[Quantity Sold]] * SalesData[[#This Row],[Unit Cost]]</f>
        <v>6.99</v>
      </c>
      <c r="P649" s="15">
        <f>SalesData[[#This Row],[Revenue]] - SalesData[[#This Row],[Cost]]</f>
        <v>23.009999999999998</v>
      </c>
      <c r="Q649" s="13">
        <f>IF(SalesData[[#This Row],[Revenue]]=0,0,SalesData[[#This Row],[Profit]]/SalesData[[#This Row],[Revenue]])</f>
        <v>0.7669999999999999</v>
      </c>
      <c r="R649" t="s">
        <v>1069</v>
      </c>
      <c r="S649" t="s">
        <v>1268</v>
      </c>
      <c r="T649" t="str">
        <f>PROPER(SalesData[[#This Row],[Customer Name]])</f>
        <v>Aiden Davis</v>
      </c>
      <c r="U649" t="s">
        <v>1416</v>
      </c>
      <c r="V649" t="s">
        <v>1421</v>
      </c>
    </row>
    <row r="650" spans="1:22" x14ac:dyDescent="0.25">
      <c r="A650" t="s">
        <v>2076</v>
      </c>
      <c r="B650" s="5">
        <v>45524</v>
      </c>
      <c r="C650" s="2" t="str">
        <f>TEXT(SalesData[[#This Row],[Order Date]],"mmm")</f>
        <v>Aug</v>
      </c>
      <c r="D650" s="7">
        <f>MONTH(SalesData[[#This Row],[Order Date]])</f>
        <v>8</v>
      </c>
      <c r="E650" s="7">
        <f>YEAR(SalesData[[#This Row],[Order Date]])</f>
        <v>2024</v>
      </c>
      <c r="F650" t="s">
        <v>673</v>
      </c>
      <c r="G650" t="str">
        <f>PROPER(SalesData[[#This Row],[Product Name]])</f>
        <v>Reusable Bamboo Utensil Set</v>
      </c>
      <c r="H650" t="s">
        <v>1014</v>
      </c>
      <c r="I650" t="str">
        <f>UPPER(SalesData[[#This Row],[Product Category]])</f>
        <v>KITCHENWARE</v>
      </c>
      <c r="J650">
        <v>1</v>
      </c>
      <c r="K650">
        <v>15</v>
      </c>
      <c r="L650" s="15">
        <f>IF(SalesData[[#This Row],[Unit Price]]="",
    AVERAGEIFS(SalesData[Unit Price],
               SalesData[Product Name],SalesData[[#This Row],[Product Name]]),
    SalesData[[#This Row],[Unit Price]])</f>
        <v>15</v>
      </c>
      <c r="M650" s="15">
        <v>4.93</v>
      </c>
      <c r="N650" s="15">
        <f>SalesData[[#This Row],[Quantity Sold]] * SalesData[[#This Row],[Cleaned Unit Price]]</f>
        <v>15</v>
      </c>
      <c r="O650" s="15">
        <f>SalesData[[#This Row],[Quantity Sold]] * SalesData[[#This Row],[Unit Cost]]</f>
        <v>4.93</v>
      </c>
      <c r="P650" s="15">
        <f>SalesData[[#This Row],[Revenue]] - SalesData[[#This Row],[Cost]]</f>
        <v>10.07</v>
      </c>
      <c r="Q650" s="13">
        <f>IF(SalesData[[#This Row],[Revenue]]=0,0,SalesData[[#This Row],[Profit]]/SalesData[[#This Row],[Revenue]])</f>
        <v>0.67133333333333334</v>
      </c>
      <c r="R650" t="s">
        <v>1193</v>
      </c>
      <c r="S650" t="s">
        <v>1392</v>
      </c>
      <c r="T650" t="str">
        <f>PROPER(SalesData[[#This Row],[Customer Name]])</f>
        <v>Harper Davis</v>
      </c>
      <c r="U650" t="s">
        <v>1414</v>
      </c>
      <c r="V650" t="s">
        <v>1420</v>
      </c>
    </row>
    <row r="651" spans="1:22" x14ac:dyDescent="0.25">
      <c r="A651" t="s">
        <v>2077</v>
      </c>
      <c r="B651" s="5">
        <v>45524</v>
      </c>
      <c r="C651" s="2" t="str">
        <f>TEXT(SalesData[[#This Row],[Order Date]],"mmm")</f>
        <v>Aug</v>
      </c>
      <c r="D651" s="7">
        <f>MONTH(SalesData[[#This Row],[Order Date]])</f>
        <v>8</v>
      </c>
      <c r="E651" s="7">
        <f>YEAR(SalesData[[#This Row],[Order Date]])</f>
        <v>2024</v>
      </c>
      <c r="F651" t="s">
        <v>845</v>
      </c>
      <c r="G651" t="str">
        <f>PROPER(SalesData[[#This Row],[Product Name]])</f>
        <v>Biodegradable Cleaning Cloth</v>
      </c>
      <c r="H651" t="s">
        <v>1015</v>
      </c>
      <c r="I651" t="str">
        <f>UPPER(SalesData[[#This Row],[Product Category]])</f>
        <v>CLEANING</v>
      </c>
      <c r="J651">
        <v>2</v>
      </c>
      <c r="K651">
        <v>10</v>
      </c>
      <c r="L651" s="15">
        <f>IF(SalesData[[#This Row],[Unit Price]]="",
    AVERAGEIFS(SalesData[Unit Price],
               SalesData[Product Name],SalesData[[#This Row],[Product Name]]),
    SalesData[[#This Row],[Unit Price]])</f>
        <v>10</v>
      </c>
      <c r="M651" s="15">
        <v>3.11</v>
      </c>
      <c r="N651" s="15">
        <f>SalesData[[#This Row],[Quantity Sold]] * SalesData[[#This Row],[Cleaned Unit Price]]</f>
        <v>20</v>
      </c>
      <c r="O651" s="15">
        <f>SalesData[[#This Row],[Quantity Sold]] * SalesData[[#This Row],[Unit Cost]]</f>
        <v>6.22</v>
      </c>
      <c r="P651" s="15">
        <f>SalesData[[#This Row],[Revenue]] - SalesData[[#This Row],[Cost]]</f>
        <v>13.780000000000001</v>
      </c>
      <c r="Q651" s="13">
        <f>IF(SalesData[[#This Row],[Revenue]]=0,0,SalesData[[#This Row],[Profit]]/SalesData[[#This Row],[Revenue]])</f>
        <v>0.68900000000000006</v>
      </c>
      <c r="R651" t="s">
        <v>1174</v>
      </c>
      <c r="S651" t="s">
        <v>1373</v>
      </c>
      <c r="T651" t="str">
        <f>PROPER(SalesData[[#This Row],[Customer Name]])</f>
        <v>Mason Jones</v>
      </c>
      <c r="U651" t="s">
        <v>1414</v>
      </c>
      <c r="V651" t="s">
        <v>1422</v>
      </c>
    </row>
    <row r="652" spans="1:22" x14ac:dyDescent="0.25">
      <c r="A652" t="s">
        <v>2078</v>
      </c>
      <c r="B652" s="5">
        <v>45524</v>
      </c>
      <c r="C652" s="2" t="str">
        <f>TEXT(SalesData[[#This Row],[Order Date]],"mmm")</f>
        <v>Aug</v>
      </c>
      <c r="D652" s="7">
        <f>MONTH(SalesData[[#This Row],[Order Date]])</f>
        <v>8</v>
      </c>
      <c r="E652" s="7">
        <f>YEAR(SalesData[[#This Row],[Order Date]])</f>
        <v>2024</v>
      </c>
      <c r="F652" t="s">
        <v>856</v>
      </c>
      <c r="G652" t="str">
        <f>PROPER(SalesData[[#This Row],[Product Name]])</f>
        <v>Reusable Bamboo Utensil Set</v>
      </c>
      <c r="H652" t="s">
        <v>1014</v>
      </c>
      <c r="I652" t="str">
        <f>UPPER(SalesData[[#This Row],[Product Category]])</f>
        <v>KITCHENWARE</v>
      </c>
      <c r="J652">
        <v>1</v>
      </c>
      <c r="K652">
        <v>15</v>
      </c>
      <c r="L652" s="15">
        <f>IF(SalesData[[#This Row],[Unit Price]]="",
    AVERAGEIFS(SalesData[Unit Price],
               SalesData[Product Name],SalesData[[#This Row],[Product Name]]),
    SalesData[[#This Row],[Unit Price]])</f>
        <v>15</v>
      </c>
      <c r="M652" s="15">
        <v>4.5599999999999996</v>
      </c>
      <c r="N652" s="15">
        <f>SalesData[[#This Row],[Quantity Sold]] * SalesData[[#This Row],[Cleaned Unit Price]]</f>
        <v>15</v>
      </c>
      <c r="O652" s="15">
        <f>SalesData[[#This Row],[Quantity Sold]] * SalesData[[#This Row],[Unit Cost]]</f>
        <v>4.5599999999999996</v>
      </c>
      <c r="P652" s="15">
        <f>SalesData[[#This Row],[Revenue]] - SalesData[[#This Row],[Cost]]</f>
        <v>10.440000000000001</v>
      </c>
      <c r="Q652" s="13">
        <f>IF(SalesData[[#This Row],[Revenue]]=0,0,SalesData[[#This Row],[Profit]]/SalesData[[#This Row],[Revenue]])</f>
        <v>0.69600000000000006</v>
      </c>
      <c r="R652" t="s">
        <v>1062</v>
      </c>
      <c r="S652" t="s">
        <v>1261</v>
      </c>
      <c r="T652" t="str">
        <f>PROPER(SalesData[[#This Row],[Customer Name]])</f>
        <v>James Brown</v>
      </c>
      <c r="U652" t="s">
        <v>1414</v>
      </c>
      <c r="V652" t="s">
        <v>1426</v>
      </c>
    </row>
    <row r="653" spans="1:22" x14ac:dyDescent="0.25">
      <c r="A653" t="s">
        <v>2079</v>
      </c>
      <c r="B653" s="5">
        <v>45524</v>
      </c>
      <c r="C653" s="2" t="str">
        <f>TEXT(SalesData[[#This Row],[Order Date]],"mmm")</f>
        <v>Aug</v>
      </c>
      <c r="D653" s="7">
        <f>MONTH(SalesData[[#This Row],[Order Date]])</f>
        <v>8</v>
      </c>
      <c r="E653" s="7">
        <f>YEAR(SalesData[[#This Row],[Order Date]])</f>
        <v>2024</v>
      </c>
      <c r="F653" t="s">
        <v>878</v>
      </c>
      <c r="G653" t="str">
        <f>PROPER(SalesData[[#This Row],[Product Name]])</f>
        <v>Reusable Bamboo Utensil Set</v>
      </c>
      <c r="H653" t="s">
        <v>1014</v>
      </c>
      <c r="I653" t="str">
        <f>UPPER(SalesData[[#This Row],[Product Category]])</f>
        <v>KITCHENWARE</v>
      </c>
      <c r="J653">
        <v>1</v>
      </c>
      <c r="K653">
        <v>15</v>
      </c>
      <c r="L653" s="15">
        <f>IF(SalesData[[#This Row],[Unit Price]]="",
    AVERAGEIFS(SalesData[Unit Price],
               SalesData[Product Name],SalesData[[#This Row],[Product Name]]),
    SalesData[[#This Row],[Unit Price]])</f>
        <v>15</v>
      </c>
      <c r="M653" s="15">
        <v>4.25</v>
      </c>
      <c r="N653" s="15">
        <f>SalesData[[#This Row],[Quantity Sold]] * SalesData[[#This Row],[Cleaned Unit Price]]</f>
        <v>15</v>
      </c>
      <c r="O653" s="15">
        <f>SalesData[[#This Row],[Quantity Sold]] * SalesData[[#This Row],[Unit Cost]]</f>
        <v>4.25</v>
      </c>
      <c r="P653" s="15">
        <f>SalesData[[#This Row],[Revenue]] - SalesData[[#This Row],[Cost]]</f>
        <v>10.75</v>
      </c>
      <c r="Q653" s="13">
        <f>IF(SalesData[[#This Row],[Revenue]]=0,0,SalesData[[#This Row],[Profit]]/SalesData[[#This Row],[Revenue]])</f>
        <v>0.71666666666666667</v>
      </c>
      <c r="R653" t="s">
        <v>1142</v>
      </c>
      <c r="S653" t="s">
        <v>1341</v>
      </c>
      <c r="T653" t="str">
        <f>PROPER(SalesData[[#This Row],[Customer Name]])</f>
        <v>Lucas Garcia</v>
      </c>
      <c r="U653" t="s">
        <v>1414</v>
      </c>
      <c r="V653" t="s">
        <v>1422</v>
      </c>
    </row>
    <row r="654" spans="1:22" x14ac:dyDescent="0.25">
      <c r="A654" t="s">
        <v>2080</v>
      </c>
      <c r="B654" s="5">
        <v>45524</v>
      </c>
      <c r="C654" s="2" t="str">
        <f>TEXT(SalesData[[#This Row],[Order Date]],"mmm")</f>
        <v>Aug</v>
      </c>
      <c r="D654" s="7">
        <f>MONTH(SalesData[[#This Row],[Order Date]])</f>
        <v>8</v>
      </c>
      <c r="E654" s="7">
        <f>YEAR(SalesData[[#This Row],[Order Date]])</f>
        <v>2024</v>
      </c>
      <c r="F654" t="s">
        <v>946</v>
      </c>
      <c r="G654" t="str">
        <f>PROPER(SalesData[[#This Row],[Product Name]])</f>
        <v>Solar Led Lantern</v>
      </c>
      <c r="H654" t="s">
        <v>1012</v>
      </c>
      <c r="I654" t="str">
        <f>UPPER(SalesData[[#This Row],[Product Category]])</f>
        <v>LIGHTING</v>
      </c>
      <c r="J654">
        <v>3</v>
      </c>
      <c r="K654">
        <v>40</v>
      </c>
      <c r="L654" s="15">
        <f>IF(SalesData[[#This Row],[Unit Price]]="",
    AVERAGEIFS(SalesData[Unit Price],
               SalesData[Product Name],SalesData[[#This Row],[Product Name]]),
    SalesData[[#This Row],[Unit Price]])</f>
        <v>40</v>
      </c>
      <c r="M654" s="15">
        <v>15.7</v>
      </c>
      <c r="N654" s="15">
        <f>SalesData[[#This Row],[Quantity Sold]] * SalesData[[#This Row],[Cleaned Unit Price]]</f>
        <v>120</v>
      </c>
      <c r="O654" s="15">
        <f>SalesData[[#This Row],[Quantity Sold]] * SalesData[[#This Row],[Unit Cost]]</f>
        <v>47.099999999999994</v>
      </c>
      <c r="P654" s="15">
        <f>SalesData[[#This Row],[Revenue]] - SalesData[[#This Row],[Cost]]</f>
        <v>72.900000000000006</v>
      </c>
      <c r="Q654" s="13">
        <f>IF(SalesData[[#This Row],[Revenue]]=0,0,SalesData[[#This Row],[Profit]]/SalesData[[#This Row],[Revenue]])</f>
        <v>0.60750000000000004</v>
      </c>
      <c r="R654" t="s">
        <v>1136</v>
      </c>
      <c r="S654" t="s">
        <v>1335</v>
      </c>
      <c r="T654" t="str">
        <f>PROPER(SalesData[[#This Row],[Customer Name]])</f>
        <v>Logan Smith</v>
      </c>
      <c r="U654" t="s">
        <v>1416</v>
      </c>
      <c r="V654" t="s">
        <v>1426</v>
      </c>
    </row>
    <row r="655" spans="1:22" x14ac:dyDescent="0.25">
      <c r="A655" t="s">
        <v>2081</v>
      </c>
      <c r="B655" s="5">
        <v>45525</v>
      </c>
      <c r="C655" s="2" t="str">
        <f>TEXT(SalesData[[#This Row],[Order Date]],"mmm")</f>
        <v>Aug</v>
      </c>
      <c r="D655" s="7">
        <f>MONTH(SalesData[[#This Row],[Order Date]])</f>
        <v>8</v>
      </c>
      <c r="E655" s="7">
        <f>YEAR(SalesData[[#This Row],[Order Date]])</f>
        <v>2024</v>
      </c>
      <c r="F655" t="s">
        <v>981</v>
      </c>
      <c r="G655" t="str">
        <f>PROPER(SalesData[[#This Row],[Product Name]])</f>
        <v>Compostable Plant Pots</v>
      </c>
      <c r="H655" t="s">
        <v>1011</v>
      </c>
      <c r="I655" t="str">
        <f>UPPER(SalesData[[#This Row],[Product Category]])</f>
        <v>GARDENING</v>
      </c>
      <c r="J655">
        <v>1</v>
      </c>
      <c r="K655">
        <v>12</v>
      </c>
      <c r="L655" s="15">
        <f>IF(SalesData[[#This Row],[Unit Price]]="",
    AVERAGEIFS(SalesData[Unit Price],
               SalesData[Product Name],SalesData[[#This Row],[Product Name]]),
    SalesData[[#This Row],[Unit Price]])</f>
        <v>12</v>
      </c>
      <c r="M655" s="15">
        <v>3.08</v>
      </c>
      <c r="N655" s="15">
        <f>SalesData[[#This Row],[Quantity Sold]] * SalesData[[#This Row],[Cleaned Unit Price]]</f>
        <v>12</v>
      </c>
      <c r="O655" s="15">
        <f>SalesData[[#This Row],[Quantity Sold]] * SalesData[[#This Row],[Unit Cost]]</f>
        <v>3.08</v>
      </c>
      <c r="P655" s="15">
        <f>SalesData[[#This Row],[Revenue]] - SalesData[[#This Row],[Cost]]</f>
        <v>8.92</v>
      </c>
      <c r="Q655" s="13">
        <f>IF(SalesData[[#This Row],[Revenue]]=0,0,SalesData[[#This Row],[Profit]]/SalesData[[#This Row],[Revenue]])</f>
        <v>0.74333333333333329</v>
      </c>
      <c r="R655" t="s">
        <v>1128</v>
      </c>
      <c r="S655" t="s">
        <v>1327</v>
      </c>
      <c r="T655" t="str">
        <f>PROPER(SalesData[[#This Row],[Customer Name]])</f>
        <v>Ethan Williams</v>
      </c>
      <c r="U655" t="s">
        <v>1414</v>
      </c>
      <c r="V655" t="s">
        <v>1419</v>
      </c>
    </row>
    <row r="656" spans="1:22" x14ac:dyDescent="0.25">
      <c r="A656" t="s">
        <v>2082</v>
      </c>
      <c r="B656" s="5">
        <v>45526</v>
      </c>
      <c r="C656" s="2" t="str">
        <f>TEXT(SalesData[[#This Row],[Order Date]],"mmm")</f>
        <v>Aug</v>
      </c>
      <c r="D656" s="7">
        <f>MONTH(SalesData[[#This Row],[Order Date]])</f>
        <v>8</v>
      </c>
      <c r="E656" s="7">
        <f>YEAR(SalesData[[#This Row],[Order Date]])</f>
        <v>2024</v>
      </c>
      <c r="F656" t="s">
        <v>229</v>
      </c>
      <c r="G656" t="str">
        <f>PROPER(SalesData[[#This Row],[Product Name]])</f>
        <v>Solar Led Lantern</v>
      </c>
      <c r="H656" t="s">
        <v>1012</v>
      </c>
      <c r="I656" t="str">
        <f>UPPER(SalesData[[#This Row],[Product Category]])</f>
        <v>LIGHTING</v>
      </c>
      <c r="J656">
        <v>8</v>
      </c>
      <c r="K656">
        <v>40</v>
      </c>
      <c r="L656" s="15">
        <f>IF(SalesData[[#This Row],[Unit Price]]="",
    AVERAGEIFS(SalesData[Unit Price],
               SalesData[Product Name],SalesData[[#This Row],[Product Name]]),
    SalesData[[#This Row],[Unit Price]])</f>
        <v>40</v>
      </c>
      <c r="M656" s="15">
        <v>14.45</v>
      </c>
      <c r="N656" s="15">
        <f>SalesData[[#This Row],[Quantity Sold]] * SalesData[[#This Row],[Cleaned Unit Price]]</f>
        <v>320</v>
      </c>
      <c r="O656" s="15">
        <f>SalesData[[#This Row],[Quantity Sold]] * SalesData[[#This Row],[Unit Cost]]</f>
        <v>115.6</v>
      </c>
      <c r="P656" s="15">
        <f>SalesData[[#This Row],[Revenue]] - SalesData[[#This Row],[Cost]]</f>
        <v>204.4</v>
      </c>
      <c r="Q656" s="13">
        <f>IF(SalesData[[#This Row],[Revenue]]=0,0,SalesData[[#This Row],[Profit]]/SalesData[[#This Row],[Revenue]])</f>
        <v>0.63875000000000004</v>
      </c>
      <c r="R656" t="s">
        <v>1150</v>
      </c>
      <c r="S656" t="s">
        <v>1349</v>
      </c>
      <c r="T656" t="str">
        <f>PROPER(SalesData[[#This Row],[Customer Name]])</f>
        <v>Mia Davis</v>
      </c>
      <c r="U656" t="s">
        <v>1416</v>
      </c>
      <c r="V656" t="s">
        <v>1422</v>
      </c>
    </row>
    <row r="657" spans="1:22" x14ac:dyDescent="0.25">
      <c r="A657" t="s">
        <v>2083</v>
      </c>
      <c r="B657" s="5">
        <v>45526</v>
      </c>
      <c r="C657" s="2" t="str">
        <f>TEXT(SalesData[[#This Row],[Order Date]],"mmm")</f>
        <v>Aug</v>
      </c>
      <c r="D657" s="7">
        <f>MONTH(SalesData[[#This Row],[Order Date]])</f>
        <v>8</v>
      </c>
      <c r="E657" s="7">
        <f>YEAR(SalesData[[#This Row],[Order Date]])</f>
        <v>2024</v>
      </c>
      <c r="F657" t="s">
        <v>554</v>
      </c>
      <c r="G657" t="str">
        <f>PROPER(SalesData[[#This Row],[Product Name]])</f>
        <v>Reusable Bamboo Utensil Set</v>
      </c>
      <c r="H657" t="s">
        <v>1014</v>
      </c>
      <c r="I657" t="str">
        <f>UPPER(SalesData[[#This Row],[Product Category]])</f>
        <v>KITCHENWARE</v>
      </c>
      <c r="J657">
        <v>6</v>
      </c>
      <c r="K657">
        <v>15</v>
      </c>
      <c r="L657" s="15">
        <f>IF(SalesData[[#This Row],[Unit Price]]="",
    AVERAGEIFS(SalesData[Unit Price],
               SalesData[Product Name],SalesData[[#This Row],[Product Name]]),
    SalesData[[#This Row],[Unit Price]])</f>
        <v>15</v>
      </c>
      <c r="M657" s="15">
        <v>3.14</v>
      </c>
      <c r="N657" s="15">
        <f>SalesData[[#This Row],[Quantity Sold]] * SalesData[[#This Row],[Cleaned Unit Price]]</f>
        <v>90</v>
      </c>
      <c r="O657" s="15">
        <f>SalesData[[#This Row],[Quantity Sold]] * SalesData[[#This Row],[Unit Cost]]</f>
        <v>18.84</v>
      </c>
      <c r="P657" s="15">
        <f>SalesData[[#This Row],[Revenue]] - SalesData[[#This Row],[Cost]]</f>
        <v>71.16</v>
      </c>
      <c r="Q657" s="13">
        <f>IF(SalesData[[#This Row],[Revenue]]=0,0,SalesData[[#This Row],[Profit]]/SalesData[[#This Row],[Revenue]])</f>
        <v>0.79066666666666663</v>
      </c>
      <c r="R657" t="s">
        <v>1027</v>
      </c>
      <c r="S657" t="s">
        <v>1226</v>
      </c>
      <c r="T657" t="str">
        <f>PROPER(SalesData[[#This Row],[Customer Name]])</f>
        <v>Lucas Rodriguez</v>
      </c>
      <c r="U657" t="s">
        <v>1415</v>
      </c>
      <c r="V657" t="s">
        <v>1421</v>
      </c>
    </row>
    <row r="658" spans="1:22" x14ac:dyDescent="0.25">
      <c r="A658" t="s">
        <v>2084</v>
      </c>
      <c r="B658" s="5">
        <v>45526</v>
      </c>
      <c r="C658" s="2" t="str">
        <f>TEXT(SalesData[[#This Row],[Order Date]],"mmm")</f>
        <v>Aug</v>
      </c>
      <c r="D658" s="7">
        <f>MONTH(SalesData[[#This Row],[Order Date]])</f>
        <v>8</v>
      </c>
      <c r="E658" s="7">
        <f>YEAR(SalesData[[#This Row],[Order Date]])</f>
        <v>2024</v>
      </c>
      <c r="F658" t="s">
        <v>912</v>
      </c>
      <c r="G658" t="str">
        <f>PROPER(SalesData[[#This Row],[Product Name]])</f>
        <v>Biodegradable Cleaning Cloth</v>
      </c>
      <c r="H658" t="s">
        <v>1015</v>
      </c>
      <c r="I658" t="str">
        <f>UPPER(SalesData[[#This Row],[Product Category]])</f>
        <v>CLEANING</v>
      </c>
      <c r="J658">
        <v>2</v>
      </c>
      <c r="K658">
        <v>10</v>
      </c>
      <c r="L658" s="15">
        <f>IF(SalesData[[#This Row],[Unit Price]]="",
    AVERAGEIFS(SalesData[Unit Price],
               SalesData[Product Name],SalesData[[#This Row],[Product Name]]),
    SalesData[[#This Row],[Unit Price]])</f>
        <v>10</v>
      </c>
      <c r="M658" s="15">
        <v>3.83</v>
      </c>
      <c r="N658" s="15">
        <f>SalesData[[#This Row],[Quantity Sold]] * SalesData[[#This Row],[Cleaned Unit Price]]</f>
        <v>20</v>
      </c>
      <c r="O658" s="15">
        <f>SalesData[[#This Row],[Quantity Sold]] * SalesData[[#This Row],[Unit Cost]]</f>
        <v>7.66</v>
      </c>
      <c r="P658" s="15">
        <f>SalesData[[#This Row],[Revenue]] - SalesData[[#This Row],[Cost]]</f>
        <v>12.34</v>
      </c>
      <c r="Q658" s="13">
        <f>IF(SalesData[[#This Row],[Revenue]]=0,0,SalesData[[#This Row],[Profit]]/SalesData[[#This Row],[Revenue]])</f>
        <v>0.61699999999999999</v>
      </c>
      <c r="R658" t="s">
        <v>1026</v>
      </c>
      <c r="S658" t="s">
        <v>1225</v>
      </c>
      <c r="T658" t="str">
        <f>PROPER(SalesData[[#This Row],[Customer Name]])</f>
        <v>Evelyn Martinez</v>
      </c>
      <c r="U658" t="s">
        <v>1414</v>
      </c>
      <c r="V658" t="s">
        <v>1423</v>
      </c>
    </row>
    <row r="659" spans="1:22" x14ac:dyDescent="0.25">
      <c r="A659" t="s">
        <v>2085</v>
      </c>
      <c r="B659" s="5">
        <v>45527</v>
      </c>
      <c r="C659" s="2" t="str">
        <f>TEXT(SalesData[[#This Row],[Order Date]],"mmm")</f>
        <v>Aug</v>
      </c>
      <c r="D659" s="7">
        <f>MONTH(SalesData[[#This Row],[Order Date]])</f>
        <v>8</v>
      </c>
      <c r="E659" s="7">
        <f>YEAR(SalesData[[#This Row],[Order Date]])</f>
        <v>2024</v>
      </c>
      <c r="F659" t="s">
        <v>34</v>
      </c>
      <c r="G659" t="str">
        <f>PROPER(SalesData[[#This Row],[Product Name]])</f>
        <v>Solar Led Lantern</v>
      </c>
      <c r="H659" t="s">
        <v>1012</v>
      </c>
      <c r="I659" t="str">
        <f>UPPER(SalesData[[#This Row],[Product Category]])</f>
        <v>LIGHTING</v>
      </c>
      <c r="J659">
        <v>6</v>
      </c>
      <c r="K659">
        <v>40</v>
      </c>
      <c r="L659" s="15">
        <f>IF(SalesData[[#This Row],[Unit Price]]="",
    AVERAGEIFS(SalesData[Unit Price],
               SalesData[Product Name],SalesData[[#This Row],[Product Name]]),
    SalesData[[#This Row],[Unit Price]])</f>
        <v>40</v>
      </c>
      <c r="M659" s="15">
        <v>8.43</v>
      </c>
      <c r="N659" s="15">
        <f>SalesData[[#This Row],[Quantity Sold]] * SalesData[[#This Row],[Cleaned Unit Price]]</f>
        <v>240</v>
      </c>
      <c r="O659" s="15">
        <f>SalesData[[#This Row],[Quantity Sold]] * SalesData[[#This Row],[Unit Cost]]</f>
        <v>50.58</v>
      </c>
      <c r="P659" s="15">
        <f>SalesData[[#This Row],[Revenue]] - SalesData[[#This Row],[Cost]]</f>
        <v>189.42000000000002</v>
      </c>
      <c r="Q659" s="13">
        <f>IF(SalesData[[#This Row],[Revenue]]=0,0,SalesData[[#This Row],[Profit]]/SalesData[[#This Row],[Revenue]])</f>
        <v>0.78925000000000012</v>
      </c>
      <c r="R659" t="s">
        <v>1036</v>
      </c>
      <c r="S659" t="s">
        <v>1235</v>
      </c>
      <c r="T659" t="str">
        <f>PROPER(SalesData[[#This Row],[Customer Name]])</f>
        <v>Amelia Johnson</v>
      </c>
      <c r="U659" t="s">
        <v>1414</v>
      </c>
      <c r="V659" t="s">
        <v>1421</v>
      </c>
    </row>
    <row r="660" spans="1:22" x14ac:dyDescent="0.25">
      <c r="A660" t="s">
        <v>2086</v>
      </c>
      <c r="B660" s="5">
        <v>45527</v>
      </c>
      <c r="C660" s="2" t="str">
        <f>TEXT(SalesData[[#This Row],[Order Date]],"mmm")</f>
        <v>Aug</v>
      </c>
      <c r="D660" s="7">
        <f>MONTH(SalesData[[#This Row],[Order Date]])</f>
        <v>8</v>
      </c>
      <c r="E660" s="7">
        <f>YEAR(SalesData[[#This Row],[Order Date]])</f>
        <v>2024</v>
      </c>
      <c r="F660" t="s">
        <v>217</v>
      </c>
      <c r="G660" t="str">
        <f>PROPER(SalesData[[#This Row],[Product Name]])</f>
        <v>Eco Canvas Tote Bag</v>
      </c>
      <c r="H660" t="s">
        <v>1013</v>
      </c>
      <c r="I660" t="str">
        <f>UPPER(SalesData[[#This Row],[Product Category]])</f>
        <v>BAGS</v>
      </c>
      <c r="J660">
        <v>6</v>
      </c>
      <c r="K660">
        <v>25</v>
      </c>
      <c r="L660" s="15">
        <f>IF(SalesData[[#This Row],[Unit Price]]="",
    AVERAGEIFS(SalesData[Unit Price],
               SalesData[Product Name],SalesData[[#This Row],[Product Name]]),
    SalesData[[#This Row],[Unit Price]])</f>
        <v>25</v>
      </c>
      <c r="M660" s="15">
        <v>6.23</v>
      </c>
      <c r="N660" s="15">
        <f>SalesData[[#This Row],[Quantity Sold]] * SalesData[[#This Row],[Cleaned Unit Price]]</f>
        <v>150</v>
      </c>
      <c r="O660" s="15">
        <f>SalesData[[#This Row],[Quantity Sold]] * SalesData[[#This Row],[Unit Cost]]</f>
        <v>37.380000000000003</v>
      </c>
      <c r="P660" s="15">
        <f>SalesData[[#This Row],[Revenue]] - SalesData[[#This Row],[Cost]]</f>
        <v>112.62</v>
      </c>
      <c r="Q660" s="13">
        <f>IF(SalesData[[#This Row],[Revenue]]=0,0,SalesData[[#This Row],[Profit]]/SalesData[[#This Row],[Revenue]])</f>
        <v>0.75080000000000002</v>
      </c>
      <c r="R660" t="s">
        <v>1102</v>
      </c>
      <c r="S660" t="s">
        <v>1301</v>
      </c>
      <c r="T660" t="str">
        <f>PROPER(SalesData[[#This Row],[Customer Name]])</f>
        <v>Aiden Garcia</v>
      </c>
      <c r="U660" t="s">
        <v>1414</v>
      </c>
      <c r="V660" t="s">
        <v>1422</v>
      </c>
    </row>
    <row r="661" spans="1:22" x14ac:dyDescent="0.25">
      <c r="A661" t="s">
        <v>2087</v>
      </c>
      <c r="B661" s="5">
        <v>45527</v>
      </c>
      <c r="C661" s="2" t="str">
        <f>TEXT(SalesData[[#This Row],[Order Date]],"mmm")</f>
        <v>Aug</v>
      </c>
      <c r="D661" s="7">
        <f>MONTH(SalesData[[#This Row],[Order Date]])</f>
        <v>8</v>
      </c>
      <c r="E661" s="7">
        <f>YEAR(SalesData[[#This Row],[Order Date]])</f>
        <v>2024</v>
      </c>
      <c r="F661" t="s">
        <v>333</v>
      </c>
      <c r="G661" t="str">
        <f>PROPER(SalesData[[#This Row],[Product Name]])</f>
        <v>Compostable Plant Pots</v>
      </c>
      <c r="H661" t="s">
        <v>1011</v>
      </c>
      <c r="I661" t="str">
        <f>UPPER(SalesData[[#This Row],[Product Category]])</f>
        <v>GARDENING</v>
      </c>
      <c r="J661">
        <v>8</v>
      </c>
      <c r="K661">
        <v>12</v>
      </c>
      <c r="L661" s="15">
        <f>IF(SalesData[[#This Row],[Unit Price]]="",
    AVERAGEIFS(SalesData[Unit Price],
               SalesData[Product Name],SalesData[[#This Row],[Product Name]]),
    SalesData[[#This Row],[Unit Price]])</f>
        <v>12</v>
      </c>
      <c r="M661" s="15">
        <v>4.07</v>
      </c>
      <c r="N661" s="15">
        <f>SalesData[[#This Row],[Quantity Sold]] * SalesData[[#This Row],[Cleaned Unit Price]]</f>
        <v>96</v>
      </c>
      <c r="O661" s="15">
        <f>SalesData[[#This Row],[Quantity Sold]] * SalesData[[#This Row],[Unit Cost]]</f>
        <v>32.56</v>
      </c>
      <c r="P661" s="15">
        <f>SalesData[[#This Row],[Revenue]] - SalesData[[#This Row],[Cost]]</f>
        <v>63.44</v>
      </c>
      <c r="Q661" s="13">
        <f>IF(SalesData[[#This Row],[Revenue]]=0,0,SalesData[[#This Row],[Profit]]/SalesData[[#This Row],[Revenue]])</f>
        <v>0.66083333333333327</v>
      </c>
      <c r="R661" t="s">
        <v>1075</v>
      </c>
      <c r="S661" t="s">
        <v>1274</v>
      </c>
      <c r="T661" t="str">
        <f>PROPER(SalesData[[#This Row],[Customer Name]])</f>
        <v>Oliver Johnson</v>
      </c>
      <c r="U661" t="s">
        <v>1414</v>
      </c>
      <c r="V661" t="s">
        <v>1420</v>
      </c>
    </row>
    <row r="662" spans="1:22" x14ac:dyDescent="0.25">
      <c r="A662" t="s">
        <v>2088</v>
      </c>
      <c r="B662" s="5">
        <v>45527</v>
      </c>
      <c r="C662" s="2" t="str">
        <f>TEXT(SalesData[[#This Row],[Order Date]],"mmm")</f>
        <v>Aug</v>
      </c>
      <c r="D662" s="7">
        <f>MONTH(SalesData[[#This Row],[Order Date]])</f>
        <v>8</v>
      </c>
      <c r="E662" s="7">
        <f>YEAR(SalesData[[#This Row],[Order Date]])</f>
        <v>2024</v>
      </c>
      <c r="F662" t="s">
        <v>743</v>
      </c>
      <c r="G662" t="str">
        <f>PROPER(SalesData[[#This Row],[Product Name]])</f>
        <v>Biodegradable Cleaning Cloth</v>
      </c>
      <c r="H662" t="s">
        <v>1015</v>
      </c>
      <c r="I662" t="str">
        <f>UPPER(SalesData[[#This Row],[Product Category]])</f>
        <v>CLEANING</v>
      </c>
      <c r="J662">
        <v>6</v>
      </c>
      <c r="K662">
        <v>10</v>
      </c>
      <c r="L662" s="15">
        <f>IF(SalesData[[#This Row],[Unit Price]]="",
    AVERAGEIFS(SalesData[Unit Price],
               SalesData[Product Name],SalesData[[#This Row],[Product Name]]),
    SalesData[[#This Row],[Unit Price]])</f>
        <v>10</v>
      </c>
      <c r="M662" s="15">
        <v>2.44</v>
      </c>
      <c r="N662" s="15">
        <f>SalesData[[#This Row],[Quantity Sold]] * SalesData[[#This Row],[Cleaned Unit Price]]</f>
        <v>60</v>
      </c>
      <c r="O662" s="15">
        <f>SalesData[[#This Row],[Quantity Sold]] * SalesData[[#This Row],[Unit Cost]]</f>
        <v>14.64</v>
      </c>
      <c r="P662" s="15">
        <f>SalesData[[#This Row],[Revenue]] - SalesData[[#This Row],[Cost]]</f>
        <v>45.36</v>
      </c>
      <c r="Q662" s="13">
        <f>IF(SalesData[[#This Row],[Revenue]]=0,0,SalesData[[#This Row],[Profit]]/SalesData[[#This Row],[Revenue]])</f>
        <v>0.75600000000000001</v>
      </c>
      <c r="R662" t="s">
        <v>1212</v>
      </c>
      <c r="S662" t="s">
        <v>1411</v>
      </c>
      <c r="T662" t="str">
        <f>PROPER(SalesData[[#This Row],[Customer Name]])</f>
        <v>Logan Jones</v>
      </c>
      <c r="U662" t="s">
        <v>1414</v>
      </c>
      <c r="V662" t="s">
        <v>1422</v>
      </c>
    </row>
    <row r="663" spans="1:22" x14ac:dyDescent="0.25">
      <c r="A663" t="s">
        <v>2089</v>
      </c>
      <c r="B663" s="5">
        <v>45527</v>
      </c>
      <c r="C663" s="2" t="str">
        <f>TEXT(SalesData[[#This Row],[Order Date]],"mmm")</f>
        <v>Aug</v>
      </c>
      <c r="D663" s="7">
        <f>MONTH(SalesData[[#This Row],[Order Date]])</f>
        <v>8</v>
      </c>
      <c r="E663" s="7">
        <f>YEAR(SalesData[[#This Row],[Order Date]])</f>
        <v>2024</v>
      </c>
      <c r="F663" t="s">
        <v>853</v>
      </c>
      <c r="G663" t="str">
        <f>PROPER(SalesData[[#This Row],[Product Name]])</f>
        <v>Eco Canvas Tote Bag</v>
      </c>
      <c r="H663" t="s">
        <v>1013</v>
      </c>
      <c r="I663" t="str">
        <f>UPPER(SalesData[[#This Row],[Product Category]])</f>
        <v>BAGS</v>
      </c>
      <c r="J663">
        <v>1</v>
      </c>
      <c r="K663">
        <v>25</v>
      </c>
      <c r="L663" s="15">
        <f>IF(SalesData[[#This Row],[Unit Price]]="",
    AVERAGEIFS(SalesData[Unit Price],
               SalesData[Product Name],SalesData[[#This Row],[Product Name]]),
    SalesData[[#This Row],[Unit Price]])</f>
        <v>25</v>
      </c>
      <c r="M663" s="15">
        <v>6.31</v>
      </c>
      <c r="N663" s="15">
        <f>SalesData[[#This Row],[Quantity Sold]] * SalesData[[#This Row],[Cleaned Unit Price]]</f>
        <v>25</v>
      </c>
      <c r="O663" s="15">
        <f>SalesData[[#This Row],[Quantity Sold]] * SalesData[[#This Row],[Unit Cost]]</f>
        <v>6.31</v>
      </c>
      <c r="P663" s="15">
        <f>SalesData[[#This Row],[Revenue]] - SalesData[[#This Row],[Cost]]</f>
        <v>18.690000000000001</v>
      </c>
      <c r="Q663" s="13">
        <f>IF(SalesData[[#This Row],[Revenue]]=0,0,SalesData[[#This Row],[Profit]]/SalesData[[#This Row],[Revenue]])</f>
        <v>0.74760000000000004</v>
      </c>
      <c r="R663" t="s">
        <v>1155</v>
      </c>
      <c r="S663" t="s">
        <v>1354</v>
      </c>
      <c r="T663" t="str">
        <f>PROPER(SalesData[[#This Row],[Customer Name]])</f>
        <v>Oliver Jones</v>
      </c>
      <c r="U663" t="s">
        <v>1414</v>
      </c>
      <c r="V663" t="s">
        <v>1426</v>
      </c>
    </row>
    <row r="664" spans="1:22" x14ac:dyDescent="0.25">
      <c r="A664" t="s">
        <v>2090</v>
      </c>
      <c r="B664" s="5">
        <v>45528</v>
      </c>
      <c r="C664" s="2" t="str">
        <f>TEXT(SalesData[[#This Row],[Order Date]],"mmm")</f>
        <v>Aug</v>
      </c>
      <c r="D664" s="7">
        <f>MONTH(SalesData[[#This Row],[Order Date]])</f>
        <v>8</v>
      </c>
      <c r="E664" s="7">
        <f>YEAR(SalesData[[#This Row],[Order Date]])</f>
        <v>2024</v>
      </c>
      <c r="F664" t="s">
        <v>135</v>
      </c>
      <c r="G664" t="str">
        <f>PROPER(SalesData[[#This Row],[Product Name]])</f>
        <v>Eco Canvas Tote Bag</v>
      </c>
      <c r="H664" t="s">
        <v>1013</v>
      </c>
      <c r="I664" t="str">
        <f>UPPER(SalesData[[#This Row],[Product Category]])</f>
        <v>BAGS</v>
      </c>
      <c r="J664">
        <v>5</v>
      </c>
      <c r="K664">
        <v>25</v>
      </c>
      <c r="L664" s="15">
        <f>IF(SalesData[[#This Row],[Unit Price]]="",
    AVERAGEIFS(SalesData[Unit Price],
               SalesData[Product Name],SalesData[[#This Row],[Product Name]]),
    SalesData[[#This Row],[Unit Price]])</f>
        <v>25</v>
      </c>
      <c r="M664" s="15">
        <v>7.47</v>
      </c>
      <c r="N664" s="15">
        <f>SalesData[[#This Row],[Quantity Sold]] * SalesData[[#This Row],[Cleaned Unit Price]]</f>
        <v>125</v>
      </c>
      <c r="O664" s="15">
        <f>SalesData[[#This Row],[Quantity Sold]] * SalesData[[#This Row],[Unit Cost]]</f>
        <v>37.35</v>
      </c>
      <c r="P664" s="15">
        <f>SalesData[[#This Row],[Revenue]] - SalesData[[#This Row],[Cost]]</f>
        <v>87.65</v>
      </c>
      <c r="Q664" s="13">
        <f>IF(SalesData[[#This Row],[Revenue]]=0,0,SalesData[[#This Row],[Profit]]/SalesData[[#This Row],[Revenue]])</f>
        <v>0.70120000000000005</v>
      </c>
      <c r="R664" t="s">
        <v>1040</v>
      </c>
      <c r="S664" t="s">
        <v>1239</v>
      </c>
      <c r="T664" t="str">
        <f>PROPER(SalesData[[#This Row],[Customer Name]])</f>
        <v>Ethan Rodriguez</v>
      </c>
      <c r="U664" t="s">
        <v>1414</v>
      </c>
      <c r="V664" t="s">
        <v>1419</v>
      </c>
    </row>
    <row r="665" spans="1:22" x14ac:dyDescent="0.25">
      <c r="A665" t="s">
        <v>2091</v>
      </c>
      <c r="B665" s="5">
        <v>45528</v>
      </c>
      <c r="C665" s="2" t="str">
        <f>TEXT(SalesData[[#This Row],[Order Date]],"mmm")</f>
        <v>Aug</v>
      </c>
      <c r="D665" s="7">
        <f>MONTH(SalesData[[#This Row],[Order Date]])</f>
        <v>8</v>
      </c>
      <c r="E665" s="7">
        <f>YEAR(SalesData[[#This Row],[Order Date]])</f>
        <v>2024</v>
      </c>
      <c r="F665" t="s">
        <v>264</v>
      </c>
      <c r="G665" t="str">
        <f>PROPER(SalesData[[#This Row],[Product Name]])</f>
        <v>Reusable Bamboo Utensil Set</v>
      </c>
      <c r="H665" t="s">
        <v>1014</v>
      </c>
      <c r="I665" t="str">
        <f>UPPER(SalesData[[#This Row],[Product Category]])</f>
        <v>KITCHENWARE</v>
      </c>
      <c r="J665">
        <v>3</v>
      </c>
      <c r="K665">
        <v>15</v>
      </c>
      <c r="L665" s="15">
        <f>IF(SalesData[[#This Row],[Unit Price]]="",
    AVERAGEIFS(SalesData[Unit Price],
               SalesData[Product Name],SalesData[[#This Row],[Product Name]]),
    SalesData[[#This Row],[Unit Price]])</f>
        <v>15</v>
      </c>
      <c r="M665" s="15">
        <v>5.58</v>
      </c>
      <c r="N665" s="15">
        <f>SalesData[[#This Row],[Quantity Sold]] * SalesData[[#This Row],[Cleaned Unit Price]]</f>
        <v>45</v>
      </c>
      <c r="O665" s="15">
        <f>SalesData[[#This Row],[Quantity Sold]] * SalesData[[#This Row],[Unit Cost]]</f>
        <v>16.740000000000002</v>
      </c>
      <c r="P665" s="15">
        <f>SalesData[[#This Row],[Revenue]] - SalesData[[#This Row],[Cost]]</f>
        <v>28.259999999999998</v>
      </c>
      <c r="Q665" s="13">
        <f>IF(SalesData[[#This Row],[Revenue]]=0,0,SalesData[[#This Row],[Profit]]/SalesData[[#This Row],[Revenue]])</f>
        <v>0.628</v>
      </c>
      <c r="R665" t="s">
        <v>1159</v>
      </c>
      <c r="S665" t="s">
        <v>1358</v>
      </c>
      <c r="T665" t="str">
        <f>PROPER(SalesData[[#This Row],[Customer Name]])</f>
        <v>Sophia Rodriguez</v>
      </c>
      <c r="U665" t="s">
        <v>1414</v>
      </c>
      <c r="V665" t="s">
        <v>1418</v>
      </c>
    </row>
    <row r="666" spans="1:22" x14ac:dyDescent="0.25">
      <c r="A666" t="s">
        <v>2092</v>
      </c>
      <c r="B666" s="5">
        <v>45528</v>
      </c>
      <c r="C666" s="2" t="str">
        <f>TEXT(SalesData[[#This Row],[Order Date]],"mmm")</f>
        <v>Aug</v>
      </c>
      <c r="D666" s="7">
        <f>MONTH(SalesData[[#This Row],[Order Date]])</f>
        <v>8</v>
      </c>
      <c r="E666" s="7">
        <f>YEAR(SalesData[[#This Row],[Order Date]])</f>
        <v>2024</v>
      </c>
      <c r="F666" t="s">
        <v>538</v>
      </c>
      <c r="G666" t="str">
        <f>PROPER(SalesData[[#This Row],[Product Name]])</f>
        <v>Reusable Bamboo Utensil Set</v>
      </c>
      <c r="H666" t="s">
        <v>1014</v>
      </c>
      <c r="I666" t="str">
        <f>UPPER(SalesData[[#This Row],[Product Category]])</f>
        <v>KITCHENWARE</v>
      </c>
      <c r="J666">
        <v>9</v>
      </c>
      <c r="K666">
        <v>15</v>
      </c>
      <c r="L666" s="15">
        <f>IF(SalesData[[#This Row],[Unit Price]]="",
    AVERAGEIFS(SalesData[Unit Price],
               SalesData[Product Name],SalesData[[#This Row],[Product Name]]),
    SalesData[[#This Row],[Unit Price]])</f>
        <v>15</v>
      </c>
      <c r="M666" s="15">
        <v>3.44</v>
      </c>
      <c r="N666" s="15">
        <f>SalesData[[#This Row],[Quantity Sold]] * SalesData[[#This Row],[Cleaned Unit Price]]</f>
        <v>135</v>
      </c>
      <c r="O666" s="15">
        <f>SalesData[[#This Row],[Quantity Sold]] * SalesData[[#This Row],[Unit Cost]]</f>
        <v>30.96</v>
      </c>
      <c r="P666" s="15">
        <f>SalesData[[#This Row],[Revenue]] - SalesData[[#This Row],[Cost]]</f>
        <v>104.03999999999999</v>
      </c>
      <c r="Q666" s="13">
        <f>IF(SalesData[[#This Row],[Revenue]]=0,0,SalesData[[#This Row],[Profit]]/SalesData[[#This Row],[Revenue]])</f>
        <v>0.77066666666666661</v>
      </c>
      <c r="R666" t="s">
        <v>1110</v>
      </c>
      <c r="S666" t="s">
        <v>1309</v>
      </c>
      <c r="T666" t="str">
        <f>PROPER(SalesData[[#This Row],[Customer Name]])</f>
        <v>Sophia Martinez</v>
      </c>
      <c r="U666" t="s">
        <v>1414</v>
      </c>
      <c r="V666" t="s">
        <v>1419</v>
      </c>
    </row>
    <row r="667" spans="1:22" x14ac:dyDescent="0.25">
      <c r="A667" t="s">
        <v>2093</v>
      </c>
      <c r="B667" s="5">
        <v>45528</v>
      </c>
      <c r="C667" s="2" t="str">
        <f>TEXT(SalesData[[#This Row],[Order Date]],"mmm")</f>
        <v>Aug</v>
      </c>
      <c r="D667" s="7">
        <f>MONTH(SalesData[[#This Row],[Order Date]])</f>
        <v>8</v>
      </c>
      <c r="E667" s="7">
        <f>YEAR(SalesData[[#This Row],[Order Date]])</f>
        <v>2024</v>
      </c>
      <c r="F667" t="s">
        <v>600</v>
      </c>
      <c r="G667" t="str">
        <f>PROPER(SalesData[[#This Row],[Product Name]])</f>
        <v>Eco Canvas Tote Bag</v>
      </c>
      <c r="H667" t="s">
        <v>1013</v>
      </c>
      <c r="I667" t="str">
        <f>UPPER(SalesData[[#This Row],[Product Category]])</f>
        <v>BAGS</v>
      </c>
      <c r="J667">
        <v>8</v>
      </c>
      <c r="K667">
        <v>25</v>
      </c>
      <c r="L667" s="15">
        <f>IF(SalesData[[#This Row],[Unit Price]]="",
    AVERAGEIFS(SalesData[Unit Price],
               SalesData[Product Name],SalesData[[#This Row],[Product Name]]),
    SalesData[[#This Row],[Unit Price]])</f>
        <v>25</v>
      </c>
      <c r="M667" s="15">
        <v>9.1300000000000008</v>
      </c>
      <c r="N667" s="15">
        <f>SalesData[[#This Row],[Quantity Sold]] * SalesData[[#This Row],[Cleaned Unit Price]]</f>
        <v>200</v>
      </c>
      <c r="O667" s="15">
        <f>SalesData[[#This Row],[Quantity Sold]] * SalesData[[#This Row],[Unit Cost]]</f>
        <v>73.040000000000006</v>
      </c>
      <c r="P667" s="15">
        <f>SalesData[[#This Row],[Revenue]] - SalesData[[#This Row],[Cost]]</f>
        <v>126.96</v>
      </c>
      <c r="Q667" s="13">
        <f>IF(SalesData[[#This Row],[Revenue]]=0,0,SalesData[[#This Row],[Profit]]/SalesData[[#This Row],[Revenue]])</f>
        <v>0.63479999999999992</v>
      </c>
      <c r="R667" t="s">
        <v>1157</v>
      </c>
      <c r="S667" t="s">
        <v>1356</v>
      </c>
      <c r="T667" t="str">
        <f>PROPER(SalesData[[#This Row],[Customer Name]])</f>
        <v>Mason Rodriguez</v>
      </c>
      <c r="U667" t="s">
        <v>1416</v>
      </c>
      <c r="V667" t="s">
        <v>1422</v>
      </c>
    </row>
    <row r="668" spans="1:22" x14ac:dyDescent="0.25">
      <c r="A668" t="s">
        <v>2094</v>
      </c>
      <c r="B668" s="5">
        <v>45528</v>
      </c>
      <c r="C668" s="2" t="str">
        <f>TEXT(SalesData[[#This Row],[Order Date]],"mmm")</f>
        <v>Aug</v>
      </c>
      <c r="D668" s="7">
        <f>MONTH(SalesData[[#This Row],[Order Date]])</f>
        <v>8</v>
      </c>
      <c r="E668" s="7">
        <f>YEAR(SalesData[[#This Row],[Order Date]])</f>
        <v>2024</v>
      </c>
      <c r="F668" t="s">
        <v>901</v>
      </c>
      <c r="G668" t="str">
        <f>PROPER(SalesData[[#This Row],[Product Name]])</f>
        <v>Compostable Plant Pots</v>
      </c>
      <c r="H668" t="s">
        <v>1011</v>
      </c>
      <c r="I668" t="str">
        <f>UPPER(SalesData[[#This Row],[Product Category]])</f>
        <v>GARDENING</v>
      </c>
      <c r="J668">
        <v>3</v>
      </c>
      <c r="K668">
        <v>12</v>
      </c>
      <c r="L668" s="15">
        <f>IF(SalesData[[#This Row],[Unit Price]]="",
    AVERAGEIFS(SalesData[Unit Price],
               SalesData[Product Name],SalesData[[#This Row],[Product Name]]),
    SalesData[[#This Row],[Unit Price]])</f>
        <v>12</v>
      </c>
      <c r="M668" s="15">
        <v>2.71</v>
      </c>
      <c r="N668" s="15">
        <f>SalesData[[#This Row],[Quantity Sold]] * SalesData[[#This Row],[Cleaned Unit Price]]</f>
        <v>36</v>
      </c>
      <c r="O668" s="15">
        <f>SalesData[[#This Row],[Quantity Sold]] * SalesData[[#This Row],[Unit Cost]]</f>
        <v>8.129999999999999</v>
      </c>
      <c r="P668" s="15">
        <f>SalesData[[#This Row],[Revenue]] - SalesData[[#This Row],[Cost]]</f>
        <v>27.87</v>
      </c>
      <c r="Q668" s="13">
        <f>IF(SalesData[[#This Row],[Revenue]]=0,0,SalesData[[#This Row],[Profit]]/SalesData[[#This Row],[Revenue]])</f>
        <v>0.77416666666666667</v>
      </c>
      <c r="R668" t="s">
        <v>1175</v>
      </c>
      <c r="S668" t="s">
        <v>1374</v>
      </c>
      <c r="T668" t="str">
        <f>PROPER(SalesData[[#This Row],[Customer Name]])</f>
        <v>Ava Rodriguez</v>
      </c>
      <c r="U668" t="s">
        <v>1414</v>
      </c>
      <c r="V668" t="s">
        <v>1424</v>
      </c>
    </row>
    <row r="669" spans="1:22" x14ac:dyDescent="0.25">
      <c r="A669" t="s">
        <v>2095</v>
      </c>
      <c r="B669" s="5">
        <v>45528</v>
      </c>
      <c r="C669" s="2" t="str">
        <f>TEXT(SalesData[[#This Row],[Order Date]],"mmm")</f>
        <v>Aug</v>
      </c>
      <c r="D669" s="7">
        <f>MONTH(SalesData[[#This Row],[Order Date]])</f>
        <v>8</v>
      </c>
      <c r="E669" s="7">
        <f>YEAR(SalesData[[#This Row],[Order Date]])</f>
        <v>2024</v>
      </c>
      <c r="F669" t="s">
        <v>909</v>
      </c>
      <c r="G669" t="str">
        <f>PROPER(SalesData[[#This Row],[Product Name]])</f>
        <v>Reusable Bamboo Utensil Set</v>
      </c>
      <c r="H669" t="s">
        <v>1014</v>
      </c>
      <c r="I669" t="str">
        <f>UPPER(SalesData[[#This Row],[Product Category]])</f>
        <v>KITCHENWARE</v>
      </c>
      <c r="J669">
        <v>5</v>
      </c>
      <c r="K669">
        <v>15</v>
      </c>
      <c r="L669" s="15">
        <f>IF(SalesData[[#This Row],[Unit Price]]="",
    AVERAGEIFS(SalesData[Unit Price],
               SalesData[Product Name],SalesData[[#This Row],[Product Name]]),
    SalesData[[#This Row],[Unit Price]])</f>
        <v>15</v>
      </c>
      <c r="M669" s="15">
        <v>3.09</v>
      </c>
      <c r="N669" s="15">
        <f>SalesData[[#This Row],[Quantity Sold]] * SalesData[[#This Row],[Cleaned Unit Price]]</f>
        <v>75</v>
      </c>
      <c r="O669" s="15">
        <f>SalesData[[#This Row],[Quantity Sold]] * SalesData[[#This Row],[Unit Cost]]</f>
        <v>15.45</v>
      </c>
      <c r="P669" s="15">
        <f>SalesData[[#This Row],[Revenue]] - SalesData[[#This Row],[Cost]]</f>
        <v>59.55</v>
      </c>
      <c r="Q669" s="13">
        <f>IF(SalesData[[#This Row],[Revenue]]=0,0,SalesData[[#This Row],[Profit]]/SalesData[[#This Row],[Revenue]])</f>
        <v>0.79399999999999993</v>
      </c>
      <c r="R669" t="s">
        <v>1143</v>
      </c>
      <c r="S669" t="s">
        <v>1342</v>
      </c>
      <c r="T669" t="str">
        <f>PROPER(SalesData[[#This Row],[Customer Name]])</f>
        <v>Ava Smith</v>
      </c>
      <c r="U669" t="s">
        <v>1414</v>
      </c>
      <c r="V669" t="s">
        <v>1418</v>
      </c>
    </row>
    <row r="670" spans="1:22" x14ac:dyDescent="0.25">
      <c r="A670" t="s">
        <v>2096</v>
      </c>
      <c r="B670" s="5">
        <v>45529</v>
      </c>
      <c r="C670" s="2" t="str">
        <f>TEXT(SalesData[[#This Row],[Order Date]],"mmm")</f>
        <v>Aug</v>
      </c>
      <c r="D670" s="7">
        <f>MONTH(SalesData[[#This Row],[Order Date]])</f>
        <v>8</v>
      </c>
      <c r="E670" s="7">
        <f>YEAR(SalesData[[#This Row],[Order Date]])</f>
        <v>2024</v>
      </c>
      <c r="F670" t="s">
        <v>92</v>
      </c>
      <c r="G670" t="str">
        <f>PROPER(SalesData[[#This Row],[Product Name]])</f>
        <v>Biodegradable Cleaning Cloth</v>
      </c>
      <c r="H670" t="s">
        <v>1015</v>
      </c>
      <c r="I670" t="str">
        <f>UPPER(SalesData[[#This Row],[Product Category]])</f>
        <v>CLEANING</v>
      </c>
      <c r="J670">
        <v>2</v>
      </c>
      <c r="K670">
        <v>10</v>
      </c>
      <c r="L670" s="15">
        <f>IF(SalesData[[#This Row],[Unit Price]]="",
    AVERAGEIFS(SalesData[Unit Price],
               SalesData[Product Name],SalesData[[#This Row],[Product Name]]),
    SalesData[[#This Row],[Unit Price]])</f>
        <v>10</v>
      </c>
      <c r="M670" s="15">
        <v>3.22</v>
      </c>
      <c r="N670" s="15">
        <f>SalesData[[#This Row],[Quantity Sold]] * SalesData[[#This Row],[Cleaned Unit Price]]</f>
        <v>20</v>
      </c>
      <c r="O670" s="15">
        <f>SalesData[[#This Row],[Quantity Sold]] * SalesData[[#This Row],[Unit Cost]]</f>
        <v>6.44</v>
      </c>
      <c r="P670" s="15">
        <f>SalesData[[#This Row],[Revenue]] - SalesData[[#This Row],[Cost]]</f>
        <v>13.559999999999999</v>
      </c>
      <c r="Q670" s="13">
        <f>IF(SalesData[[#This Row],[Revenue]]=0,0,SalesData[[#This Row],[Profit]]/SalesData[[#This Row],[Revenue]])</f>
        <v>0.67799999999999994</v>
      </c>
      <c r="R670" t="s">
        <v>1078</v>
      </c>
      <c r="S670" t="s">
        <v>1277</v>
      </c>
      <c r="T670" t="str">
        <f>PROPER(SalesData[[#This Row],[Customer Name]])</f>
        <v>Elijah Martinez</v>
      </c>
      <c r="U670" t="s">
        <v>1414</v>
      </c>
      <c r="V670" t="s">
        <v>1424</v>
      </c>
    </row>
    <row r="671" spans="1:22" x14ac:dyDescent="0.25">
      <c r="A671" t="s">
        <v>2097</v>
      </c>
      <c r="B671" s="5">
        <v>45529</v>
      </c>
      <c r="C671" s="2" t="str">
        <f>TEXT(SalesData[[#This Row],[Order Date]],"mmm")</f>
        <v>Aug</v>
      </c>
      <c r="D671" s="7">
        <f>MONTH(SalesData[[#This Row],[Order Date]])</f>
        <v>8</v>
      </c>
      <c r="E671" s="7">
        <f>YEAR(SalesData[[#This Row],[Order Date]])</f>
        <v>2024</v>
      </c>
      <c r="F671" t="s">
        <v>708</v>
      </c>
      <c r="G671" t="str">
        <f>PROPER(SalesData[[#This Row],[Product Name]])</f>
        <v>Compostable Plant Pots</v>
      </c>
      <c r="H671" t="s">
        <v>1011</v>
      </c>
      <c r="I671" t="str">
        <f>UPPER(SalesData[[#This Row],[Product Category]])</f>
        <v>GARDENING</v>
      </c>
      <c r="J671">
        <v>1</v>
      </c>
      <c r="K671">
        <v>12</v>
      </c>
      <c r="L671" s="15">
        <f>IF(SalesData[[#This Row],[Unit Price]]="",
    AVERAGEIFS(SalesData[Unit Price],
               SalesData[Product Name],SalesData[[#This Row],[Product Name]]),
    SalesData[[#This Row],[Unit Price]])</f>
        <v>12</v>
      </c>
      <c r="M671" s="15">
        <v>2.5099999999999998</v>
      </c>
      <c r="N671" s="15">
        <f>SalesData[[#This Row],[Quantity Sold]] * SalesData[[#This Row],[Cleaned Unit Price]]</f>
        <v>12</v>
      </c>
      <c r="O671" s="15">
        <f>SalesData[[#This Row],[Quantity Sold]] * SalesData[[#This Row],[Unit Cost]]</f>
        <v>2.5099999999999998</v>
      </c>
      <c r="P671" s="15">
        <f>SalesData[[#This Row],[Revenue]] - SalesData[[#This Row],[Cost]]</f>
        <v>9.49</v>
      </c>
      <c r="Q671" s="13">
        <f>IF(SalesData[[#This Row],[Revenue]]=0,0,SalesData[[#This Row],[Profit]]/SalesData[[#This Row],[Revenue]])</f>
        <v>0.79083333333333339</v>
      </c>
      <c r="R671" t="s">
        <v>1057</v>
      </c>
      <c r="S671" t="s">
        <v>1256</v>
      </c>
      <c r="T671" t="str">
        <f>PROPER(SalesData[[#This Row],[Customer Name]])</f>
        <v>Isabella Garcia</v>
      </c>
      <c r="U671" t="s">
        <v>1414</v>
      </c>
      <c r="V671" t="s">
        <v>1427</v>
      </c>
    </row>
    <row r="672" spans="1:22" x14ac:dyDescent="0.25">
      <c r="A672" t="s">
        <v>2098</v>
      </c>
      <c r="B672" s="5">
        <v>45529</v>
      </c>
      <c r="C672" s="2" t="str">
        <f>TEXT(SalesData[[#This Row],[Order Date]],"mmm")</f>
        <v>Aug</v>
      </c>
      <c r="D672" s="7">
        <f>MONTH(SalesData[[#This Row],[Order Date]])</f>
        <v>8</v>
      </c>
      <c r="E672" s="7">
        <f>YEAR(SalesData[[#This Row],[Order Date]])</f>
        <v>2024</v>
      </c>
      <c r="F672" t="s">
        <v>863</v>
      </c>
      <c r="G672" t="str">
        <f>PROPER(SalesData[[#This Row],[Product Name]])</f>
        <v>Reusable Bamboo Utensil Set</v>
      </c>
      <c r="H672" t="s">
        <v>1014</v>
      </c>
      <c r="I672" t="str">
        <f>UPPER(SalesData[[#This Row],[Product Category]])</f>
        <v>KITCHENWARE</v>
      </c>
      <c r="J672">
        <v>2</v>
      </c>
      <c r="K672">
        <v>15</v>
      </c>
      <c r="L672" s="15">
        <f>IF(SalesData[[#This Row],[Unit Price]]="",
    AVERAGEIFS(SalesData[Unit Price],
               SalesData[Product Name],SalesData[[#This Row],[Product Name]]),
    SalesData[[#This Row],[Unit Price]])</f>
        <v>15</v>
      </c>
      <c r="M672" s="15">
        <v>3.49</v>
      </c>
      <c r="N672" s="15">
        <f>SalesData[[#This Row],[Quantity Sold]] * SalesData[[#This Row],[Cleaned Unit Price]]</f>
        <v>30</v>
      </c>
      <c r="O672" s="15">
        <f>SalesData[[#This Row],[Quantity Sold]] * SalesData[[#This Row],[Unit Cost]]</f>
        <v>6.98</v>
      </c>
      <c r="P672" s="15">
        <f>SalesData[[#This Row],[Revenue]] - SalesData[[#This Row],[Cost]]</f>
        <v>23.02</v>
      </c>
      <c r="Q672" s="13">
        <f>IF(SalesData[[#This Row],[Revenue]]=0,0,SalesData[[#This Row],[Profit]]/SalesData[[#This Row],[Revenue]])</f>
        <v>0.76733333333333331</v>
      </c>
      <c r="R672" t="s">
        <v>1126</v>
      </c>
      <c r="S672" t="s">
        <v>1325</v>
      </c>
      <c r="T672" t="str">
        <f>PROPER(SalesData[[#This Row],[Customer Name]])</f>
        <v>Ethan Martinez</v>
      </c>
      <c r="U672" t="s">
        <v>1414</v>
      </c>
      <c r="V672" t="s">
        <v>1419</v>
      </c>
    </row>
    <row r="673" spans="1:22" x14ac:dyDescent="0.25">
      <c r="A673" t="s">
        <v>2099</v>
      </c>
      <c r="B673" s="5">
        <v>45529</v>
      </c>
      <c r="C673" s="2" t="str">
        <f>TEXT(SalesData[[#This Row],[Order Date]],"mmm")</f>
        <v>Aug</v>
      </c>
      <c r="D673" s="7">
        <f>MONTH(SalesData[[#This Row],[Order Date]])</f>
        <v>8</v>
      </c>
      <c r="E673" s="7">
        <f>YEAR(SalesData[[#This Row],[Order Date]])</f>
        <v>2024</v>
      </c>
      <c r="F673" t="s">
        <v>867</v>
      </c>
      <c r="G673" t="str">
        <f>PROPER(SalesData[[#This Row],[Product Name]])</f>
        <v>Reusable Bamboo Utensil Set</v>
      </c>
      <c r="H673" t="s">
        <v>1014</v>
      </c>
      <c r="I673" t="str">
        <f>UPPER(SalesData[[#This Row],[Product Category]])</f>
        <v>KITCHENWARE</v>
      </c>
      <c r="J673">
        <v>8</v>
      </c>
      <c r="K673">
        <v>15</v>
      </c>
      <c r="L673" s="15">
        <f>IF(SalesData[[#This Row],[Unit Price]]="",
    AVERAGEIFS(SalesData[Unit Price],
               SalesData[Product Name],SalesData[[#This Row],[Product Name]]),
    SalesData[[#This Row],[Unit Price]])</f>
        <v>15</v>
      </c>
      <c r="M673" s="15">
        <v>5.72</v>
      </c>
      <c r="N673" s="15">
        <f>SalesData[[#This Row],[Quantity Sold]] * SalesData[[#This Row],[Cleaned Unit Price]]</f>
        <v>120</v>
      </c>
      <c r="O673" s="15">
        <f>SalesData[[#This Row],[Quantity Sold]] * SalesData[[#This Row],[Unit Cost]]</f>
        <v>45.76</v>
      </c>
      <c r="P673" s="15">
        <f>SalesData[[#This Row],[Revenue]] - SalesData[[#This Row],[Cost]]</f>
        <v>74.240000000000009</v>
      </c>
      <c r="Q673" s="13">
        <f>IF(SalesData[[#This Row],[Revenue]]=0,0,SalesData[[#This Row],[Profit]]/SalesData[[#This Row],[Revenue]])</f>
        <v>0.6186666666666667</v>
      </c>
      <c r="R673" t="s">
        <v>1126</v>
      </c>
      <c r="S673" t="s">
        <v>1325</v>
      </c>
      <c r="T673" t="str">
        <f>PROPER(SalesData[[#This Row],[Customer Name]])</f>
        <v>Ethan Martinez</v>
      </c>
      <c r="U673" t="s">
        <v>1414</v>
      </c>
      <c r="V673" t="s">
        <v>1427</v>
      </c>
    </row>
    <row r="674" spans="1:22" x14ac:dyDescent="0.25">
      <c r="A674" t="s">
        <v>2100</v>
      </c>
      <c r="B674" s="5">
        <v>45530</v>
      </c>
      <c r="C674" s="2" t="str">
        <f>TEXT(SalesData[[#This Row],[Order Date]],"mmm")</f>
        <v>Aug</v>
      </c>
      <c r="D674" s="7">
        <f>MONTH(SalesData[[#This Row],[Order Date]])</f>
        <v>8</v>
      </c>
      <c r="E674" s="7">
        <f>YEAR(SalesData[[#This Row],[Order Date]])</f>
        <v>2024</v>
      </c>
      <c r="F674" t="s">
        <v>963</v>
      </c>
      <c r="G674" t="str">
        <f>PROPER(SalesData[[#This Row],[Product Name]])</f>
        <v>Solar Led Lantern</v>
      </c>
      <c r="H674" t="s">
        <v>1012</v>
      </c>
      <c r="I674" t="str">
        <f>UPPER(SalesData[[#This Row],[Product Category]])</f>
        <v>LIGHTING</v>
      </c>
      <c r="J674">
        <v>4</v>
      </c>
      <c r="K674">
        <v>40</v>
      </c>
      <c r="L674" s="15">
        <f>IF(SalesData[[#This Row],[Unit Price]]="",
    AVERAGEIFS(SalesData[Unit Price],
               SalesData[Product Name],SalesData[[#This Row],[Product Name]]),
    SalesData[[#This Row],[Unit Price]])</f>
        <v>40</v>
      </c>
      <c r="M674" s="15">
        <v>15.33</v>
      </c>
      <c r="N674" s="15">
        <f>SalesData[[#This Row],[Quantity Sold]] * SalesData[[#This Row],[Cleaned Unit Price]]</f>
        <v>160</v>
      </c>
      <c r="O674" s="15">
        <f>SalesData[[#This Row],[Quantity Sold]] * SalesData[[#This Row],[Unit Cost]]</f>
        <v>61.32</v>
      </c>
      <c r="P674" s="15">
        <f>SalesData[[#This Row],[Revenue]] - SalesData[[#This Row],[Cost]]</f>
        <v>98.68</v>
      </c>
      <c r="Q674" s="13">
        <f>IF(SalesData[[#This Row],[Revenue]]=0,0,SalesData[[#This Row],[Profit]]/SalesData[[#This Row],[Revenue]])</f>
        <v>0.61675000000000002</v>
      </c>
      <c r="R674" t="s">
        <v>1186</v>
      </c>
      <c r="S674" t="s">
        <v>1385</v>
      </c>
      <c r="T674" t="str">
        <f>PROPER(SalesData[[#This Row],[Customer Name]])</f>
        <v>Ava Martinez</v>
      </c>
      <c r="U674" t="s">
        <v>1416</v>
      </c>
      <c r="V674" t="s">
        <v>1426</v>
      </c>
    </row>
    <row r="675" spans="1:22" x14ac:dyDescent="0.25">
      <c r="A675" t="s">
        <v>2101</v>
      </c>
      <c r="B675" s="5">
        <v>45531</v>
      </c>
      <c r="C675" s="2" t="str">
        <f>TEXT(SalesData[[#This Row],[Order Date]],"mmm")</f>
        <v>Aug</v>
      </c>
      <c r="D675" s="7">
        <f>MONTH(SalesData[[#This Row],[Order Date]])</f>
        <v>8</v>
      </c>
      <c r="E675" s="7">
        <f>YEAR(SalesData[[#This Row],[Order Date]])</f>
        <v>2024</v>
      </c>
      <c r="F675" t="s">
        <v>240</v>
      </c>
      <c r="G675" t="str">
        <f>PROPER(SalesData[[#This Row],[Product Name]])</f>
        <v>Solar Led Lantern</v>
      </c>
      <c r="H675" t="s">
        <v>1012</v>
      </c>
      <c r="I675" t="str">
        <f>UPPER(SalesData[[#This Row],[Product Category]])</f>
        <v>LIGHTING</v>
      </c>
      <c r="J675">
        <v>4</v>
      </c>
      <c r="K675">
        <v>40</v>
      </c>
      <c r="L675" s="15">
        <f>IF(SalesData[[#This Row],[Unit Price]]="",
    AVERAGEIFS(SalesData[Unit Price],
               SalesData[Product Name],SalesData[[#This Row],[Product Name]]),
    SalesData[[#This Row],[Unit Price]])</f>
        <v>40</v>
      </c>
      <c r="M675" s="15">
        <v>11.38</v>
      </c>
      <c r="N675" s="15">
        <f>SalesData[[#This Row],[Quantity Sold]] * SalesData[[#This Row],[Cleaned Unit Price]]</f>
        <v>160</v>
      </c>
      <c r="O675" s="15">
        <f>SalesData[[#This Row],[Quantity Sold]] * SalesData[[#This Row],[Unit Cost]]</f>
        <v>45.52</v>
      </c>
      <c r="P675" s="15">
        <f>SalesData[[#This Row],[Revenue]] - SalesData[[#This Row],[Cost]]</f>
        <v>114.47999999999999</v>
      </c>
      <c r="Q675" s="13">
        <f>IF(SalesData[[#This Row],[Revenue]]=0,0,SalesData[[#This Row],[Profit]]/SalesData[[#This Row],[Revenue]])</f>
        <v>0.71549999999999991</v>
      </c>
      <c r="R675" t="s">
        <v>1139</v>
      </c>
      <c r="S675" t="s">
        <v>1338</v>
      </c>
      <c r="T675" t="str">
        <f>PROPER(SalesData[[#This Row],[Customer Name]])</f>
        <v>Oliver Miller</v>
      </c>
      <c r="U675" t="s">
        <v>1416</v>
      </c>
      <c r="V675" t="s">
        <v>1420</v>
      </c>
    </row>
    <row r="676" spans="1:22" x14ac:dyDescent="0.25">
      <c r="A676" t="s">
        <v>2102</v>
      </c>
      <c r="B676" s="5">
        <v>45532</v>
      </c>
      <c r="C676" s="2" t="str">
        <f>TEXT(SalesData[[#This Row],[Order Date]],"mmm")</f>
        <v>Aug</v>
      </c>
      <c r="D676" s="7">
        <f>MONTH(SalesData[[#This Row],[Order Date]])</f>
        <v>8</v>
      </c>
      <c r="E676" s="7">
        <f>YEAR(SalesData[[#This Row],[Order Date]])</f>
        <v>2024</v>
      </c>
      <c r="F676" t="s">
        <v>407</v>
      </c>
      <c r="G676" t="str">
        <f>PROPER(SalesData[[#This Row],[Product Name]])</f>
        <v>Eco Canvas Tote Bag</v>
      </c>
      <c r="H676" t="s">
        <v>1013</v>
      </c>
      <c r="I676" t="str">
        <f>UPPER(SalesData[[#This Row],[Product Category]])</f>
        <v>BAGS</v>
      </c>
      <c r="J676">
        <v>10</v>
      </c>
      <c r="K676">
        <v>25</v>
      </c>
      <c r="L676" s="15">
        <f>IF(SalesData[[#This Row],[Unit Price]]="",
    AVERAGEIFS(SalesData[Unit Price],
               SalesData[Product Name],SalesData[[#This Row],[Product Name]]),
    SalesData[[#This Row],[Unit Price]])</f>
        <v>25</v>
      </c>
      <c r="M676" s="15">
        <v>6.25</v>
      </c>
      <c r="N676" s="15">
        <f>SalesData[[#This Row],[Quantity Sold]] * SalesData[[#This Row],[Cleaned Unit Price]]</f>
        <v>250</v>
      </c>
      <c r="O676" s="15">
        <f>SalesData[[#This Row],[Quantity Sold]] * SalesData[[#This Row],[Unit Cost]]</f>
        <v>62.5</v>
      </c>
      <c r="P676" s="15">
        <f>SalesData[[#This Row],[Revenue]] - SalesData[[#This Row],[Cost]]</f>
        <v>187.5</v>
      </c>
      <c r="Q676" s="13">
        <f>IF(SalesData[[#This Row],[Revenue]]=0,0,SalesData[[#This Row],[Profit]]/SalesData[[#This Row],[Revenue]])</f>
        <v>0.75</v>
      </c>
      <c r="R676" t="s">
        <v>1155</v>
      </c>
      <c r="S676" t="s">
        <v>1354</v>
      </c>
      <c r="T676" t="str">
        <f>PROPER(SalesData[[#This Row],[Customer Name]])</f>
        <v>Oliver Jones</v>
      </c>
      <c r="U676" t="s">
        <v>1414</v>
      </c>
      <c r="V676" t="s">
        <v>1425</v>
      </c>
    </row>
    <row r="677" spans="1:22" x14ac:dyDescent="0.25">
      <c r="A677" t="s">
        <v>2103</v>
      </c>
      <c r="B677" s="5">
        <v>45532</v>
      </c>
      <c r="C677" s="2" t="str">
        <f>TEXT(SalesData[[#This Row],[Order Date]],"mmm")</f>
        <v>Aug</v>
      </c>
      <c r="D677" s="7">
        <f>MONTH(SalesData[[#This Row],[Order Date]])</f>
        <v>8</v>
      </c>
      <c r="E677" s="7">
        <f>YEAR(SalesData[[#This Row],[Order Date]])</f>
        <v>2024</v>
      </c>
      <c r="F677" t="s">
        <v>423</v>
      </c>
      <c r="G677" t="str">
        <f>PROPER(SalesData[[#This Row],[Product Name]])</f>
        <v>Solar Led Lantern</v>
      </c>
      <c r="H677" t="s">
        <v>1012</v>
      </c>
      <c r="I677" t="str">
        <f>UPPER(SalesData[[#This Row],[Product Category]])</f>
        <v>LIGHTING</v>
      </c>
      <c r="J677">
        <v>5</v>
      </c>
      <c r="K677">
        <v>40</v>
      </c>
      <c r="L677" s="15">
        <f>IF(SalesData[[#This Row],[Unit Price]]="",
    AVERAGEIFS(SalesData[Unit Price],
               SalesData[Product Name],SalesData[[#This Row],[Product Name]]),
    SalesData[[#This Row],[Unit Price]])</f>
        <v>40</v>
      </c>
      <c r="M677" s="15">
        <v>8.4600000000000009</v>
      </c>
      <c r="N677" s="15">
        <f>SalesData[[#This Row],[Quantity Sold]] * SalesData[[#This Row],[Cleaned Unit Price]]</f>
        <v>200</v>
      </c>
      <c r="O677" s="15">
        <f>SalesData[[#This Row],[Quantity Sold]] * SalesData[[#This Row],[Unit Cost]]</f>
        <v>42.300000000000004</v>
      </c>
      <c r="P677" s="15">
        <f>SalesData[[#This Row],[Revenue]] - SalesData[[#This Row],[Cost]]</f>
        <v>157.69999999999999</v>
      </c>
      <c r="Q677" s="13">
        <f>IF(SalesData[[#This Row],[Revenue]]=0,0,SalesData[[#This Row],[Profit]]/SalesData[[#This Row],[Revenue]])</f>
        <v>0.78849999999999998</v>
      </c>
      <c r="R677" t="s">
        <v>1081</v>
      </c>
      <c r="S677" t="s">
        <v>1280</v>
      </c>
      <c r="T677" t="str">
        <f>PROPER(SalesData[[#This Row],[Customer Name]])</f>
        <v>James Brown</v>
      </c>
      <c r="U677" t="s">
        <v>1416</v>
      </c>
      <c r="V677" t="s">
        <v>1419</v>
      </c>
    </row>
    <row r="678" spans="1:22" x14ac:dyDescent="0.25">
      <c r="A678" t="s">
        <v>2104</v>
      </c>
      <c r="B678" s="5">
        <v>45532</v>
      </c>
      <c r="C678" s="2" t="str">
        <f>TEXT(SalesData[[#This Row],[Order Date]],"mmm")</f>
        <v>Aug</v>
      </c>
      <c r="D678" s="7">
        <f>MONTH(SalesData[[#This Row],[Order Date]])</f>
        <v>8</v>
      </c>
      <c r="E678" s="7">
        <f>YEAR(SalesData[[#This Row],[Order Date]])</f>
        <v>2024</v>
      </c>
      <c r="F678" t="s">
        <v>488</v>
      </c>
      <c r="G678" t="str">
        <f>PROPER(SalesData[[#This Row],[Product Name]])</f>
        <v>Reusable Bamboo Utensil Set</v>
      </c>
      <c r="H678" t="s">
        <v>1014</v>
      </c>
      <c r="I678" t="str">
        <f>UPPER(SalesData[[#This Row],[Product Category]])</f>
        <v>KITCHENWARE</v>
      </c>
      <c r="J678">
        <v>2</v>
      </c>
      <c r="K678">
        <v>15</v>
      </c>
      <c r="L678" s="15">
        <f>IF(SalesData[[#This Row],[Unit Price]]="",
    AVERAGEIFS(SalesData[Unit Price],
               SalesData[Product Name],SalesData[[#This Row],[Product Name]]),
    SalesData[[#This Row],[Unit Price]])</f>
        <v>15</v>
      </c>
      <c r="M678" s="15">
        <v>5.69</v>
      </c>
      <c r="N678" s="15">
        <f>SalesData[[#This Row],[Quantity Sold]] * SalesData[[#This Row],[Cleaned Unit Price]]</f>
        <v>30</v>
      </c>
      <c r="O678" s="15">
        <f>SalesData[[#This Row],[Quantity Sold]] * SalesData[[#This Row],[Unit Cost]]</f>
        <v>11.38</v>
      </c>
      <c r="P678" s="15">
        <f>SalesData[[#This Row],[Revenue]] - SalesData[[#This Row],[Cost]]</f>
        <v>18.619999999999997</v>
      </c>
      <c r="Q678" s="13">
        <f>IF(SalesData[[#This Row],[Revenue]]=0,0,SalesData[[#This Row],[Profit]]/SalesData[[#This Row],[Revenue]])</f>
        <v>0.62066666666666659</v>
      </c>
      <c r="R678" t="s">
        <v>1140</v>
      </c>
      <c r="S678" t="s">
        <v>1339</v>
      </c>
      <c r="T678" t="str">
        <f>PROPER(SalesData[[#This Row],[Customer Name]])</f>
        <v>Oliver Smith</v>
      </c>
      <c r="U678" t="s">
        <v>1414</v>
      </c>
      <c r="V678" t="s">
        <v>1419</v>
      </c>
    </row>
    <row r="679" spans="1:22" x14ac:dyDescent="0.25">
      <c r="A679" t="s">
        <v>2105</v>
      </c>
      <c r="B679" s="5">
        <v>45532</v>
      </c>
      <c r="C679" s="2" t="str">
        <f>TEXT(SalesData[[#This Row],[Order Date]],"mmm")</f>
        <v>Aug</v>
      </c>
      <c r="D679" s="7">
        <f>MONTH(SalesData[[#This Row],[Order Date]])</f>
        <v>8</v>
      </c>
      <c r="E679" s="7">
        <f>YEAR(SalesData[[#This Row],[Order Date]])</f>
        <v>2024</v>
      </c>
      <c r="F679" t="s">
        <v>637</v>
      </c>
      <c r="G679" t="str">
        <f>PROPER(SalesData[[#This Row],[Product Name]])</f>
        <v>Eco Canvas Tote Bag</v>
      </c>
      <c r="H679" t="s">
        <v>1013</v>
      </c>
      <c r="I679" t="str">
        <f>UPPER(SalesData[[#This Row],[Product Category]])</f>
        <v>BAGS</v>
      </c>
      <c r="J679">
        <v>7</v>
      </c>
      <c r="K679">
        <v>25</v>
      </c>
      <c r="L679" s="15">
        <f>IF(SalesData[[#This Row],[Unit Price]]="",
    AVERAGEIFS(SalesData[Unit Price],
               SalesData[Product Name],SalesData[[#This Row],[Product Name]]),
    SalesData[[#This Row],[Unit Price]])</f>
        <v>25</v>
      </c>
      <c r="M679" s="15">
        <v>9</v>
      </c>
      <c r="N679" s="15">
        <f>SalesData[[#This Row],[Quantity Sold]] * SalesData[[#This Row],[Cleaned Unit Price]]</f>
        <v>175</v>
      </c>
      <c r="O679" s="15">
        <f>SalesData[[#This Row],[Quantity Sold]] * SalesData[[#This Row],[Unit Cost]]</f>
        <v>63</v>
      </c>
      <c r="P679" s="15">
        <f>SalesData[[#This Row],[Revenue]] - SalesData[[#This Row],[Cost]]</f>
        <v>112</v>
      </c>
      <c r="Q679" s="13">
        <f>IF(SalesData[[#This Row],[Revenue]]=0,0,SalesData[[#This Row],[Profit]]/SalesData[[#This Row],[Revenue]])</f>
        <v>0.64</v>
      </c>
      <c r="R679" t="s">
        <v>1185</v>
      </c>
      <c r="S679" t="s">
        <v>1384</v>
      </c>
      <c r="T679" t="str">
        <f>PROPER(SalesData[[#This Row],[Customer Name]])</f>
        <v>Lucas Garcia</v>
      </c>
      <c r="U679" t="s">
        <v>1417</v>
      </c>
      <c r="V679" t="s">
        <v>1418</v>
      </c>
    </row>
    <row r="680" spans="1:22" x14ac:dyDescent="0.25">
      <c r="A680" t="s">
        <v>2106</v>
      </c>
      <c r="B680" s="5">
        <v>45532</v>
      </c>
      <c r="C680" s="2" t="str">
        <f>TEXT(SalesData[[#This Row],[Order Date]],"mmm")</f>
        <v>Aug</v>
      </c>
      <c r="D680" s="7">
        <f>MONTH(SalesData[[#This Row],[Order Date]])</f>
        <v>8</v>
      </c>
      <c r="E680" s="7">
        <f>YEAR(SalesData[[#This Row],[Order Date]])</f>
        <v>2024</v>
      </c>
      <c r="F680" t="s">
        <v>725</v>
      </c>
      <c r="G680" t="str">
        <f>PROPER(SalesData[[#This Row],[Product Name]])</f>
        <v>Solar Led Lantern</v>
      </c>
      <c r="H680" t="s">
        <v>1012</v>
      </c>
      <c r="I680" t="str">
        <f>UPPER(SalesData[[#This Row],[Product Category]])</f>
        <v>LIGHTING</v>
      </c>
      <c r="J680">
        <v>3</v>
      </c>
      <c r="K680">
        <v>40</v>
      </c>
      <c r="L680" s="15">
        <f>IF(SalesData[[#This Row],[Unit Price]]="",
    AVERAGEIFS(SalesData[Unit Price],
               SalesData[Product Name],SalesData[[#This Row],[Product Name]]),
    SalesData[[#This Row],[Unit Price]])</f>
        <v>40</v>
      </c>
      <c r="M680" s="15">
        <v>10.23</v>
      </c>
      <c r="N680" s="15">
        <f>SalesData[[#This Row],[Quantity Sold]] * SalesData[[#This Row],[Cleaned Unit Price]]</f>
        <v>120</v>
      </c>
      <c r="O680" s="15">
        <f>SalesData[[#This Row],[Quantity Sold]] * SalesData[[#This Row],[Unit Cost]]</f>
        <v>30.69</v>
      </c>
      <c r="P680" s="15">
        <f>SalesData[[#This Row],[Revenue]] - SalesData[[#This Row],[Cost]]</f>
        <v>89.31</v>
      </c>
      <c r="Q680" s="13">
        <f>IF(SalesData[[#This Row],[Revenue]]=0,0,SalesData[[#This Row],[Profit]]/SalesData[[#This Row],[Revenue]])</f>
        <v>0.74424999999999997</v>
      </c>
      <c r="R680" t="s">
        <v>1042</v>
      </c>
      <c r="S680" t="s">
        <v>1241</v>
      </c>
      <c r="T680" t="str">
        <f>PROPER(SalesData[[#This Row],[Customer Name]])</f>
        <v>Amelia Johnson</v>
      </c>
      <c r="U680" t="s">
        <v>1416</v>
      </c>
      <c r="V680" t="s">
        <v>1425</v>
      </c>
    </row>
    <row r="681" spans="1:22" x14ac:dyDescent="0.25">
      <c r="A681" t="s">
        <v>2107</v>
      </c>
      <c r="B681" s="5">
        <v>45533</v>
      </c>
      <c r="C681" s="2" t="str">
        <f>TEXT(SalesData[[#This Row],[Order Date]],"mmm")</f>
        <v>Aug</v>
      </c>
      <c r="D681" s="7">
        <f>MONTH(SalesData[[#This Row],[Order Date]])</f>
        <v>8</v>
      </c>
      <c r="E681" s="7">
        <f>YEAR(SalesData[[#This Row],[Order Date]])</f>
        <v>2024</v>
      </c>
      <c r="F681" t="s">
        <v>1009</v>
      </c>
      <c r="G681" t="str">
        <f>PROPER(SalesData[[#This Row],[Product Name]])</f>
        <v>Reusable Bamboo Utensil Set</v>
      </c>
      <c r="H681" t="s">
        <v>1014</v>
      </c>
      <c r="I681" t="str">
        <f>UPPER(SalesData[[#This Row],[Product Category]])</f>
        <v>KITCHENWARE</v>
      </c>
      <c r="J681">
        <v>9</v>
      </c>
      <c r="L681" s="15">
        <f>IF(SalesData[[#This Row],[Unit Price]]="",
    AVERAGEIFS(SalesData[Unit Price],
               SalesData[Product Name],SalesData[[#This Row],[Product Name]]),
    SalesData[[#This Row],[Unit Price]])</f>
        <v>15</v>
      </c>
      <c r="M681" s="15">
        <v>4.82</v>
      </c>
      <c r="N681" s="15">
        <f>SalesData[[#This Row],[Quantity Sold]] * SalesData[[#This Row],[Cleaned Unit Price]]</f>
        <v>135</v>
      </c>
      <c r="O681" s="15">
        <f>SalesData[[#This Row],[Quantity Sold]] * SalesData[[#This Row],[Unit Cost]]</f>
        <v>43.38</v>
      </c>
      <c r="P681" s="15">
        <f>SalesData[[#This Row],[Revenue]] - SalesData[[#This Row],[Cost]]</f>
        <v>91.62</v>
      </c>
      <c r="Q681" s="13">
        <f>IF(SalesData[[#This Row],[Revenue]]=0,0,SalesData[[#This Row],[Profit]]/SalesData[[#This Row],[Revenue]])</f>
        <v>0.67866666666666675</v>
      </c>
      <c r="R681" t="s">
        <v>1113</v>
      </c>
      <c r="S681" t="s">
        <v>1312</v>
      </c>
      <c r="T681" t="str">
        <f>PROPER(SalesData[[#This Row],[Customer Name]])</f>
        <v>Elijah Williams</v>
      </c>
      <c r="U681" t="s">
        <v>1416</v>
      </c>
      <c r="V681" t="s">
        <v>1423</v>
      </c>
    </row>
    <row r="682" spans="1:22" x14ac:dyDescent="0.25">
      <c r="A682" t="s">
        <v>2108</v>
      </c>
      <c r="B682" s="5">
        <v>45534</v>
      </c>
      <c r="C682" s="2" t="str">
        <f>TEXT(SalesData[[#This Row],[Order Date]],"mmm")</f>
        <v>Aug</v>
      </c>
      <c r="D682" s="7">
        <f>MONTH(SalesData[[#This Row],[Order Date]])</f>
        <v>8</v>
      </c>
      <c r="E682" s="7">
        <f>YEAR(SalesData[[#This Row],[Order Date]])</f>
        <v>2024</v>
      </c>
      <c r="F682" t="s">
        <v>469</v>
      </c>
      <c r="G682" t="str">
        <f>PROPER(SalesData[[#This Row],[Product Name]])</f>
        <v>Biodegradable Cleaning Cloth</v>
      </c>
      <c r="H682" t="s">
        <v>1015</v>
      </c>
      <c r="I682" t="str">
        <f>UPPER(SalesData[[#This Row],[Product Category]])</f>
        <v>CLEANING</v>
      </c>
      <c r="J682">
        <v>2</v>
      </c>
      <c r="K682">
        <v>10</v>
      </c>
      <c r="L682" s="15">
        <f>IF(SalesData[[#This Row],[Unit Price]]="",
    AVERAGEIFS(SalesData[Unit Price],
               SalesData[Product Name],SalesData[[#This Row],[Product Name]]),
    SalesData[[#This Row],[Unit Price]])</f>
        <v>10</v>
      </c>
      <c r="M682" s="15">
        <v>2.09</v>
      </c>
      <c r="N682" s="15">
        <f>SalesData[[#This Row],[Quantity Sold]] * SalesData[[#This Row],[Cleaned Unit Price]]</f>
        <v>20</v>
      </c>
      <c r="O682" s="15">
        <f>SalesData[[#This Row],[Quantity Sold]] * SalesData[[#This Row],[Unit Cost]]</f>
        <v>4.18</v>
      </c>
      <c r="P682" s="15">
        <f>SalesData[[#This Row],[Revenue]] - SalesData[[#This Row],[Cost]]</f>
        <v>15.82</v>
      </c>
      <c r="Q682" s="13">
        <f>IF(SalesData[[#This Row],[Revenue]]=0,0,SalesData[[#This Row],[Profit]]/SalesData[[#This Row],[Revenue]])</f>
        <v>0.79100000000000004</v>
      </c>
      <c r="R682" t="s">
        <v>1038</v>
      </c>
      <c r="S682" t="s">
        <v>1237</v>
      </c>
      <c r="T682" t="str">
        <f>PROPER(SalesData[[#This Row],[Customer Name]])</f>
        <v>Harper Garcia</v>
      </c>
      <c r="U682" t="s">
        <v>1414</v>
      </c>
      <c r="V682" t="s">
        <v>1424</v>
      </c>
    </row>
    <row r="683" spans="1:22" x14ac:dyDescent="0.25">
      <c r="A683" t="s">
        <v>2109</v>
      </c>
      <c r="B683" s="5">
        <v>45534</v>
      </c>
      <c r="C683" s="2" t="str">
        <f>TEXT(SalesData[[#This Row],[Order Date]],"mmm")</f>
        <v>Aug</v>
      </c>
      <c r="D683" s="7">
        <f>MONTH(SalesData[[#This Row],[Order Date]])</f>
        <v>8</v>
      </c>
      <c r="E683" s="7">
        <f>YEAR(SalesData[[#This Row],[Order Date]])</f>
        <v>2024</v>
      </c>
      <c r="F683" t="s">
        <v>884</v>
      </c>
      <c r="G683" t="str">
        <f>PROPER(SalesData[[#This Row],[Product Name]])</f>
        <v>Biodegradable Cleaning Cloth</v>
      </c>
      <c r="H683" t="s">
        <v>1015</v>
      </c>
      <c r="I683" t="str">
        <f>UPPER(SalesData[[#This Row],[Product Category]])</f>
        <v>CLEANING</v>
      </c>
      <c r="J683">
        <v>4</v>
      </c>
      <c r="K683">
        <v>10</v>
      </c>
      <c r="L683" s="15">
        <f>IF(SalesData[[#This Row],[Unit Price]]="",
    AVERAGEIFS(SalesData[Unit Price],
               SalesData[Product Name],SalesData[[#This Row],[Product Name]]),
    SalesData[[#This Row],[Unit Price]])</f>
        <v>10</v>
      </c>
      <c r="M683" s="15">
        <v>3.56</v>
      </c>
      <c r="N683" s="15">
        <f>SalesData[[#This Row],[Quantity Sold]] * SalesData[[#This Row],[Cleaned Unit Price]]</f>
        <v>40</v>
      </c>
      <c r="O683" s="15">
        <f>SalesData[[#This Row],[Quantity Sold]] * SalesData[[#This Row],[Unit Cost]]</f>
        <v>14.24</v>
      </c>
      <c r="P683" s="15">
        <f>SalesData[[#This Row],[Revenue]] - SalesData[[#This Row],[Cost]]</f>
        <v>25.759999999999998</v>
      </c>
      <c r="Q683" s="13">
        <f>IF(SalesData[[#This Row],[Revenue]]=0,0,SalesData[[#This Row],[Profit]]/SalesData[[#This Row],[Revenue]])</f>
        <v>0.64399999999999991</v>
      </c>
      <c r="R683" t="s">
        <v>1071</v>
      </c>
      <c r="S683" t="s">
        <v>1270</v>
      </c>
      <c r="T683" t="str">
        <f>PROPER(SalesData[[#This Row],[Customer Name]])</f>
        <v>Olivia Johnson</v>
      </c>
      <c r="U683" t="s">
        <v>1414</v>
      </c>
      <c r="V683" t="s">
        <v>1426</v>
      </c>
    </row>
    <row r="684" spans="1:22" x14ac:dyDescent="0.25">
      <c r="A684" t="s">
        <v>2110</v>
      </c>
      <c r="B684" s="5">
        <v>45535</v>
      </c>
      <c r="C684" s="2" t="str">
        <f>TEXT(SalesData[[#This Row],[Order Date]],"mmm")</f>
        <v>Aug</v>
      </c>
      <c r="D684" s="7">
        <f>MONTH(SalesData[[#This Row],[Order Date]])</f>
        <v>8</v>
      </c>
      <c r="E684" s="7">
        <f>YEAR(SalesData[[#This Row],[Order Date]])</f>
        <v>2024</v>
      </c>
      <c r="F684" t="s">
        <v>55</v>
      </c>
      <c r="G684" t="str">
        <f>PROPER(SalesData[[#This Row],[Product Name]])</f>
        <v>Biodegradable Cleaning Cloth</v>
      </c>
      <c r="H684" t="s">
        <v>1015</v>
      </c>
      <c r="I684" t="str">
        <f>UPPER(SalesData[[#This Row],[Product Category]])</f>
        <v>CLEANING</v>
      </c>
      <c r="J684">
        <v>3</v>
      </c>
      <c r="K684">
        <v>10</v>
      </c>
      <c r="L684" s="15">
        <f>IF(SalesData[[#This Row],[Unit Price]]="",
    AVERAGEIFS(SalesData[Unit Price],
               SalesData[Product Name],SalesData[[#This Row],[Product Name]]),
    SalesData[[#This Row],[Unit Price]])</f>
        <v>10</v>
      </c>
      <c r="M684" s="15">
        <v>3.83</v>
      </c>
      <c r="N684" s="15">
        <f>SalesData[[#This Row],[Quantity Sold]] * SalesData[[#This Row],[Cleaned Unit Price]]</f>
        <v>30</v>
      </c>
      <c r="O684" s="15">
        <f>SalesData[[#This Row],[Quantity Sold]] * SalesData[[#This Row],[Unit Cost]]</f>
        <v>11.49</v>
      </c>
      <c r="P684" s="15">
        <f>SalesData[[#This Row],[Revenue]] - SalesData[[#This Row],[Cost]]</f>
        <v>18.509999999999998</v>
      </c>
      <c r="Q684" s="13">
        <f>IF(SalesData[[#This Row],[Revenue]]=0,0,SalesData[[#This Row],[Profit]]/SalesData[[#This Row],[Revenue]])</f>
        <v>0.61699999999999988</v>
      </c>
      <c r="R684" t="s">
        <v>1053</v>
      </c>
      <c r="S684" t="s">
        <v>1252</v>
      </c>
      <c r="T684" t="str">
        <f>PROPER(SalesData[[#This Row],[Customer Name]])</f>
        <v>Evelyn Garcia</v>
      </c>
      <c r="U684" t="s">
        <v>1414</v>
      </c>
      <c r="V684" t="s">
        <v>1420</v>
      </c>
    </row>
    <row r="685" spans="1:22" x14ac:dyDescent="0.25">
      <c r="A685" t="s">
        <v>2111</v>
      </c>
      <c r="B685" s="5">
        <v>45535</v>
      </c>
      <c r="C685" s="2" t="str">
        <f>TEXT(SalesData[[#This Row],[Order Date]],"mmm")</f>
        <v>Aug</v>
      </c>
      <c r="D685" s="7">
        <f>MONTH(SalesData[[#This Row],[Order Date]])</f>
        <v>8</v>
      </c>
      <c r="E685" s="7">
        <f>YEAR(SalesData[[#This Row],[Order Date]])</f>
        <v>2024</v>
      </c>
      <c r="F685" t="s">
        <v>307</v>
      </c>
      <c r="G685" t="str">
        <f>PROPER(SalesData[[#This Row],[Product Name]])</f>
        <v>Eco Canvas Tote Bag</v>
      </c>
      <c r="H685" t="s">
        <v>1013</v>
      </c>
      <c r="I685" t="str">
        <f>UPPER(SalesData[[#This Row],[Product Category]])</f>
        <v>BAGS</v>
      </c>
      <c r="J685">
        <v>5</v>
      </c>
      <c r="K685">
        <v>25</v>
      </c>
      <c r="L685" s="15">
        <f>IF(SalesData[[#This Row],[Unit Price]]="",
    AVERAGEIFS(SalesData[Unit Price],
               SalesData[Product Name],SalesData[[#This Row],[Product Name]]),
    SalesData[[#This Row],[Unit Price]])</f>
        <v>25</v>
      </c>
      <c r="M685" s="15">
        <v>7.66</v>
      </c>
      <c r="N685" s="15">
        <f>SalesData[[#This Row],[Quantity Sold]] * SalesData[[#This Row],[Cleaned Unit Price]]</f>
        <v>125</v>
      </c>
      <c r="O685" s="15">
        <f>SalesData[[#This Row],[Quantity Sold]] * SalesData[[#This Row],[Unit Cost]]</f>
        <v>38.299999999999997</v>
      </c>
      <c r="P685" s="15">
        <f>SalesData[[#This Row],[Revenue]] - SalesData[[#This Row],[Cost]]</f>
        <v>86.7</v>
      </c>
      <c r="Q685" s="13">
        <f>IF(SalesData[[#This Row],[Revenue]]=0,0,SalesData[[#This Row],[Profit]]/SalesData[[#This Row],[Revenue]])</f>
        <v>0.69359999999999999</v>
      </c>
      <c r="R685" t="s">
        <v>1021</v>
      </c>
      <c r="S685" t="s">
        <v>1220</v>
      </c>
      <c r="T685" t="str">
        <f>PROPER(SalesData[[#This Row],[Customer Name]])</f>
        <v>Liam Garcia</v>
      </c>
      <c r="U685" t="s">
        <v>1416</v>
      </c>
      <c r="V685" t="s">
        <v>1418</v>
      </c>
    </row>
    <row r="686" spans="1:22" x14ac:dyDescent="0.25">
      <c r="A686" t="s">
        <v>2112</v>
      </c>
      <c r="B686" s="5">
        <v>45536</v>
      </c>
      <c r="C686" s="2" t="str">
        <f>TEXT(SalesData[[#This Row],[Order Date]],"mmm")</f>
        <v>Sep</v>
      </c>
      <c r="D686" s="7">
        <f>MONTH(SalesData[[#This Row],[Order Date]])</f>
        <v>9</v>
      </c>
      <c r="E686" s="7">
        <f>YEAR(SalesData[[#This Row],[Order Date]])</f>
        <v>2024</v>
      </c>
      <c r="F686" t="s">
        <v>320</v>
      </c>
      <c r="G686" t="str">
        <f>PROPER(SalesData[[#This Row],[Product Name]])</f>
        <v>Solar Led Lantern</v>
      </c>
      <c r="H686" t="s">
        <v>1012</v>
      </c>
      <c r="I686" t="str">
        <f>UPPER(SalesData[[#This Row],[Product Category]])</f>
        <v>LIGHTING</v>
      </c>
      <c r="J686">
        <v>8</v>
      </c>
      <c r="K686">
        <v>40</v>
      </c>
      <c r="L686" s="15">
        <f>IF(SalesData[[#This Row],[Unit Price]]="",
    AVERAGEIFS(SalesData[Unit Price],
               SalesData[Product Name],SalesData[[#This Row],[Product Name]]),
    SalesData[[#This Row],[Unit Price]])</f>
        <v>40</v>
      </c>
      <c r="M686" s="15">
        <v>12.16</v>
      </c>
      <c r="N686" s="15">
        <f>SalesData[[#This Row],[Quantity Sold]] * SalesData[[#This Row],[Cleaned Unit Price]]</f>
        <v>320</v>
      </c>
      <c r="O686" s="15">
        <f>SalesData[[#This Row],[Quantity Sold]] * SalesData[[#This Row],[Unit Cost]]</f>
        <v>97.28</v>
      </c>
      <c r="P686" s="15">
        <f>SalesData[[#This Row],[Revenue]] - SalesData[[#This Row],[Cost]]</f>
        <v>222.72</v>
      </c>
      <c r="Q686" s="13">
        <f>IF(SalesData[[#This Row],[Revenue]]=0,0,SalesData[[#This Row],[Profit]]/SalesData[[#This Row],[Revenue]])</f>
        <v>0.69599999999999995</v>
      </c>
      <c r="R686" t="s">
        <v>1171</v>
      </c>
      <c r="S686" t="s">
        <v>1370</v>
      </c>
      <c r="T686" t="str">
        <f>PROPER(SalesData[[#This Row],[Customer Name]])</f>
        <v>Ava Rodriguez</v>
      </c>
      <c r="U686" t="s">
        <v>1417</v>
      </c>
      <c r="V686" t="s">
        <v>1425</v>
      </c>
    </row>
    <row r="687" spans="1:22" x14ac:dyDescent="0.25">
      <c r="A687" t="s">
        <v>2113</v>
      </c>
      <c r="B687" s="5">
        <v>45537</v>
      </c>
      <c r="C687" s="2" t="str">
        <f>TEXT(SalesData[[#This Row],[Order Date]],"mmm")</f>
        <v>Sep</v>
      </c>
      <c r="D687" s="7">
        <f>MONTH(SalesData[[#This Row],[Order Date]])</f>
        <v>9</v>
      </c>
      <c r="E687" s="7">
        <f>YEAR(SalesData[[#This Row],[Order Date]])</f>
        <v>2024</v>
      </c>
      <c r="F687" t="s">
        <v>213</v>
      </c>
      <c r="G687" t="str">
        <f>PROPER(SalesData[[#This Row],[Product Name]])</f>
        <v>Compostable Plant Pots</v>
      </c>
      <c r="H687" t="s">
        <v>1011</v>
      </c>
      <c r="I687" t="str">
        <f>UPPER(SalesData[[#This Row],[Product Category]])</f>
        <v>GARDENING</v>
      </c>
      <c r="J687">
        <v>7</v>
      </c>
      <c r="K687">
        <v>12</v>
      </c>
      <c r="L687" s="15">
        <f>IF(SalesData[[#This Row],[Unit Price]]="",
    AVERAGEIFS(SalesData[Unit Price],
               SalesData[Product Name],SalesData[[#This Row],[Product Name]]),
    SalesData[[#This Row],[Unit Price]])</f>
        <v>12</v>
      </c>
      <c r="M687" s="15">
        <v>3.97</v>
      </c>
      <c r="N687" s="15">
        <f>SalesData[[#This Row],[Quantity Sold]] * SalesData[[#This Row],[Cleaned Unit Price]]</f>
        <v>84</v>
      </c>
      <c r="O687" s="15">
        <f>SalesData[[#This Row],[Quantity Sold]] * SalesData[[#This Row],[Unit Cost]]</f>
        <v>27.790000000000003</v>
      </c>
      <c r="P687" s="15">
        <f>SalesData[[#This Row],[Revenue]] - SalesData[[#This Row],[Cost]]</f>
        <v>56.209999999999994</v>
      </c>
      <c r="Q687" s="13">
        <f>IF(SalesData[[#This Row],[Revenue]]=0,0,SalesData[[#This Row],[Profit]]/SalesData[[#This Row],[Revenue]])</f>
        <v>0.66916666666666658</v>
      </c>
      <c r="R687" t="s">
        <v>1036</v>
      </c>
      <c r="S687" t="s">
        <v>1235</v>
      </c>
      <c r="T687" t="str">
        <f>PROPER(SalesData[[#This Row],[Customer Name]])</f>
        <v>Amelia Johnson</v>
      </c>
      <c r="U687" t="s">
        <v>1414</v>
      </c>
      <c r="V687" t="s">
        <v>1422</v>
      </c>
    </row>
    <row r="688" spans="1:22" x14ac:dyDescent="0.25">
      <c r="A688" t="s">
        <v>2114</v>
      </c>
      <c r="B688" s="5">
        <v>45537</v>
      </c>
      <c r="C688" s="2" t="str">
        <f>TEXT(SalesData[[#This Row],[Order Date]],"mmm")</f>
        <v>Sep</v>
      </c>
      <c r="D688" s="7">
        <f>MONTH(SalesData[[#This Row],[Order Date]])</f>
        <v>9</v>
      </c>
      <c r="E688" s="7">
        <f>YEAR(SalesData[[#This Row],[Order Date]])</f>
        <v>2024</v>
      </c>
      <c r="F688" t="s">
        <v>546</v>
      </c>
      <c r="G688" t="str">
        <f>PROPER(SalesData[[#This Row],[Product Name]])</f>
        <v>Eco Canvas Tote Bag</v>
      </c>
      <c r="H688" t="s">
        <v>1013</v>
      </c>
      <c r="I688" t="str">
        <f>UPPER(SalesData[[#This Row],[Product Category]])</f>
        <v>BAGS</v>
      </c>
      <c r="J688">
        <v>4</v>
      </c>
      <c r="K688">
        <v>25</v>
      </c>
      <c r="L688" s="15">
        <f>IF(SalesData[[#This Row],[Unit Price]]="",
    AVERAGEIFS(SalesData[Unit Price],
               SalesData[Product Name],SalesData[[#This Row],[Product Name]]),
    SalesData[[#This Row],[Unit Price]])</f>
        <v>25</v>
      </c>
      <c r="M688" s="15">
        <v>6.53</v>
      </c>
      <c r="N688" s="15">
        <f>SalesData[[#This Row],[Quantity Sold]] * SalesData[[#This Row],[Cleaned Unit Price]]</f>
        <v>100</v>
      </c>
      <c r="O688" s="15">
        <f>SalesData[[#This Row],[Quantity Sold]] * SalesData[[#This Row],[Unit Cost]]</f>
        <v>26.12</v>
      </c>
      <c r="P688" s="15">
        <f>SalesData[[#This Row],[Revenue]] - SalesData[[#This Row],[Cost]]</f>
        <v>73.88</v>
      </c>
      <c r="Q688" s="13">
        <f>IF(SalesData[[#This Row],[Revenue]]=0,0,SalesData[[#This Row],[Profit]]/SalesData[[#This Row],[Revenue]])</f>
        <v>0.7387999999999999</v>
      </c>
      <c r="R688" t="s">
        <v>1107</v>
      </c>
      <c r="S688" t="s">
        <v>1306</v>
      </c>
      <c r="T688" t="str">
        <f>PROPER(SalesData[[#This Row],[Customer Name]])</f>
        <v>Liam Rodriguez</v>
      </c>
      <c r="U688" t="s">
        <v>1415</v>
      </c>
      <c r="V688" t="s">
        <v>1424</v>
      </c>
    </row>
    <row r="689" spans="1:22" x14ac:dyDescent="0.25">
      <c r="A689" t="s">
        <v>2115</v>
      </c>
      <c r="B689" s="5">
        <v>45537</v>
      </c>
      <c r="C689" s="2" t="str">
        <f>TEXT(SalesData[[#This Row],[Order Date]],"mmm")</f>
        <v>Sep</v>
      </c>
      <c r="D689" s="7">
        <f>MONTH(SalesData[[#This Row],[Order Date]])</f>
        <v>9</v>
      </c>
      <c r="E689" s="7">
        <f>YEAR(SalesData[[#This Row],[Order Date]])</f>
        <v>2024</v>
      </c>
      <c r="F689" t="s">
        <v>686</v>
      </c>
      <c r="G689" t="str">
        <f>PROPER(SalesData[[#This Row],[Product Name]])</f>
        <v>Reusable Bamboo Utensil Set</v>
      </c>
      <c r="H689" t="s">
        <v>1014</v>
      </c>
      <c r="I689" t="str">
        <f>UPPER(SalesData[[#This Row],[Product Category]])</f>
        <v>KITCHENWARE</v>
      </c>
      <c r="J689">
        <v>3</v>
      </c>
      <c r="K689">
        <v>15</v>
      </c>
      <c r="L689" s="15">
        <f>IF(SalesData[[#This Row],[Unit Price]]="",
    AVERAGEIFS(SalesData[Unit Price],
               SalesData[Product Name],SalesData[[#This Row],[Product Name]]),
    SalesData[[#This Row],[Unit Price]])</f>
        <v>15</v>
      </c>
      <c r="M689" s="15">
        <v>3.29</v>
      </c>
      <c r="N689" s="15">
        <f>SalesData[[#This Row],[Quantity Sold]] * SalesData[[#This Row],[Cleaned Unit Price]]</f>
        <v>45</v>
      </c>
      <c r="O689" s="15">
        <f>SalesData[[#This Row],[Quantity Sold]] * SalesData[[#This Row],[Unit Cost]]</f>
        <v>9.870000000000001</v>
      </c>
      <c r="P689" s="15">
        <f>SalesData[[#This Row],[Revenue]] - SalesData[[#This Row],[Cost]]</f>
        <v>35.129999999999995</v>
      </c>
      <c r="Q689" s="13">
        <f>IF(SalesData[[#This Row],[Revenue]]=0,0,SalesData[[#This Row],[Profit]]/SalesData[[#This Row],[Revenue]])</f>
        <v>0.78066666666666662</v>
      </c>
      <c r="R689" t="s">
        <v>1175</v>
      </c>
      <c r="S689" t="s">
        <v>1374</v>
      </c>
      <c r="T689" t="str">
        <f>PROPER(SalesData[[#This Row],[Customer Name]])</f>
        <v>Ava Rodriguez</v>
      </c>
      <c r="U689" t="s">
        <v>1414</v>
      </c>
      <c r="V689" t="s">
        <v>1427</v>
      </c>
    </row>
    <row r="690" spans="1:22" x14ac:dyDescent="0.25">
      <c r="A690" t="s">
        <v>2116</v>
      </c>
      <c r="B690" s="5">
        <v>45538</v>
      </c>
      <c r="C690" s="2" t="str">
        <f>TEXT(SalesData[[#This Row],[Order Date]],"mmm")</f>
        <v>Sep</v>
      </c>
      <c r="D690" s="7">
        <f>MONTH(SalesData[[#This Row],[Order Date]])</f>
        <v>9</v>
      </c>
      <c r="E690" s="7">
        <f>YEAR(SalesData[[#This Row],[Order Date]])</f>
        <v>2024</v>
      </c>
      <c r="F690" t="s">
        <v>61</v>
      </c>
      <c r="G690" t="str">
        <f>PROPER(SalesData[[#This Row],[Product Name]])</f>
        <v>Compostable Plant Pots</v>
      </c>
      <c r="H690" t="s">
        <v>1011</v>
      </c>
      <c r="I690" t="str">
        <f>UPPER(SalesData[[#This Row],[Product Category]])</f>
        <v>GARDENING</v>
      </c>
      <c r="J690">
        <v>10</v>
      </c>
      <c r="K690">
        <v>12</v>
      </c>
      <c r="L690" s="15">
        <f>IF(SalesData[[#This Row],[Unit Price]]="",
    AVERAGEIFS(SalesData[Unit Price],
               SalesData[Product Name],SalesData[[#This Row],[Product Name]]),
    SalesData[[#This Row],[Unit Price]])</f>
        <v>12</v>
      </c>
      <c r="M690" s="15">
        <v>2.42</v>
      </c>
      <c r="N690" s="15">
        <f>SalesData[[#This Row],[Quantity Sold]] * SalesData[[#This Row],[Cleaned Unit Price]]</f>
        <v>120</v>
      </c>
      <c r="O690" s="15">
        <f>SalesData[[#This Row],[Quantity Sold]] * SalesData[[#This Row],[Unit Cost]]</f>
        <v>24.2</v>
      </c>
      <c r="P690" s="15">
        <f>SalesData[[#This Row],[Revenue]] - SalesData[[#This Row],[Cost]]</f>
        <v>95.8</v>
      </c>
      <c r="Q690" s="13">
        <f>IF(SalesData[[#This Row],[Revenue]]=0,0,SalesData[[#This Row],[Profit]]/SalesData[[#This Row],[Revenue]])</f>
        <v>0.79833333333333334</v>
      </c>
      <c r="R690" t="s">
        <v>1054</v>
      </c>
      <c r="S690" t="s">
        <v>1253</v>
      </c>
      <c r="T690" t="str">
        <f>PROPER(SalesData[[#This Row],[Customer Name]])</f>
        <v>Ethan Johnson</v>
      </c>
      <c r="U690" t="s">
        <v>1416</v>
      </c>
      <c r="V690" t="s">
        <v>1418</v>
      </c>
    </row>
    <row r="691" spans="1:22" x14ac:dyDescent="0.25">
      <c r="A691" t="s">
        <v>2117</v>
      </c>
      <c r="B691" s="5">
        <v>45538</v>
      </c>
      <c r="C691" s="2" t="str">
        <f>TEXT(SalesData[[#This Row],[Order Date]],"mmm")</f>
        <v>Sep</v>
      </c>
      <c r="D691" s="7">
        <f>MONTH(SalesData[[#This Row],[Order Date]])</f>
        <v>9</v>
      </c>
      <c r="E691" s="7">
        <f>YEAR(SalesData[[#This Row],[Order Date]])</f>
        <v>2024</v>
      </c>
      <c r="F691" t="s">
        <v>616</v>
      </c>
      <c r="G691" t="str">
        <f>PROPER(SalesData[[#This Row],[Product Name]])</f>
        <v>Eco Canvas Tote Bag</v>
      </c>
      <c r="H691" t="s">
        <v>1013</v>
      </c>
      <c r="I691" t="str">
        <f>UPPER(SalesData[[#This Row],[Product Category]])</f>
        <v>BAGS</v>
      </c>
      <c r="J691">
        <v>5</v>
      </c>
      <c r="K691">
        <v>25</v>
      </c>
      <c r="L691" s="15">
        <f>IF(SalesData[[#This Row],[Unit Price]]="",
    AVERAGEIFS(SalesData[Unit Price],
               SalesData[Product Name],SalesData[[#This Row],[Product Name]]),
    SalesData[[#This Row],[Unit Price]])</f>
        <v>25</v>
      </c>
      <c r="M691" s="15">
        <v>7.76</v>
      </c>
      <c r="N691" s="15">
        <f>SalesData[[#This Row],[Quantity Sold]] * SalesData[[#This Row],[Cleaned Unit Price]]</f>
        <v>125</v>
      </c>
      <c r="O691" s="15">
        <f>SalesData[[#This Row],[Quantity Sold]] * SalesData[[#This Row],[Unit Cost]]</f>
        <v>38.799999999999997</v>
      </c>
      <c r="P691" s="15">
        <f>SalesData[[#This Row],[Revenue]] - SalesData[[#This Row],[Cost]]</f>
        <v>86.2</v>
      </c>
      <c r="Q691" s="13">
        <f>IF(SalesData[[#This Row],[Revenue]]=0,0,SalesData[[#This Row],[Profit]]/SalesData[[#This Row],[Revenue]])</f>
        <v>0.68959999999999999</v>
      </c>
      <c r="R691" t="s">
        <v>1037</v>
      </c>
      <c r="S691" t="s">
        <v>1236</v>
      </c>
      <c r="T691" t="str">
        <f>PROPER(SalesData[[#This Row],[Customer Name]])</f>
        <v>Amelia Johnson</v>
      </c>
      <c r="U691" t="s">
        <v>1414</v>
      </c>
      <c r="V691" t="s">
        <v>1425</v>
      </c>
    </row>
    <row r="692" spans="1:22" x14ac:dyDescent="0.25">
      <c r="A692" t="s">
        <v>2118</v>
      </c>
      <c r="B692" s="5">
        <v>45539</v>
      </c>
      <c r="C692" s="2" t="str">
        <f>TEXT(SalesData[[#This Row],[Order Date]],"mmm")</f>
        <v>Sep</v>
      </c>
      <c r="D692" s="7">
        <f>MONTH(SalesData[[#This Row],[Order Date]])</f>
        <v>9</v>
      </c>
      <c r="E692" s="7">
        <f>YEAR(SalesData[[#This Row],[Order Date]])</f>
        <v>2024</v>
      </c>
      <c r="F692" t="s">
        <v>46</v>
      </c>
      <c r="G692" t="str">
        <f>PROPER(SalesData[[#This Row],[Product Name]])</f>
        <v>Biodegradable Cleaning Cloth</v>
      </c>
      <c r="H692" t="s">
        <v>1015</v>
      </c>
      <c r="I692" t="str">
        <f>UPPER(SalesData[[#This Row],[Product Category]])</f>
        <v>CLEANING</v>
      </c>
      <c r="J692">
        <v>9</v>
      </c>
      <c r="K692">
        <v>10</v>
      </c>
      <c r="L692" s="15">
        <f>IF(SalesData[[#This Row],[Unit Price]]="",
    AVERAGEIFS(SalesData[Unit Price],
               SalesData[Product Name],SalesData[[#This Row],[Product Name]]),
    SalesData[[#This Row],[Unit Price]])</f>
        <v>10</v>
      </c>
      <c r="M692" s="15">
        <v>3.63</v>
      </c>
      <c r="N692" s="15">
        <f>SalesData[[#This Row],[Quantity Sold]] * SalesData[[#This Row],[Cleaned Unit Price]]</f>
        <v>90</v>
      </c>
      <c r="O692" s="15">
        <f>SalesData[[#This Row],[Quantity Sold]] * SalesData[[#This Row],[Unit Cost]]</f>
        <v>32.67</v>
      </c>
      <c r="P692" s="15">
        <f>SalesData[[#This Row],[Revenue]] - SalesData[[#This Row],[Cost]]</f>
        <v>57.33</v>
      </c>
      <c r="Q692" s="13">
        <f>IF(SalesData[[#This Row],[Revenue]]=0,0,SalesData[[#This Row],[Profit]]/SalesData[[#This Row],[Revenue]])</f>
        <v>0.63700000000000001</v>
      </c>
      <c r="R692" t="s">
        <v>1045</v>
      </c>
      <c r="S692" t="s">
        <v>1244</v>
      </c>
      <c r="T692" t="str">
        <f>PROPER(SalesData[[#This Row],[Customer Name]])</f>
        <v>Liam Davis</v>
      </c>
      <c r="U692" t="s">
        <v>1414</v>
      </c>
      <c r="V692" t="s">
        <v>1426</v>
      </c>
    </row>
    <row r="693" spans="1:22" x14ac:dyDescent="0.25">
      <c r="A693" t="s">
        <v>2119</v>
      </c>
      <c r="B693" s="5">
        <v>45539</v>
      </c>
      <c r="C693" s="2" t="str">
        <f>TEXT(SalesData[[#This Row],[Order Date]],"mmm")</f>
        <v>Sep</v>
      </c>
      <c r="D693" s="7">
        <f>MONTH(SalesData[[#This Row],[Order Date]])</f>
        <v>9</v>
      </c>
      <c r="E693" s="7">
        <f>YEAR(SalesData[[#This Row],[Order Date]])</f>
        <v>2024</v>
      </c>
      <c r="F693" t="s">
        <v>114</v>
      </c>
      <c r="G693" t="str">
        <f>PROPER(SalesData[[#This Row],[Product Name]])</f>
        <v>Biodegradable Cleaning Cloth</v>
      </c>
      <c r="H693" t="s">
        <v>1015</v>
      </c>
      <c r="I693" t="str">
        <f>UPPER(SalesData[[#This Row],[Product Category]])</f>
        <v>CLEANING</v>
      </c>
      <c r="J693">
        <v>8</v>
      </c>
      <c r="K693">
        <v>10</v>
      </c>
      <c r="L693" s="15">
        <f>IF(SalesData[[#This Row],[Unit Price]]="",
    AVERAGEIFS(SalesData[Unit Price],
               SalesData[Product Name],SalesData[[#This Row],[Product Name]]),
    SalesData[[#This Row],[Unit Price]])</f>
        <v>10</v>
      </c>
      <c r="M693" s="15">
        <v>2.33</v>
      </c>
      <c r="N693" s="15">
        <f>SalesData[[#This Row],[Quantity Sold]] * SalesData[[#This Row],[Cleaned Unit Price]]</f>
        <v>80</v>
      </c>
      <c r="O693" s="15">
        <f>SalesData[[#This Row],[Quantity Sold]] * SalesData[[#This Row],[Unit Cost]]</f>
        <v>18.64</v>
      </c>
      <c r="P693" s="15">
        <f>SalesData[[#This Row],[Revenue]] - SalesData[[#This Row],[Cost]]</f>
        <v>61.36</v>
      </c>
      <c r="Q693" s="13">
        <f>IF(SalesData[[#This Row],[Revenue]]=0,0,SalesData[[#This Row],[Profit]]/SalesData[[#This Row],[Revenue]])</f>
        <v>0.76700000000000002</v>
      </c>
      <c r="R693" t="s">
        <v>1075</v>
      </c>
      <c r="S693" t="s">
        <v>1274</v>
      </c>
      <c r="T693" t="str">
        <f>PROPER(SalesData[[#This Row],[Customer Name]])</f>
        <v>Oliver Johnson</v>
      </c>
      <c r="U693" t="s">
        <v>1416</v>
      </c>
      <c r="V693" t="s">
        <v>1427</v>
      </c>
    </row>
    <row r="694" spans="1:22" x14ac:dyDescent="0.25">
      <c r="A694" t="s">
        <v>2120</v>
      </c>
      <c r="B694" s="5">
        <v>45539</v>
      </c>
      <c r="C694" s="2" t="str">
        <f>TEXT(SalesData[[#This Row],[Order Date]],"mmm")</f>
        <v>Sep</v>
      </c>
      <c r="D694" s="7">
        <f>MONTH(SalesData[[#This Row],[Order Date]])</f>
        <v>9</v>
      </c>
      <c r="E694" s="7">
        <f>YEAR(SalesData[[#This Row],[Order Date]])</f>
        <v>2024</v>
      </c>
      <c r="F694" t="s">
        <v>245</v>
      </c>
      <c r="G694" t="str">
        <f>PROPER(SalesData[[#This Row],[Product Name]])</f>
        <v>Reusable Bamboo Utensil Set</v>
      </c>
      <c r="H694" t="s">
        <v>1014</v>
      </c>
      <c r="I694" t="str">
        <f>UPPER(SalesData[[#This Row],[Product Category]])</f>
        <v>KITCHENWARE</v>
      </c>
      <c r="J694">
        <v>4</v>
      </c>
      <c r="L694" s="15">
        <f>IF(SalesData[[#This Row],[Unit Price]]="",
    AVERAGEIFS(SalesData[Unit Price],
               SalesData[Product Name],SalesData[[#This Row],[Product Name]]),
    SalesData[[#This Row],[Unit Price]])</f>
        <v>15</v>
      </c>
      <c r="M694" s="15">
        <v>4.5599999999999996</v>
      </c>
      <c r="N694" s="15">
        <f>SalesData[[#This Row],[Quantity Sold]] * SalesData[[#This Row],[Cleaned Unit Price]]</f>
        <v>60</v>
      </c>
      <c r="O694" s="15">
        <f>SalesData[[#This Row],[Quantity Sold]] * SalesData[[#This Row],[Unit Cost]]</f>
        <v>18.239999999999998</v>
      </c>
      <c r="P694" s="15">
        <f>SalesData[[#This Row],[Revenue]] - SalesData[[#This Row],[Cost]]</f>
        <v>41.760000000000005</v>
      </c>
      <c r="Q694" s="13">
        <f>IF(SalesData[[#This Row],[Revenue]]=0,0,SalesData[[#This Row],[Profit]]/SalesData[[#This Row],[Revenue]])</f>
        <v>0.69600000000000006</v>
      </c>
      <c r="R694" t="s">
        <v>1021</v>
      </c>
      <c r="S694" t="s">
        <v>1220</v>
      </c>
      <c r="T694" t="str">
        <f>PROPER(SalesData[[#This Row],[Customer Name]])</f>
        <v>Liam Garcia</v>
      </c>
      <c r="U694" t="s">
        <v>1414</v>
      </c>
      <c r="V694" t="s">
        <v>1423</v>
      </c>
    </row>
    <row r="695" spans="1:22" x14ac:dyDescent="0.25">
      <c r="A695" t="s">
        <v>2121</v>
      </c>
      <c r="B695" s="5">
        <v>45539</v>
      </c>
      <c r="C695" s="2" t="str">
        <f>TEXT(SalesData[[#This Row],[Order Date]],"mmm")</f>
        <v>Sep</v>
      </c>
      <c r="D695" s="7">
        <f>MONTH(SalesData[[#This Row],[Order Date]])</f>
        <v>9</v>
      </c>
      <c r="E695" s="7">
        <f>YEAR(SalesData[[#This Row],[Order Date]])</f>
        <v>2024</v>
      </c>
      <c r="F695" t="s">
        <v>757</v>
      </c>
      <c r="G695" t="str">
        <f>PROPER(SalesData[[#This Row],[Product Name]])</f>
        <v>Reusable Bamboo Utensil Set</v>
      </c>
      <c r="H695" t="s">
        <v>1014</v>
      </c>
      <c r="I695" t="str">
        <f>UPPER(SalesData[[#This Row],[Product Category]])</f>
        <v>KITCHENWARE</v>
      </c>
      <c r="J695">
        <v>7</v>
      </c>
      <c r="K695">
        <v>15</v>
      </c>
      <c r="L695" s="15">
        <f>IF(SalesData[[#This Row],[Unit Price]]="",
    AVERAGEIFS(SalesData[Unit Price],
               SalesData[Product Name],SalesData[[#This Row],[Product Name]]),
    SalesData[[#This Row],[Unit Price]])</f>
        <v>15</v>
      </c>
      <c r="M695" s="15">
        <v>5.0599999999999996</v>
      </c>
      <c r="N695" s="15">
        <f>SalesData[[#This Row],[Quantity Sold]] * SalesData[[#This Row],[Cleaned Unit Price]]</f>
        <v>105</v>
      </c>
      <c r="O695" s="15">
        <f>SalesData[[#This Row],[Quantity Sold]] * SalesData[[#This Row],[Unit Cost]]</f>
        <v>35.419999999999995</v>
      </c>
      <c r="P695" s="15">
        <f>SalesData[[#This Row],[Revenue]] - SalesData[[#This Row],[Cost]]</f>
        <v>69.580000000000013</v>
      </c>
      <c r="Q695" s="13">
        <f>IF(SalesData[[#This Row],[Revenue]]=0,0,SalesData[[#This Row],[Profit]]/SalesData[[#This Row],[Revenue]])</f>
        <v>0.66266666666666674</v>
      </c>
      <c r="R695" t="s">
        <v>1159</v>
      </c>
      <c r="S695" t="s">
        <v>1358</v>
      </c>
      <c r="T695" t="str">
        <f>PROPER(SalesData[[#This Row],[Customer Name]])</f>
        <v>Sophia Rodriguez</v>
      </c>
      <c r="U695" t="s">
        <v>1416</v>
      </c>
      <c r="V695" t="s">
        <v>1418</v>
      </c>
    </row>
    <row r="696" spans="1:22" x14ac:dyDescent="0.25">
      <c r="A696" t="s">
        <v>2122</v>
      </c>
      <c r="B696" s="5">
        <v>45540</v>
      </c>
      <c r="C696" s="2" t="str">
        <f>TEXT(SalesData[[#This Row],[Order Date]],"mmm")</f>
        <v>Sep</v>
      </c>
      <c r="D696" s="7">
        <f>MONTH(SalesData[[#This Row],[Order Date]])</f>
        <v>9</v>
      </c>
      <c r="E696" s="7">
        <f>YEAR(SalesData[[#This Row],[Order Date]])</f>
        <v>2024</v>
      </c>
      <c r="F696" t="s">
        <v>225</v>
      </c>
      <c r="G696" t="str">
        <f>PROPER(SalesData[[#This Row],[Product Name]])</f>
        <v>Eco Canvas Tote Bag</v>
      </c>
      <c r="H696" t="s">
        <v>1013</v>
      </c>
      <c r="I696" t="str">
        <f>UPPER(SalesData[[#This Row],[Product Category]])</f>
        <v>BAGS</v>
      </c>
      <c r="J696">
        <v>1</v>
      </c>
      <c r="K696">
        <v>25</v>
      </c>
      <c r="L696" s="15">
        <f>IF(SalesData[[#This Row],[Unit Price]]="",
    AVERAGEIFS(SalesData[Unit Price],
               SalesData[Product Name],SalesData[[#This Row],[Product Name]]),
    SalesData[[#This Row],[Unit Price]])</f>
        <v>25</v>
      </c>
      <c r="M696" s="15">
        <v>8.42</v>
      </c>
      <c r="N696" s="15">
        <f>SalesData[[#This Row],[Quantity Sold]] * SalesData[[#This Row],[Cleaned Unit Price]]</f>
        <v>25</v>
      </c>
      <c r="O696" s="15">
        <f>SalesData[[#This Row],[Quantity Sold]] * SalesData[[#This Row],[Unit Cost]]</f>
        <v>8.42</v>
      </c>
      <c r="P696" s="15">
        <f>SalesData[[#This Row],[Revenue]] - SalesData[[#This Row],[Cost]]</f>
        <v>16.579999999999998</v>
      </c>
      <c r="Q696" s="13">
        <f>IF(SalesData[[#This Row],[Revenue]]=0,0,SalesData[[#This Row],[Profit]]/SalesData[[#This Row],[Revenue]])</f>
        <v>0.6631999999999999</v>
      </c>
      <c r="R696" t="s">
        <v>1130</v>
      </c>
      <c r="S696" t="s">
        <v>1329</v>
      </c>
      <c r="T696" t="str">
        <f>PROPER(SalesData[[#This Row],[Customer Name]])</f>
        <v>Sophia Johnson</v>
      </c>
      <c r="U696" t="s">
        <v>1416</v>
      </c>
      <c r="V696" t="s">
        <v>1424</v>
      </c>
    </row>
    <row r="697" spans="1:22" x14ac:dyDescent="0.25">
      <c r="A697" t="s">
        <v>2123</v>
      </c>
      <c r="B697" s="5">
        <v>45541</v>
      </c>
      <c r="C697" s="2" t="str">
        <f>TEXT(SalesData[[#This Row],[Order Date]],"mmm")</f>
        <v>Sep</v>
      </c>
      <c r="D697" s="7">
        <f>MONTH(SalesData[[#This Row],[Order Date]])</f>
        <v>9</v>
      </c>
      <c r="E697" s="7">
        <f>YEAR(SalesData[[#This Row],[Order Date]])</f>
        <v>2024</v>
      </c>
      <c r="F697" t="s">
        <v>470</v>
      </c>
      <c r="G697" t="str">
        <f>PROPER(SalesData[[#This Row],[Product Name]])</f>
        <v>Biodegradable Cleaning Cloth</v>
      </c>
      <c r="H697" t="s">
        <v>1015</v>
      </c>
      <c r="I697" t="str">
        <f>UPPER(SalesData[[#This Row],[Product Category]])</f>
        <v>CLEANING</v>
      </c>
      <c r="J697">
        <v>7</v>
      </c>
      <c r="K697">
        <v>10</v>
      </c>
      <c r="L697" s="15">
        <f>IF(SalesData[[#This Row],[Unit Price]]="",
    AVERAGEIFS(SalesData[Unit Price],
               SalesData[Product Name],SalesData[[#This Row],[Product Name]]),
    SalesData[[#This Row],[Unit Price]])</f>
        <v>10</v>
      </c>
      <c r="M697" s="15">
        <v>3.96</v>
      </c>
      <c r="N697" s="15">
        <f>SalesData[[#This Row],[Quantity Sold]] * SalesData[[#This Row],[Cleaned Unit Price]]</f>
        <v>70</v>
      </c>
      <c r="O697" s="15">
        <f>SalesData[[#This Row],[Quantity Sold]] * SalesData[[#This Row],[Unit Cost]]</f>
        <v>27.72</v>
      </c>
      <c r="P697" s="15">
        <f>SalesData[[#This Row],[Revenue]] - SalesData[[#This Row],[Cost]]</f>
        <v>42.28</v>
      </c>
      <c r="Q697" s="13">
        <f>IF(SalesData[[#This Row],[Revenue]]=0,0,SalesData[[#This Row],[Profit]]/SalesData[[#This Row],[Revenue]])</f>
        <v>0.60399999999999998</v>
      </c>
      <c r="R697" t="s">
        <v>1085</v>
      </c>
      <c r="S697" t="s">
        <v>1284</v>
      </c>
      <c r="T697" t="str">
        <f>PROPER(SalesData[[#This Row],[Customer Name]])</f>
        <v>Harper Garcia</v>
      </c>
      <c r="U697" t="s">
        <v>1414</v>
      </c>
      <c r="V697" t="s">
        <v>1419</v>
      </c>
    </row>
    <row r="698" spans="1:22" x14ac:dyDescent="0.25">
      <c r="A698" t="s">
        <v>2124</v>
      </c>
      <c r="B698" s="5">
        <v>45542</v>
      </c>
      <c r="C698" s="2" t="str">
        <f>TEXT(SalesData[[#This Row],[Order Date]],"mmm")</f>
        <v>Sep</v>
      </c>
      <c r="D698" s="7">
        <f>MONTH(SalesData[[#This Row],[Order Date]])</f>
        <v>9</v>
      </c>
      <c r="E698" s="7">
        <f>YEAR(SalesData[[#This Row],[Order Date]])</f>
        <v>2024</v>
      </c>
      <c r="F698" t="s">
        <v>174</v>
      </c>
      <c r="G698" t="str">
        <f>PROPER(SalesData[[#This Row],[Product Name]])</f>
        <v>Reusable Bamboo Utensil Set</v>
      </c>
      <c r="H698" t="s">
        <v>1014</v>
      </c>
      <c r="I698" t="str">
        <f>UPPER(SalesData[[#This Row],[Product Category]])</f>
        <v>KITCHENWARE</v>
      </c>
      <c r="J698">
        <v>5</v>
      </c>
      <c r="K698">
        <v>15</v>
      </c>
      <c r="L698" s="15">
        <f>IF(SalesData[[#This Row],[Unit Price]]="",
    AVERAGEIFS(SalesData[Unit Price],
               SalesData[Product Name],SalesData[[#This Row],[Product Name]]),
    SalesData[[#This Row],[Unit Price]])</f>
        <v>15</v>
      </c>
      <c r="M698" s="15">
        <v>5.13</v>
      </c>
      <c r="N698" s="15">
        <f>SalesData[[#This Row],[Quantity Sold]] * SalesData[[#This Row],[Cleaned Unit Price]]</f>
        <v>75</v>
      </c>
      <c r="O698" s="15">
        <f>SalesData[[#This Row],[Quantity Sold]] * SalesData[[#This Row],[Unit Cost]]</f>
        <v>25.65</v>
      </c>
      <c r="P698" s="15">
        <f>SalesData[[#This Row],[Revenue]] - SalesData[[#This Row],[Cost]]</f>
        <v>49.35</v>
      </c>
      <c r="Q698" s="13">
        <f>IF(SalesData[[#This Row],[Revenue]]=0,0,SalesData[[#This Row],[Profit]]/SalesData[[#This Row],[Revenue]])</f>
        <v>0.65800000000000003</v>
      </c>
      <c r="R698" t="s">
        <v>1025</v>
      </c>
      <c r="S698" t="s">
        <v>1224</v>
      </c>
      <c r="T698" t="str">
        <f>PROPER(SalesData[[#This Row],[Customer Name]])</f>
        <v>Aiden Davis</v>
      </c>
      <c r="U698" t="s">
        <v>1416</v>
      </c>
      <c r="V698" t="s">
        <v>1420</v>
      </c>
    </row>
    <row r="699" spans="1:22" x14ac:dyDescent="0.25">
      <c r="A699" t="s">
        <v>2125</v>
      </c>
      <c r="B699" s="5">
        <v>45542</v>
      </c>
      <c r="C699" s="2" t="str">
        <f>TEXT(SalesData[[#This Row],[Order Date]],"mmm")</f>
        <v>Sep</v>
      </c>
      <c r="D699" s="7">
        <f>MONTH(SalesData[[#This Row],[Order Date]])</f>
        <v>9</v>
      </c>
      <c r="E699" s="7">
        <f>YEAR(SalesData[[#This Row],[Order Date]])</f>
        <v>2024</v>
      </c>
      <c r="F699" t="s">
        <v>726</v>
      </c>
      <c r="G699" t="str">
        <f>PROPER(SalesData[[#This Row],[Product Name]])</f>
        <v>Eco Canvas Tote Bag</v>
      </c>
      <c r="H699" t="s">
        <v>1013</v>
      </c>
      <c r="I699" t="str">
        <f>UPPER(SalesData[[#This Row],[Product Category]])</f>
        <v>BAGS</v>
      </c>
      <c r="J699">
        <v>1</v>
      </c>
      <c r="K699">
        <v>25</v>
      </c>
      <c r="L699" s="15">
        <f>IF(SalesData[[#This Row],[Unit Price]]="",
    AVERAGEIFS(SalesData[Unit Price],
               SalesData[Product Name],SalesData[[#This Row],[Product Name]]),
    SalesData[[#This Row],[Unit Price]])</f>
        <v>25</v>
      </c>
      <c r="M699" s="15">
        <v>8.6199999999999992</v>
      </c>
      <c r="N699" s="15">
        <f>SalesData[[#This Row],[Quantity Sold]] * SalesData[[#This Row],[Cleaned Unit Price]]</f>
        <v>25</v>
      </c>
      <c r="O699" s="15">
        <f>SalesData[[#This Row],[Quantity Sold]] * SalesData[[#This Row],[Unit Cost]]</f>
        <v>8.6199999999999992</v>
      </c>
      <c r="P699" s="15">
        <f>SalesData[[#This Row],[Revenue]] - SalesData[[#This Row],[Cost]]</f>
        <v>16.380000000000003</v>
      </c>
      <c r="Q699" s="13">
        <f>IF(SalesData[[#This Row],[Revenue]]=0,0,SalesData[[#This Row],[Profit]]/SalesData[[#This Row],[Revenue]])</f>
        <v>0.65520000000000012</v>
      </c>
      <c r="R699" t="s">
        <v>1162</v>
      </c>
      <c r="S699" t="s">
        <v>1361</v>
      </c>
      <c r="T699" t="str">
        <f>PROPER(SalesData[[#This Row],[Customer Name]])</f>
        <v>Olivia Garcia</v>
      </c>
      <c r="U699" t="s">
        <v>1414</v>
      </c>
      <c r="V699" t="s">
        <v>1419</v>
      </c>
    </row>
    <row r="700" spans="1:22" x14ac:dyDescent="0.25">
      <c r="A700" t="s">
        <v>2126</v>
      </c>
      <c r="B700" s="5">
        <v>45542</v>
      </c>
      <c r="C700" s="2" t="str">
        <f>TEXT(SalesData[[#This Row],[Order Date]],"mmm")</f>
        <v>Sep</v>
      </c>
      <c r="D700" s="7">
        <f>MONTH(SalesData[[#This Row],[Order Date]])</f>
        <v>9</v>
      </c>
      <c r="E700" s="7">
        <f>YEAR(SalesData[[#This Row],[Order Date]])</f>
        <v>2024</v>
      </c>
      <c r="F700" t="s">
        <v>920</v>
      </c>
      <c r="G700" t="str">
        <f>PROPER(SalesData[[#This Row],[Product Name]])</f>
        <v>Eco Canvas Tote Bag</v>
      </c>
      <c r="H700" t="s">
        <v>1013</v>
      </c>
      <c r="I700" t="str">
        <f>UPPER(SalesData[[#This Row],[Product Category]])</f>
        <v>BAGS</v>
      </c>
      <c r="J700">
        <v>2</v>
      </c>
      <c r="K700">
        <v>25</v>
      </c>
      <c r="L700" s="15">
        <f>IF(SalesData[[#This Row],[Unit Price]]="",
    AVERAGEIFS(SalesData[Unit Price],
               SalesData[Product Name],SalesData[[#This Row],[Product Name]]),
    SalesData[[#This Row],[Unit Price]])</f>
        <v>25</v>
      </c>
      <c r="M700" s="15">
        <v>8.64</v>
      </c>
      <c r="N700" s="15">
        <f>SalesData[[#This Row],[Quantity Sold]] * SalesData[[#This Row],[Cleaned Unit Price]]</f>
        <v>50</v>
      </c>
      <c r="O700" s="15">
        <f>SalesData[[#This Row],[Quantity Sold]] * SalesData[[#This Row],[Unit Cost]]</f>
        <v>17.28</v>
      </c>
      <c r="P700" s="15">
        <f>SalesData[[#This Row],[Revenue]] - SalesData[[#This Row],[Cost]]</f>
        <v>32.72</v>
      </c>
      <c r="Q700" s="13">
        <f>IF(SalesData[[#This Row],[Revenue]]=0,0,SalesData[[#This Row],[Profit]]/SalesData[[#This Row],[Revenue]])</f>
        <v>0.65439999999999998</v>
      </c>
      <c r="R700" t="s">
        <v>1200</v>
      </c>
      <c r="S700" t="s">
        <v>1399</v>
      </c>
      <c r="T700" t="str">
        <f>PROPER(SalesData[[#This Row],[Customer Name]])</f>
        <v>James Miller</v>
      </c>
      <c r="U700" t="s">
        <v>1414</v>
      </c>
      <c r="V700" t="s">
        <v>1418</v>
      </c>
    </row>
    <row r="701" spans="1:22" x14ac:dyDescent="0.25">
      <c r="A701" t="s">
        <v>2127</v>
      </c>
      <c r="B701" s="5">
        <v>45543</v>
      </c>
      <c r="C701" s="2" t="str">
        <f>TEXT(SalesData[[#This Row],[Order Date]],"mmm")</f>
        <v>Sep</v>
      </c>
      <c r="D701" s="7">
        <f>MONTH(SalesData[[#This Row],[Order Date]])</f>
        <v>9</v>
      </c>
      <c r="E701" s="7">
        <f>YEAR(SalesData[[#This Row],[Order Date]])</f>
        <v>2024</v>
      </c>
      <c r="F701" t="s">
        <v>63</v>
      </c>
      <c r="G701" t="str">
        <f>PROPER(SalesData[[#This Row],[Product Name]])</f>
        <v>Eco Canvas Tote Bag</v>
      </c>
      <c r="H701" t="s">
        <v>1013</v>
      </c>
      <c r="I701" t="str">
        <f>UPPER(SalesData[[#This Row],[Product Category]])</f>
        <v>BAGS</v>
      </c>
      <c r="J701">
        <v>7</v>
      </c>
      <c r="K701">
        <v>25</v>
      </c>
      <c r="L701" s="15">
        <f>IF(SalesData[[#This Row],[Unit Price]]="",
    AVERAGEIFS(SalesData[Unit Price],
               SalesData[Product Name],SalesData[[#This Row],[Product Name]]),
    SalesData[[#This Row],[Unit Price]])</f>
        <v>25</v>
      </c>
      <c r="M701" s="15">
        <v>9</v>
      </c>
      <c r="N701" s="15">
        <f>SalesData[[#This Row],[Quantity Sold]] * SalesData[[#This Row],[Cleaned Unit Price]]</f>
        <v>175</v>
      </c>
      <c r="O701" s="15">
        <f>SalesData[[#This Row],[Quantity Sold]] * SalesData[[#This Row],[Unit Cost]]</f>
        <v>63</v>
      </c>
      <c r="P701" s="15">
        <f>SalesData[[#This Row],[Revenue]] - SalesData[[#This Row],[Cost]]</f>
        <v>112</v>
      </c>
      <c r="Q701" s="13">
        <f>IF(SalesData[[#This Row],[Revenue]]=0,0,SalesData[[#This Row],[Profit]]/SalesData[[#This Row],[Revenue]])</f>
        <v>0.64</v>
      </c>
      <c r="R701" t="s">
        <v>1054</v>
      </c>
      <c r="S701" t="s">
        <v>1253</v>
      </c>
      <c r="T701" t="str">
        <f>PROPER(SalesData[[#This Row],[Customer Name]])</f>
        <v>Ethan Johnson</v>
      </c>
      <c r="U701" t="s">
        <v>1414</v>
      </c>
      <c r="V701" t="s">
        <v>1427</v>
      </c>
    </row>
    <row r="702" spans="1:22" x14ac:dyDescent="0.25">
      <c r="A702" t="s">
        <v>2128</v>
      </c>
      <c r="B702" s="5">
        <v>45543</v>
      </c>
      <c r="C702" s="2" t="str">
        <f>TEXT(SalesData[[#This Row],[Order Date]],"mmm")</f>
        <v>Sep</v>
      </c>
      <c r="D702" s="7">
        <f>MONTH(SalesData[[#This Row],[Order Date]])</f>
        <v>9</v>
      </c>
      <c r="E702" s="7">
        <f>YEAR(SalesData[[#This Row],[Order Date]])</f>
        <v>2024</v>
      </c>
      <c r="F702" t="s">
        <v>438</v>
      </c>
      <c r="G702" t="str">
        <f>PROPER(SalesData[[#This Row],[Product Name]])</f>
        <v>Compostable Plant Pots</v>
      </c>
      <c r="H702" t="s">
        <v>1011</v>
      </c>
      <c r="I702" t="str">
        <f>UPPER(SalesData[[#This Row],[Product Category]])</f>
        <v>GARDENING</v>
      </c>
      <c r="J702">
        <v>8</v>
      </c>
      <c r="K702">
        <v>12</v>
      </c>
      <c r="L702" s="15">
        <f>IF(SalesData[[#This Row],[Unit Price]]="",
    AVERAGEIFS(SalesData[Unit Price],
               SalesData[Product Name],SalesData[[#This Row],[Product Name]]),
    SalesData[[#This Row],[Unit Price]])</f>
        <v>12</v>
      </c>
      <c r="M702" s="15">
        <v>3.81</v>
      </c>
      <c r="N702" s="15">
        <f>SalesData[[#This Row],[Quantity Sold]] * SalesData[[#This Row],[Cleaned Unit Price]]</f>
        <v>96</v>
      </c>
      <c r="O702" s="15">
        <f>SalesData[[#This Row],[Quantity Sold]] * SalesData[[#This Row],[Unit Cost]]</f>
        <v>30.48</v>
      </c>
      <c r="P702" s="15">
        <f>SalesData[[#This Row],[Revenue]] - SalesData[[#This Row],[Cost]]</f>
        <v>65.52</v>
      </c>
      <c r="Q702" s="13">
        <f>IF(SalesData[[#This Row],[Revenue]]=0,0,SalesData[[#This Row],[Profit]]/SalesData[[#This Row],[Revenue]])</f>
        <v>0.6825</v>
      </c>
      <c r="R702" t="s">
        <v>1079</v>
      </c>
      <c r="S702" t="s">
        <v>1278</v>
      </c>
      <c r="T702" t="str">
        <f>PROPER(SalesData[[#This Row],[Customer Name]])</f>
        <v>Harper Smith</v>
      </c>
      <c r="U702" t="s">
        <v>1414</v>
      </c>
      <c r="V702" t="s">
        <v>1422</v>
      </c>
    </row>
    <row r="703" spans="1:22" x14ac:dyDescent="0.25">
      <c r="A703" t="s">
        <v>2129</v>
      </c>
      <c r="B703" s="5">
        <v>45543</v>
      </c>
      <c r="C703" s="2" t="str">
        <f>TEXT(SalesData[[#This Row],[Order Date]],"mmm")</f>
        <v>Sep</v>
      </c>
      <c r="D703" s="7">
        <f>MONTH(SalesData[[#This Row],[Order Date]])</f>
        <v>9</v>
      </c>
      <c r="E703" s="7">
        <f>YEAR(SalesData[[#This Row],[Order Date]])</f>
        <v>2024</v>
      </c>
      <c r="F703" t="s">
        <v>840</v>
      </c>
      <c r="G703" t="str">
        <f>PROPER(SalesData[[#This Row],[Product Name]])</f>
        <v>Biodegradable Cleaning Cloth</v>
      </c>
      <c r="H703" t="s">
        <v>1015</v>
      </c>
      <c r="I703" t="str">
        <f>UPPER(SalesData[[#This Row],[Product Category]])</f>
        <v>CLEANING</v>
      </c>
      <c r="J703">
        <v>5</v>
      </c>
      <c r="L703" s="15">
        <f>IF(SalesData[[#This Row],[Unit Price]]="",
    AVERAGEIFS(SalesData[Unit Price],
               SalesData[Product Name],SalesData[[#This Row],[Product Name]]),
    SalesData[[#This Row],[Unit Price]])</f>
        <v>10</v>
      </c>
      <c r="M703" s="15">
        <v>2.76</v>
      </c>
      <c r="N703" s="15">
        <f>SalesData[[#This Row],[Quantity Sold]] * SalesData[[#This Row],[Cleaned Unit Price]]</f>
        <v>50</v>
      </c>
      <c r="O703" s="15">
        <f>SalesData[[#This Row],[Quantity Sold]] * SalesData[[#This Row],[Unit Cost]]</f>
        <v>13.799999999999999</v>
      </c>
      <c r="P703" s="15">
        <f>SalesData[[#This Row],[Revenue]] - SalesData[[#This Row],[Cost]]</f>
        <v>36.200000000000003</v>
      </c>
      <c r="Q703" s="13">
        <f>IF(SalesData[[#This Row],[Revenue]]=0,0,SalesData[[#This Row],[Profit]]/SalesData[[#This Row],[Revenue]])</f>
        <v>0.72400000000000009</v>
      </c>
      <c r="R703" t="s">
        <v>1076</v>
      </c>
      <c r="S703" t="s">
        <v>1275</v>
      </c>
      <c r="T703" t="str">
        <f>PROPER(SalesData[[#This Row],[Customer Name]])</f>
        <v>Harper Smith</v>
      </c>
      <c r="U703" t="s">
        <v>1414</v>
      </c>
      <c r="V703" t="s">
        <v>1423</v>
      </c>
    </row>
    <row r="704" spans="1:22" x14ac:dyDescent="0.25">
      <c r="A704" t="s">
        <v>2130</v>
      </c>
      <c r="B704" s="5">
        <v>45543</v>
      </c>
      <c r="C704" s="2" t="str">
        <f>TEXT(SalesData[[#This Row],[Order Date]],"mmm")</f>
        <v>Sep</v>
      </c>
      <c r="D704" s="7">
        <f>MONTH(SalesData[[#This Row],[Order Date]])</f>
        <v>9</v>
      </c>
      <c r="E704" s="7">
        <f>YEAR(SalesData[[#This Row],[Order Date]])</f>
        <v>2024</v>
      </c>
      <c r="F704" t="s">
        <v>910</v>
      </c>
      <c r="G704" t="str">
        <f>PROPER(SalesData[[#This Row],[Product Name]])</f>
        <v>Biodegradable Cleaning Cloth</v>
      </c>
      <c r="H704" t="s">
        <v>1015</v>
      </c>
      <c r="I704" t="str">
        <f>UPPER(SalesData[[#This Row],[Product Category]])</f>
        <v>CLEANING</v>
      </c>
      <c r="J704">
        <v>9</v>
      </c>
      <c r="K704">
        <v>10</v>
      </c>
      <c r="L704" s="15">
        <f>IF(SalesData[[#This Row],[Unit Price]]="",
    AVERAGEIFS(SalesData[Unit Price],
               SalesData[Product Name],SalesData[[#This Row],[Product Name]]),
    SalesData[[#This Row],[Unit Price]])</f>
        <v>10</v>
      </c>
      <c r="M704" s="15">
        <v>2.41</v>
      </c>
      <c r="N704" s="15">
        <f>SalesData[[#This Row],[Quantity Sold]] * SalesData[[#This Row],[Cleaned Unit Price]]</f>
        <v>90</v>
      </c>
      <c r="O704" s="15">
        <f>SalesData[[#This Row],[Quantity Sold]] * SalesData[[#This Row],[Unit Cost]]</f>
        <v>21.69</v>
      </c>
      <c r="P704" s="15">
        <f>SalesData[[#This Row],[Revenue]] - SalesData[[#This Row],[Cost]]</f>
        <v>68.31</v>
      </c>
      <c r="Q704" s="13">
        <f>IF(SalesData[[#This Row],[Revenue]]=0,0,SalesData[[#This Row],[Profit]]/SalesData[[#This Row],[Revenue]])</f>
        <v>0.75900000000000001</v>
      </c>
      <c r="R704" t="s">
        <v>1093</v>
      </c>
      <c r="S704" t="s">
        <v>1292</v>
      </c>
      <c r="T704" t="str">
        <f>PROPER(SalesData[[#This Row],[Customer Name]])</f>
        <v>Ava Miller</v>
      </c>
      <c r="U704" t="s">
        <v>1414</v>
      </c>
      <c r="V704" t="s">
        <v>1422</v>
      </c>
    </row>
    <row r="705" spans="1:22" x14ac:dyDescent="0.25">
      <c r="A705" t="s">
        <v>2131</v>
      </c>
      <c r="B705" s="5">
        <v>45545</v>
      </c>
      <c r="C705" s="2" t="str">
        <f>TEXT(SalesData[[#This Row],[Order Date]],"mmm")</f>
        <v>Sep</v>
      </c>
      <c r="D705" s="7">
        <f>MONTH(SalesData[[#This Row],[Order Date]])</f>
        <v>9</v>
      </c>
      <c r="E705" s="7">
        <f>YEAR(SalesData[[#This Row],[Order Date]])</f>
        <v>2024</v>
      </c>
      <c r="F705" t="s">
        <v>209</v>
      </c>
      <c r="G705" t="str">
        <f>PROPER(SalesData[[#This Row],[Product Name]])</f>
        <v>Compostable Plant Pots</v>
      </c>
      <c r="H705" t="s">
        <v>1011</v>
      </c>
      <c r="I705" t="str">
        <f>UPPER(SalesData[[#This Row],[Product Category]])</f>
        <v>GARDENING</v>
      </c>
      <c r="J705">
        <v>1</v>
      </c>
      <c r="K705">
        <v>12</v>
      </c>
      <c r="L705" s="15">
        <f>IF(SalesData[[#This Row],[Unit Price]]="",
    AVERAGEIFS(SalesData[Unit Price],
               SalesData[Product Name],SalesData[[#This Row],[Product Name]]),
    SalesData[[#This Row],[Unit Price]])</f>
        <v>12</v>
      </c>
      <c r="M705" s="15">
        <v>3.1</v>
      </c>
      <c r="N705" s="15">
        <f>SalesData[[#This Row],[Quantity Sold]] * SalesData[[#This Row],[Cleaned Unit Price]]</f>
        <v>12</v>
      </c>
      <c r="O705" s="15">
        <f>SalesData[[#This Row],[Quantity Sold]] * SalesData[[#This Row],[Unit Cost]]</f>
        <v>3.1</v>
      </c>
      <c r="P705" s="15">
        <f>SalesData[[#This Row],[Revenue]] - SalesData[[#This Row],[Cost]]</f>
        <v>8.9</v>
      </c>
      <c r="Q705" s="13">
        <f>IF(SalesData[[#This Row],[Revenue]]=0,0,SalesData[[#This Row],[Profit]]/SalesData[[#This Row],[Revenue]])</f>
        <v>0.7416666666666667</v>
      </c>
      <c r="R705" t="s">
        <v>1060</v>
      </c>
      <c r="S705" t="s">
        <v>1259</v>
      </c>
      <c r="T705" t="str">
        <f>PROPER(SalesData[[#This Row],[Customer Name]])</f>
        <v>Charlotte Davis</v>
      </c>
      <c r="U705" t="s">
        <v>1416</v>
      </c>
      <c r="V705" t="s">
        <v>1425</v>
      </c>
    </row>
    <row r="706" spans="1:22" x14ac:dyDescent="0.25">
      <c r="A706" t="s">
        <v>2132</v>
      </c>
      <c r="B706" s="5">
        <v>45545</v>
      </c>
      <c r="C706" s="2" t="str">
        <f>TEXT(SalesData[[#This Row],[Order Date]],"mmm")</f>
        <v>Sep</v>
      </c>
      <c r="D706" s="7">
        <f>MONTH(SalesData[[#This Row],[Order Date]])</f>
        <v>9</v>
      </c>
      <c r="E706" s="7">
        <f>YEAR(SalesData[[#This Row],[Order Date]])</f>
        <v>2024</v>
      </c>
      <c r="F706" t="s">
        <v>621</v>
      </c>
      <c r="G706" t="str">
        <f>PROPER(SalesData[[#This Row],[Product Name]])</f>
        <v>Compostable Plant Pots</v>
      </c>
      <c r="H706" t="s">
        <v>1011</v>
      </c>
      <c r="I706" t="str">
        <f>UPPER(SalesData[[#This Row],[Product Category]])</f>
        <v>GARDENING</v>
      </c>
      <c r="J706">
        <v>10</v>
      </c>
      <c r="K706">
        <v>12</v>
      </c>
      <c r="L706" s="15">
        <f>IF(SalesData[[#This Row],[Unit Price]]="",
    AVERAGEIFS(SalesData[Unit Price],
               SalesData[Product Name],SalesData[[#This Row],[Product Name]]),
    SalesData[[#This Row],[Unit Price]])</f>
        <v>12</v>
      </c>
      <c r="M706" s="15">
        <v>3.77</v>
      </c>
      <c r="N706" s="15">
        <f>SalesData[[#This Row],[Quantity Sold]] * SalesData[[#This Row],[Cleaned Unit Price]]</f>
        <v>120</v>
      </c>
      <c r="O706" s="15">
        <f>SalesData[[#This Row],[Quantity Sold]] * SalesData[[#This Row],[Unit Cost]]</f>
        <v>37.700000000000003</v>
      </c>
      <c r="P706" s="15">
        <f>SalesData[[#This Row],[Revenue]] - SalesData[[#This Row],[Cost]]</f>
        <v>82.3</v>
      </c>
      <c r="Q706" s="13">
        <f>IF(SalesData[[#This Row],[Revenue]]=0,0,SalesData[[#This Row],[Profit]]/SalesData[[#This Row],[Revenue]])</f>
        <v>0.68583333333333329</v>
      </c>
      <c r="R706" t="s">
        <v>1032</v>
      </c>
      <c r="S706" t="s">
        <v>1231</v>
      </c>
      <c r="T706" t="str">
        <f>PROPER(SalesData[[#This Row],[Customer Name]])</f>
        <v>Sophia Garcia</v>
      </c>
      <c r="U706" t="s">
        <v>1416</v>
      </c>
      <c r="V706" t="s">
        <v>1425</v>
      </c>
    </row>
    <row r="707" spans="1:22" x14ac:dyDescent="0.25">
      <c r="A707" t="s">
        <v>2133</v>
      </c>
      <c r="B707" s="5">
        <v>45546</v>
      </c>
      <c r="C707" s="2" t="str">
        <f>TEXT(SalesData[[#This Row],[Order Date]],"mmm")</f>
        <v>Sep</v>
      </c>
      <c r="D707" s="7">
        <f>MONTH(SalesData[[#This Row],[Order Date]])</f>
        <v>9</v>
      </c>
      <c r="E707" s="7">
        <f>YEAR(SalesData[[#This Row],[Order Date]])</f>
        <v>2024</v>
      </c>
      <c r="F707" t="s">
        <v>171</v>
      </c>
      <c r="G707" t="str">
        <f>PROPER(SalesData[[#This Row],[Product Name]])</f>
        <v>Biodegradable Cleaning Cloth</v>
      </c>
      <c r="H707" t="s">
        <v>1015</v>
      </c>
      <c r="I707" t="str">
        <f>UPPER(SalesData[[#This Row],[Product Category]])</f>
        <v>CLEANING</v>
      </c>
      <c r="J707">
        <v>9</v>
      </c>
      <c r="K707">
        <v>10</v>
      </c>
      <c r="L707" s="15">
        <f>IF(SalesData[[#This Row],[Unit Price]]="",
    AVERAGEIFS(SalesData[Unit Price],
               SalesData[Product Name],SalesData[[#This Row],[Product Name]]),
    SalesData[[#This Row],[Unit Price]])</f>
        <v>10</v>
      </c>
      <c r="M707" s="15">
        <v>2.02</v>
      </c>
      <c r="N707" s="15">
        <f>SalesData[[#This Row],[Quantity Sold]] * SalesData[[#This Row],[Cleaned Unit Price]]</f>
        <v>90</v>
      </c>
      <c r="O707" s="15">
        <f>SalesData[[#This Row],[Quantity Sold]] * SalesData[[#This Row],[Unit Cost]]</f>
        <v>18.18</v>
      </c>
      <c r="P707" s="15">
        <f>SalesData[[#This Row],[Revenue]] - SalesData[[#This Row],[Cost]]</f>
        <v>71.819999999999993</v>
      </c>
      <c r="Q707" s="13">
        <f>IF(SalesData[[#This Row],[Revenue]]=0,0,SalesData[[#This Row],[Profit]]/SalesData[[#This Row],[Revenue]])</f>
        <v>0.79799999999999993</v>
      </c>
      <c r="R707" t="s">
        <v>1127</v>
      </c>
      <c r="S707" t="s">
        <v>1326</v>
      </c>
      <c r="T707" t="str">
        <f>PROPER(SalesData[[#This Row],[Customer Name]])</f>
        <v>Mason Williams</v>
      </c>
      <c r="U707" t="s">
        <v>1416</v>
      </c>
      <c r="V707" t="s">
        <v>1421</v>
      </c>
    </row>
    <row r="708" spans="1:22" x14ac:dyDescent="0.25">
      <c r="A708" t="s">
        <v>2134</v>
      </c>
      <c r="B708" s="5">
        <v>45546</v>
      </c>
      <c r="C708" s="2" t="str">
        <f>TEXT(SalesData[[#This Row],[Order Date]],"mmm")</f>
        <v>Sep</v>
      </c>
      <c r="D708" s="7">
        <f>MONTH(SalesData[[#This Row],[Order Date]])</f>
        <v>9</v>
      </c>
      <c r="E708" s="7">
        <f>YEAR(SalesData[[#This Row],[Order Date]])</f>
        <v>2024</v>
      </c>
      <c r="F708" t="s">
        <v>278</v>
      </c>
      <c r="G708" t="str">
        <f>PROPER(SalesData[[#This Row],[Product Name]])</f>
        <v>Solar Led Lantern</v>
      </c>
      <c r="H708" t="s">
        <v>1012</v>
      </c>
      <c r="I708" t="str">
        <f>UPPER(SalesData[[#This Row],[Product Category]])</f>
        <v>LIGHTING</v>
      </c>
      <c r="J708">
        <v>4</v>
      </c>
      <c r="K708">
        <v>40</v>
      </c>
      <c r="L708" s="15">
        <f>IF(SalesData[[#This Row],[Unit Price]]="",
    AVERAGEIFS(SalesData[Unit Price],
               SalesData[Product Name],SalesData[[#This Row],[Product Name]]),
    SalesData[[#This Row],[Unit Price]])</f>
        <v>40</v>
      </c>
      <c r="M708" s="15">
        <v>11.92</v>
      </c>
      <c r="N708" s="15">
        <f>SalesData[[#This Row],[Quantity Sold]] * SalesData[[#This Row],[Cleaned Unit Price]]</f>
        <v>160</v>
      </c>
      <c r="O708" s="15">
        <f>SalesData[[#This Row],[Quantity Sold]] * SalesData[[#This Row],[Unit Cost]]</f>
        <v>47.68</v>
      </c>
      <c r="P708" s="15">
        <f>SalesData[[#This Row],[Revenue]] - SalesData[[#This Row],[Cost]]</f>
        <v>112.32</v>
      </c>
      <c r="Q708" s="13">
        <f>IF(SalesData[[#This Row],[Revenue]]=0,0,SalesData[[#This Row],[Profit]]/SalesData[[#This Row],[Revenue]])</f>
        <v>0.70199999999999996</v>
      </c>
      <c r="R708" t="s">
        <v>1110</v>
      </c>
      <c r="S708" t="s">
        <v>1309</v>
      </c>
      <c r="T708" t="str">
        <f>PROPER(SalesData[[#This Row],[Customer Name]])</f>
        <v>Sophia Martinez</v>
      </c>
      <c r="U708" t="s">
        <v>1416</v>
      </c>
      <c r="V708" t="s">
        <v>1422</v>
      </c>
    </row>
    <row r="709" spans="1:22" x14ac:dyDescent="0.25">
      <c r="A709" t="s">
        <v>2135</v>
      </c>
      <c r="B709" s="5">
        <v>45546</v>
      </c>
      <c r="C709" s="2" t="str">
        <f>TEXT(SalesData[[#This Row],[Order Date]],"mmm")</f>
        <v>Sep</v>
      </c>
      <c r="D709" s="7">
        <f>MONTH(SalesData[[#This Row],[Order Date]])</f>
        <v>9</v>
      </c>
      <c r="E709" s="7">
        <f>YEAR(SalesData[[#This Row],[Order Date]])</f>
        <v>2024</v>
      </c>
      <c r="F709" t="s">
        <v>375</v>
      </c>
      <c r="G709" t="str">
        <f>PROPER(SalesData[[#This Row],[Product Name]])</f>
        <v>Biodegradable Cleaning Cloth</v>
      </c>
      <c r="H709" t="s">
        <v>1015</v>
      </c>
      <c r="I709" t="str">
        <f>UPPER(SalesData[[#This Row],[Product Category]])</f>
        <v>CLEANING</v>
      </c>
      <c r="J709">
        <v>8</v>
      </c>
      <c r="K709">
        <v>10</v>
      </c>
      <c r="L709" s="15">
        <f>IF(SalesData[[#This Row],[Unit Price]]="",
    AVERAGEIFS(SalesData[Unit Price],
               SalesData[Product Name],SalesData[[#This Row],[Product Name]]),
    SalesData[[#This Row],[Unit Price]])</f>
        <v>10</v>
      </c>
      <c r="M709" s="15">
        <v>3.58</v>
      </c>
      <c r="N709" s="15">
        <f>SalesData[[#This Row],[Quantity Sold]] * SalesData[[#This Row],[Cleaned Unit Price]]</f>
        <v>80</v>
      </c>
      <c r="O709" s="15">
        <f>SalesData[[#This Row],[Quantity Sold]] * SalesData[[#This Row],[Unit Cost]]</f>
        <v>28.64</v>
      </c>
      <c r="P709" s="15">
        <f>SalesData[[#This Row],[Revenue]] - SalesData[[#This Row],[Cost]]</f>
        <v>51.36</v>
      </c>
      <c r="Q709" s="13">
        <f>IF(SalesData[[#This Row],[Revenue]]=0,0,SalesData[[#This Row],[Profit]]/SalesData[[#This Row],[Revenue]])</f>
        <v>0.64200000000000002</v>
      </c>
      <c r="R709" t="s">
        <v>1097</v>
      </c>
      <c r="S709" t="s">
        <v>1296</v>
      </c>
      <c r="T709" t="str">
        <f>PROPER(SalesData[[#This Row],[Customer Name]])</f>
        <v>Elijah Brown</v>
      </c>
      <c r="U709" t="s">
        <v>1414</v>
      </c>
      <c r="V709" t="s">
        <v>1423</v>
      </c>
    </row>
    <row r="710" spans="1:22" x14ac:dyDescent="0.25">
      <c r="A710" t="s">
        <v>2136</v>
      </c>
      <c r="B710" s="5">
        <v>45546</v>
      </c>
      <c r="C710" s="2" t="str">
        <f>TEXT(SalesData[[#This Row],[Order Date]],"mmm")</f>
        <v>Sep</v>
      </c>
      <c r="D710" s="7">
        <f>MONTH(SalesData[[#This Row],[Order Date]])</f>
        <v>9</v>
      </c>
      <c r="E710" s="7">
        <f>YEAR(SalesData[[#This Row],[Order Date]])</f>
        <v>2024</v>
      </c>
      <c r="F710" t="s">
        <v>442</v>
      </c>
      <c r="G710" t="str">
        <f>PROPER(SalesData[[#This Row],[Product Name]])</f>
        <v>Eco Canvas Tote Bag</v>
      </c>
      <c r="H710" t="s">
        <v>1013</v>
      </c>
      <c r="I710" t="str">
        <f>UPPER(SalesData[[#This Row],[Product Category]])</f>
        <v>BAGS</v>
      </c>
      <c r="J710">
        <v>10</v>
      </c>
      <c r="L710" s="15">
        <f>IF(SalesData[[#This Row],[Unit Price]]="",
    AVERAGEIFS(SalesData[Unit Price],
               SalesData[Product Name],SalesData[[#This Row],[Product Name]]),
    SalesData[[#This Row],[Unit Price]])</f>
        <v>25</v>
      </c>
      <c r="M710" s="15">
        <v>8.3699999999999992</v>
      </c>
      <c r="N710" s="15">
        <f>SalesData[[#This Row],[Quantity Sold]] * SalesData[[#This Row],[Cleaned Unit Price]]</f>
        <v>250</v>
      </c>
      <c r="O710" s="15">
        <f>SalesData[[#This Row],[Quantity Sold]] * SalesData[[#This Row],[Unit Cost]]</f>
        <v>83.699999999999989</v>
      </c>
      <c r="P710" s="15">
        <f>SalesData[[#This Row],[Revenue]] - SalesData[[#This Row],[Cost]]</f>
        <v>166.3</v>
      </c>
      <c r="Q710" s="13">
        <f>IF(SalesData[[#This Row],[Revenue]]=0,0,SalesData[[#This Row],[Profit]]/SalesData[[#This Row],[Revenue]])</f>
        <v>0.66520000000000001</v>
      </c>
      <c r="R710" t="s">
        <v>1183</v>
      </c>
      <c r="S710" t="s">
        <v>1382</v>
      </c>
      <c r="T710" t="str">
        <f>PROPER(SalesData[[#This Row],[Customer Name]])</f>
        <v>Logan Rodriguez</v>
      </c>
      <c r="U710" t="s">
        <v>1416</v>
      </c>
      <c r="V710" t="s">
        <v>1418</v>
      </c>
    </row>
    <row r="711" spans="1:22" x14ac:dyDescent="0.25">
      <c r="A711" t="s">
        <v>2137</v>
      </c>
      <c r="B711" s="5">
        <v>45546</v>
      </c>
      <c r="C711" s="2" t="str">
        <f>TEXT(SalesData[[#This Row],[Order Date]],"mmm")</f>
        <v>Sep</v>
      </c>
      <c r="D711" s="7">
        <f>MONTH(SalesData[[#This Row],[Order Date]])</f>
        <v>9</v>
      </c>
      <c r="E711" s="7">
        <f>YEAR(SalesData[[#This Row],[Order Date]])</f>
        <v>2024</v>
      </c>
      <c r="F711" t="s">
        <v>461</v>
      </c>
      <c r="G711" t="str">
        <f>PROPER(SalesData[[#This Row],[Product Name]])</f>
        <v>Compostable Plant Pots</v>
      </c>
      <c r="H711" t="s">
        <v>1011</v>
      </c>
      <c r="I711" t="str">
        <f>UPPER(SalesData[[#This Row],[Product Category]])</f>
        <v>GARDENING</v>
      </c>
      <c r="J711">
        <v>1</v>
      </c>
      <c r="K711">
        <v>12</v>
      </c>
      <c r="L711" s="15">
        <f>IF(SalesData[[#This Row],[Unit Price]]="",
    AVERAGEIFS(SalesData[Unit Price],
               SalesData[Product Name],SalesData[[#This Row],[Product Name]]),
    SalesData[[#This Row],[Unit Price]])</f>
        <v>12</v>
      </c>
      <c r="M711" s="15">
        <v>4.25</v>
      </c>
      <c r="N711" s="15">
        <f>SalesData[[#This Row],[Quantity Sold]] * SalesData[[#This Row],[Cleaned Unit Price]]</f>
        <v>12</v>
      </c>
      <c r="O711" s="15">
        <f>SalesData[[#This Row],[Quantity Sold]] * SalesData[[#This Row],[Unit Cost]]</f>
        <v>4.25</v>
      </c>
      <c r="P711" s="15">
        <f>SalesData[[#This Row],[Revenue]] - SalesData[[#This Row],[Cost]]</f>
        <v>7.75</v>
      </c>
      <c r="Q711" s="13">
        <f>IF(SalesData[[#This Row],[Revenue]]=0,0,SalesData[[#This Row],[Profit]]/SalesData[[#This Row],[Revenue]])</f>
        <v>0.64583333333333337</v>
      </c>
      <c r="R711" t="s">
        <v>1164</v>
      </c>
      <c r="S711" t="s">
        <v>1363</v>
      </c>
      <c r="T711" t="str">
        <f>PROPER(SalesData[[#This Row],[Customer Name]])</f>
        <v>Amelia Jones</v>
      </c>
      <c r="U711" t="s">
        <v>1416</v>
      </c>
      <c r="V711" t="s">
        <v>1419</v>
      </c>
    </row>
    <row r="712" spans="1:22" x14ac:dyDescent="0.25">
      <c r="A712" t="s">
        <v>2138</v>
      </c>
      <c r="B712" s="5">
        <v>45548</v>
      </c>
      <c r="C712" s="2" t="str">
        <f>TEXT(SalesData[[#This Row],[Order Date]],"mmm")</f>
        <v>Sep</v>
      </c>
      <c r="D712" s="7">
        <f>MONTH(SalesData[[#This Row],[Order Date]])</f>
        <v>9</v>
      </c>
      <c r="E712" s="7">
        <f>YEAR(SalesData[[#This Row],[Order Date]])</f>
        <v>2024</v>
      </c>
      <c r="F712" t="s">
        <v>205</v>
      </c>
      <c r="G712" t="str">
        <f>PROPER(SalesData[[#This Row],[Product Name]])</f>
        <v>Reusable Bamboo Utensil Set</v>
      </c>
      <c r="H712" t="s">
        <v>1014</v>
      </c>
      <c r="I712" t="str">
        <f>UPPER(SalesData[[#This Row],[Product Category]])</f>
        <v>KITCHENWARE</v>
      </c>
      <c r="J712">
        <v>4</v>
      </c>
      <c r="K712">
        <v>15</v>
      </c>
      <c r="L712" s="15">
        <f>IF(SalesData[[#This Row],[Unit Price]]="",
    AVERAGEIFS(SalesData[Unit Price],
               SalesData[Product Name],SalesData[[#This Row],[Product Name]]),
    SalesData[[#This Row],[Unit Price]])</f>
        <v>15</v>
      </c>
      <c r="M712" s="15">
        <v>4.2</v>
      </c>
      <c r="N712" s="15">
        <f>SalesData[[#This Row],[Quantity Sold]] * SalesData[[#This Row],[Cleaned Unit Price]]</f>
        <v>60</v>
      </c>
      <c r="O712" s="15">
        <f>SalesData[[#This Row],[Quantity Sold]] * SalesData[[#This Row],[Unit Cost]]</f>
        <v>16.8</v>
      </c>
      <c r="P712" s="15">
        <f>SalesData[[#This Row],[Revenue]] - SalesData[[#This Row],[Cost]]</f>
        <v>43.2</v>
      </c>
      <c r="Q712" s="13">
        <f>IF(SalesData[[#This Row],[Revenue]]=0,0,SalesData[[#This Row],[Profit]]/SalesData[[#This Row],[Revenue]])</f>
        <v>0.72000000000000008</v>
      </c>
      <c r="R712" t="s">
        <v>1134</v>
      </c>
      <c r="S712" t="s">
        <v>1333</v>
      </c>
      <c r="T712" t="str">
        <f>PROPER(SalesData[[#This Row],[Customer Name]])</f>
        <v>Ava Martinez</v>
      </c>
      <c r="U712" t="s">
        <v>1417</v>
      </c>
      <c r="V712" t="s">
        <v>1424</v>
      </c>
    </row>
    <row r="713" spans="1:22" x14ac:dyDescent="0.25">
      <c r="A713" t="s">
        <v>2139</v>
      </c>
      <c r="B713" s="5">
        <v>45548</v>
      </c>
      <c r="C713" s="2" t="str">
        <f>TEXT(SalesData[[#This Row],[Order Date]],"mmm")</f>
        <v>Sep</v>
      </c>
      <c r="D713" s="7">
        <f>MONTH(SalesData[[#This Row],[Order Date]])</f>
        <v>9</v>
      </c>
      <c r="E713" s="7">
        <f>YEAR(SalesData[[#This Row],[Order Date]])</f>
        <v>2024</v>
      </c>
      <c r="F713" t="s">
        <v>509</v>
      </c>
      <c r="G713" t="str">
        <f>PROPER(SalesData[[#This Row],[Product Name]])</f>
        <v>Reusable Bamboo Utensil Set</v>
      </c>
      <c r="H713" t="s">
        <v>1014</v>
      </c>
      <c r="I713" t="str">
        <f>UPPER(SalesData[[#This Row],[Product Category]])</f>
        <v>KITCHENWARE</v>
      </c>
      <c r="J713">
        <v>4</v>
      </c>
      <c r="K713">
        <v>15</v>
      </c>
      <c r="L713" s="15">
        <f>IF(SalesData[[#This Row],[Unit Price]]="",
    AVERAGEIFS(SalesData[Unit Price],
               SalesData[Product Name],SalesData[[#This Row],[Product Name]]),
    SalesData[[#This Row],[Unit Price]])</f>
        <v>15</v>
      </c>
      <c r="M713" s="15">
        <v>4.03</v>
      </c>
      <c r="N713" s="15">
        <f>SalesData[[#This Row],[Quantity Sold]] * SalesData[[#This Row],[Cleaned Unit Price]]</f>
        <v>60</v>
      </c>
      <c r="O713" s="15">
        <f>SalesData[[#This Row],[Quantity Sold]] * SalesData[[#This Row],[Unit Cost]]</f>
        <v>16.12</v>
      </c>
      <c r="P713" s="15">
        <f>SalesData[[#This Row],[Revenue]] - SalesData[[#This Row],[Cost]]</f>
        <v>43.879999999999995</v>
      </c>
      <c r="Q713" s="13">
        <f>IF(SalesData[[#This Row],[Revenue]]=0,0,SalesData[[#This Row],[Profit]]/SalesData[[#This Row],[Revenue]])</f>
        <v>0.73133333333333328</v>
      </c>
      <c r="R713" t="s">
        <v>1075</v>
      </c>
      <c r="S713" t="s">
        <v>1274</v>
      </c>
      <c r="T713" t="str">
        <f>PROPER(SalesData[[#This Row],[Customer Name]])</f>
        <v>Oliver Johnson</v>
      </c>
      <c r="U713" t="s">
        <v>1414</v>
      </c>
      <c r="V713" t="s">
        <v>1422</v>
      </c>
    </row>
    <row r="714" spans="1:22" x14ac:dyDescent="0.25">
      <c r="A714" t="s">
        <v>2140</v>
      </c>
      <c r="B714" s="5">
        <v>45548</v>
      </c>
      <c r="C714" s="2" t="str">
        <f>TEXT(SalesData[[#This Row],[Order Date]],"mmm")</f>
        <v>Sep</v>
      </c>
      <c r="D714" s="7">
        <f>MONTH(SalesData[[#This Row],[Order Date]])</f>
        <v>9</v>
      </c>
      <c r="E714" s="7">
        <f>YEAR(SalesData[[#This Row],[Order Date]])</f>
        <v>2024</v>
      </c>
      <c r="F714" t="s">
        <v>592</v>
      </c>
      <c r="G714" t="str">
        <f>PROPER(SalesData[[#This Row],[Product Name]])</f>
        <v>Compostable Plant Pots</v>
      </c>
      <c r="H714" t="s">
        <v>1011</v>
      </c>
      <c r="I714" t="str">
        <f>UPPER(SalesData[[#This Row],[Product Category]])</f>
        <v>GARDENING</v>
      </c>
      <c r="J714">
        <v>4</v>
      </c>
      <c r="K714">
        <v>12</v>
      </c>
      <c r="L714" s="15">
        <f>IF(SalesData[[#This Row],[Unit Price]]="",
    AVERAGEIFS(SalesData[Unit Price],
               SalesData[Product Name],SalesData[[#This Row],[Product Name]]),
    SalesData[[#This Row],[Unit Price]])</f>
        <v>12</v>
      </c>
      <c r="M714" s="15">
        <v>2.68</v>
      </c>
      <c r="N714" s="15">
        <f>SalesData[[#This Row],[Quantity Sold]] * SalesData[[#This Row],[Cleaned Unit Price]]</f>
        <v>48</v>
      </c>
      <c r="O714" s="15">
        <f>SalesData[[#This Row],[Quantity Sold]] * SalesData[[#This Row],[Unit Cost]]</f>
        <v>10.72</v>
      </c>
      <c r="P714" s="15">
        <f>SalesData[[#This Row],[Revenue]] - SalesData[[#This Row],[Cost]]</f>
        <v>37.28</v>
      </c>
      <c r="Q714" s="13">
        <f>IF(SalesData[[#This Row],[Revenue]]=0,0,SalesData[[#This Row],[Profit]]/SalesData[[#This Row],[Revenue]])</f>
        <v>0.77666666666666673</v>
      </c>
      <c r="R714" t="s">
        <v>1034</v>
      </c>
      <c r="S714" t="s">
        <v>1233</v>
      </c>
      <c r="T714" t="str">
        <f>PROPER(SalesData[[#This Row],[Customer Name]])</f>
        <v>Liam Garcia</v>
      </c>
      <c r="U714" t="s">
        <v>1415</v>
      </c>
      <c r="V714" t="s">
        <v>1420</v>
      </c>
    </row>
    <row r="715" spans="1:22" x14ac:dyDescent="0.25">
      <c r="A715" t="s">
        <v>2141</v>
      </c>
      <c r="B715" s="5">
        <v>45549</v>
      </c>
      <c r="C715" s="2" t="str">
        <f>TEXT(SalesData[[#This Row],[Order Date]],"mmm")</f>
        <v>Sep</v>
      </c>
      <c r="D715" s="7">
        <f>MONTH(SalesData[[#This Row],[Order Date]])</f>
        <v>9</v>
      </c>
      <c r="E715" s="7">
        <f>YEAR(SalesData[[#This Row],[Order Date]])</f>
        <v>2024</v>
      </c>
      <c r="F715" t="s">
        <v>308</v>
      </c>
      <c r="G715" t="str">
        <f>PROPER(SalesData[[#This Row],[Product Name]])</f>
        <v>Biodegradable Cleaning Cloth</v>
      </c>
      <c r="H715" t="s">
        <v>1015</v>
      </c>
      <c r="I715" t="str">
        <f>UPPER(SalesData[[#This Row],[Product Category]])</f>
        <v>CLEANING</v>
      </c>
      <c r="J715">
        <v>10</v>
      </c>
      <c r="K715">
        <v>10</v>
      </c>
      <c r="L715" s="15">
        <f>IF(SalesData[[#This Row],[Unit Price]]="",
    AVERAGEIFS(SalesData[Unit Price],
               SalesData[Product Name],SalesData[[#This Row],[Product Name]]),
    SalesData[[#This Row],[Unit Price]])</f>
        <v>10</v>
      </c>
      <c r="M715" s="15">
        <v>2.65</v>
      </c>
      <c r="N715" s="15">
        <f>SalesData[[#This Row],[Quantity Sold]] * SalesData[[#This Row],[Cleaned Unit Price]]</f>
        <v>100</v>
      </c>
      <c r="O715" s="15">
        <f>SalesData[[#This Row],[Quantity Sold]] * SalesData[[#This Row],[Unit Cost]]</f>
        <v>26.5</v>
      </c>
      <c r="P715" s="15">
        <f>SalesData[[#This Row],[Revenue]] - SalesData[[#This Row],[Cost]]</f>
        <v>73.5</v>
      </c>
      <c r="Q715" s="13">
        <f>IF(SalesData[[#This Row],[Revenue]]=0,0,SalesData[[#This Row],[Profit]]/SalesData[[#This Row],[Revenue]])</f>
        <v>0.73499999999999999</v>
      </c>
      <c r="R715" t="s">
        <v>1042</v>
      </c>
      <c r="S715" t="s">
        <v>1241</v>
      </c>
      <c r="T715" t="str">
        <f>PROPER(SalesData[[#This Row],[Customer Name]])</f>
        <v>Amelia Johnson</v>
      </c>
      <c r="U715" t="s">
        <v>1414</v>
      </c>
      <c r="V715" t="s">
        <v>1424</v>
      </c>
    </row>
    <row r="716" spans="1:22" x14ac:dyDescent="0.25">
      <c r="A716" t="s">
        <v>2142</v>
      </c>
      <c r="B716" s="5">
        <v>45549</v>
      </c>
      <c r="C716" s="2" t="str">
        <f>TEXT(SalesData[[#This Row],[Order Date]],"mmm")</f>
        <v>Sep</v>
      </c>
      <c r="D716" s="7">
        <f>MONTH(SalesData[[#This Row],[Order Date]])</f>
        <v>9</v>
      </c>
      <c r="E716" s="7">
        <f>YEAR(SalesData[[#This Row],[Order Date]])</f>
        <v>2024</v>
      </c>
      <c r="F716" t="s">
        <v>886</v>
      </c>
      <c r="G716" t="str">
        <f>PROPER(SalesData[[#This Row],[Product Name]])</f>
        <v>Solar Led Lantern</v>
      </c>
      <c r="H716" t="s">
        <v>1012</v>
      </c>
      <c r="I716" t="str">
        <f>UPPER(SalesData[[#This Row],[Product Category]])</f>
        <v>LIGHTING</v>
      </c>
      <c r="J716">
        <v>8</v>
      </c>
      <c r="K716">
        <v>40</v>
      </c>
      <c r="L716" s="15">
        <f>IF(SalesData[[#This Row],[Unit Price]]="",
    AVERAGEIFS(SalesData[Unit Price],
               SalesData[Product Name],SalesData[[#This Row],[Product Name]]),
    SalesData[[#This Row],[Unit Price]])</f>
        <v>40</v>
      </c>
      <c r="M716" s="15">
        <v>8.8699999999999992</v>
      </c>
      <c r="N716" s="15">
        <f>SalesData[[#This Row],[Quantity Sold]] * SalesData[[#This Row],[Cleaned Unit Price]]</f>
        <v>320</v>
      </c>
      <c r="O716" s="15">
        <f>SalesData[[#This Row],[Quantity Sold]] * SalesData[[#This Row],[Unit Cost]]</f>
        <v>70.959999999999994</v>
      </c>
      <c r="P716" s="15">
        <f>SalesData[[#This Row],[Revenue]] - SalesData[[#This Row],[Cost]]</f>
        <v>249.04000000000002</v>
      </c>
      <c r="Q716" s="13">
        <f>IF(SalesData[[#This Row],[Revenue]]=0,0,SalesData[[#This Row],[Profit]]/SalesData[[#This Row],[Revenue]])</f>
        <v>0.77825000000000011</v>
      </c>
      <c r="R716" t="s">
        <v>1052</v>
      </c>
      <c r="S716" t="s">
        <v>1251</v>
      </c>
      <c r="T716" t="str">
        <f>PROPER(SalesData[[#This Row],[Customer Name]])</f>
        <v>Charlotte Davis</v>
      </c>
      <c r="U716" t="s">
        <v>1416</v>
      </c>
      <c r="V716" t="s">
        <v>1427</v>
      </c>
    </row>
    <row r="717" spans="1:22" x14ac:dyDescent="0.25">
      <c r="A717" t="s">
        <v>2143</v>
      </c>
      <c r="B717" s="5">
        <v>45550</v>
      </c>
      <c r="C717" s="2" t="str">
        <f>TEXT(SalesData[[#This Row],[Order Date]],"mmm")</f>
        <v>Sep</v>
      </c>
      <c r="D717" s="7">
        <f>MONTH(SalesData[[#This Row],[Order Date]])</f>
        <v>9</v>
      </c>
      <c r="E717" s="7">
        <f>YEAR(SalesData[[#This Row],[Order Date]])</f>
        <v>2024</v>
      </c>
      <c r="F717" t="s">
        <v>23</v>
      </c>
      <c r="G717" t="str">
        <f>PROPER(SalesData[[#This Row],[Product Name]])</f>
        <v>Solar Led Lantern</v>
      </c>
      <c r="H717" t="s">
        <v>1012</v>
      </c>
      <c r="I717" t="str">
        <f>UPPER(SalesData[[#This Row],[Product Category]])</f>
        <v>LIGHTING</v>
      </c>
      <c r="J717">
        <v>3</v>
      </c>
      <c r="K717">
        <v>40</v>
      </c>
      <c r="L717" s="15">
        <f>IF(SalesData[[#This Row],[Unit Price]]="",
    AVERAGEIFS(SalesData[Unit Price],
               SalesData[Product Name],SalesData[[#This Row],[Product Name]]),
    SalesData[[#This Row],[Unit Price]])</f>
        <v>40</v>
      </c>
      <c r="M717" s="15">
        <v>14.24</v>
      </c>
      <c r="N717" s="15">
        <f>SalesData[[#This Row],[Quantity Sold]] * SalesData[[#This Row],[Cleaned Unit Price]]</f>
        <v>120</v>
      </c>
      <c r="O717" s="15">
        <f>SalesData[[#This Row],[Quantity Sold]] * SalesData[[#This Row],[Unit Cost]]</f>
        <v>42.72</v>
      </c>
      <c r="P717" s="15">
        <f>SalesData[[#This Row],[Revenue]] - SalesData[[#This Row],[Cost]]</f>
        <v>77.28</v>
      </c>
      <c r="Q717" s="13">
        <f>IF(SalesData[[#This Row],[Revenue]]=0,0,SalesData[[#This Row],[Profit]]/SalesData[[#This Row],[Revenue]])</f>
        <v>0.64400000000000002</v>
      </c>
      <c r="R717" t="s">
        <v>1027</v>
      </c>
      <c r="S717" t="s">
        <v>1226</v>
      </c>
      <c r="T717" t="str">
        <f>PROPER(SalesData[[#This Row],[Customer Name]])</f>
        <v>Lucas Rodriguez</v>
      </c>
      <c r="U717" t="s">
        <v>1414</v>
      </c>
      <c r="V717" t="s">
        <v>1419</v>
      </c>
    </row>
    <row r="718" spans="1:22" x14ac:dyDescent="0.25">
      <c r="A718" t="s">
        <v>2144</v>
      </c>
      <c r="B718" s="5">
        <v>45550</v>
      </c>
      <c r="C718" s="2" t="str">
        <f>TEXT(SalesData[[#This Row],[Order Date]],"mmm")</f>
        <v>Sep</v>
      </c>
      <c r="D718" s="7">
        <f>MONTH(SalesData[[#This Row],[Order Date]])</f>
        <v>9</v>
      </c>
      <c r="E718" s="7">
        <f>YEAR(SalesData[[#This Row],[Order Date]])</f>
        <v>2024</v>
      </c>
      <c r="F718" t="s">
        <v>419</v>
      </c>
      <c r="G718" t="str">
        <f>PROPER(SalesData[[#This Row],[Product Name]])</f>
        <v>Biodegradable Cleaning Cloth</v>
      </c>
      <c r="H718" t="s">
        <v>1015</v>
      </c>
      <c r="I718" t="str">
        <f>UPPER(SalesData[[#This Row],[Product Category]])</f>
        <v>CLEANING</v>
      </c>
      <c r="J718">
        <v>2</v>
      </c>
      <c r="K718">
        <v>10</v>
      </c>
      <c r="L718" s="15">
        <f>IF(SalesData[[#This Row],[Unit Price]]="",
    AVERAGEIFS(SalesData[Unit Price],
               SalesData[Product Name],SalesData[[#This Row],[Product Name]]),
    SalesData[[#This Row],[Unit Price]])</f>
        <v>10</v>
      </c>
      <c r="M718" s="15">
        <v>3.03</v>
      </c>
      <c r="N718" s="15">
        <f>SalesData[[#This Row],[Quantity Sold]] * SalesData[[#This Row],[Cleaned Unit Price]]</f>
        <v>20</v>
      </c>
      <c r="O718" s="15">
        <f>SalesData[[#This Row],[Quantity Sold]] * SalesData[[#This Row],[Unit Cost]]</f>
        <v>6.06</v>
      </c>
      <c r="P718" s="15">
        <f>SalesData[[#This Row],[Revenue]] - SalesData[[#This Row],[Cost]]</f>
        <v>13.940000000000001</v>
      </c>
      <c r="Q718" s="13">
        <f>IF(SalesData[[#This Row],[Revenue]]=0,0,SalesData[[#This Row],[Profit]]/SalesData[[#This Row],[Revenue]])</f>
        <v>0.69700000000000006</v>
      </c>
      <c r="R718" t="s">
        <v>1105</v>
      </c>
      <c r="S718" t="s">
        <v>1304</v>
      </c>
      <c r="T718" t="str">
        <f>PROPER(SalesData[[#This Row],[Customer Name]])</f>
        <v>Lucas Smith</v>
      </c>
      <c r="U718" t="s">
        <v>1416</v>
      </c>
      <c r="V718" t="s">
        <v>1422</v>
      </c>
    </row>
    <row r="719" spans="1:22" x14ac:dyDescent="0.25">
      <c r="A719" t="s">
        <v>2145</v>
      </c>
      <c r="B719" s="5">
        <v>45551</v>
      </c>
      <c r="C719" s="2" t="str">
        <f>TEXT(SalesData[[#This Row],[Order Date]],"mmm")</f>
        <v>Sep</v>
      </c>
      <c r="D719" s="7">
        <f>MONTH(SalesData[[#This Row],[Order Date]])</f>
        <v>9</v>
      </c>
      <c r="E719" s="7">
        <f>YEAR(SalesData[[#This Row],[Order Date]])</f>
        <v>2024</v>
      </c>
      <c r="F719" t="s">
        <v>26</v>
      </c>
      <c r="G719" t="str">
        <f>PROPER(SalesData[[#This Row],[Product Name]])</f>
        <v>Biodegradable Cleaning Cloth</v>
      </c>
      <c r="H719" t="s">
        <v>1015</v>
      </c>
      <c r="I719" t="str">
        <f>UPPER(SalesData[[#This Row],[Product Category]])</f>
        <v>CLEANING</v>
      </c>
      <c r="J719">
        <v>9</v>
      </c>
      <c r="K719">
        <v>10</v>
      </c>
      <c r="L719" s="15">
        <f>IF(SalesData[[#This Row],[Unit Price]]="",
    AVERAGEIFS(SalesData[Unit Price],
               SalesData[Product Name],SalesData[[#This Row],[Product Name]]),
    SalesData[[#This Row],[Unit Price]])</f>
        <v>10</v>
      </c>
      <c r="M719" s="15">
        <v>2.11</v>
      </c>
      <c r="N719" s="15">
        <f>SalesData[[#This Row],[Quantity Sold]] * SalesData[[#This Row],[Cleaned Unit Price]]</f>
        <v>90</v>
      </c>
      <c r="O719" s="15">
        <f>SalesData[[#This Row],[Quantity Sold]] * SalesData[[#This Row],[Unit Cost]]</f>
        <v>18.989999999999998</v>
      </c>
      <c r="P719" s="15">
        <f>SalesData[[#This Row],[Revenue]] - SalesData[[#This Row],[Cost]]</f>
        <v>71.010000000000005</v>
      </c>
      <c r="Q719" s="13">
        <f>IF(SalesData[[#This Row],[Revenue]]=0,0,SalesData[[#This Row],[Profit]]/SalesData[[#This Row],[Revenue]])</f>
        <v>0.78900000000000003</v>
      </c>
      <c r="R719" t="s">
        <v>1029</v>
      </c>
      <c r="S719" t="s">
        <v>1228</v>
      </c>
      <c r="T719" t="str">
        <f>PROPER(SalesData[[#This Row],[Customer Name]])</f>
        <v>Mason Johnson</v>
      </c>
      <c r="U719" t="s">
        <v>1416</v>
      </c>
      <c r="V719" t="s">
        <v>1419</v>
      </c>
    </row>
    <row r="720" spans="1:22" x14ac:dyDescent="0.25">
      <c r="A720" t="s">
        <v>2146</v>
      </c>
      <c r="B720" s="5">
        <v>45551</v>
      </c>
      <c r="C720" s="2" t="str">
        <f>TEXT(SalesData[[#This Row],[Order Date]],"mmm")</f>
        <v>Sep</v>
      </c>
      <c r="D720" s="7">
        <f>MONTH(SalesData[[#This Row],[Order Date]])</f>
        <v>9</v>
      </c>
      <c r="E720" s="7">
        <f>YEAR(SalesData[[#This Row],[Order Date]])</f>
        <v>2024</v>
      </c>
      <c r="F720" t="s">
        <v>658</v>
      </c>
      <c r="G720" t="str">
        <f>PROPER(SalesData[[#This Row],[Product Name]])</f>
        <v>Eco Canvas Tote Bag</v>
      </c>
      <c r="H720" t="s">
        <v>1013</v>
      </c>
      <c r="I720" t="str">
        <f>UPPER(SalesData[[#This Row],[Product Category]])</f>
        <v>BAGS</v>
      </c>
      <c r="J720">
        <v>10</v>
      </c>
      <c r="K720">
        <v>25</v>
      </c>
      <c r="L720" s="15">
        <f>IF(SalesData[[#This Row],[Unit Price]]="",
    AVERAGEIFS(SalesData[Unit Price],
               SalesData[Product Name],SalesData[[#This Row],[Product Name]]),
    SalesData[[#This Row],[Unit Price]])</f>
        <v>25</v>
      </c>
      <c r="M720" s="15">
        <v>6.58</v>
      </c>
      <c r="N720" s="15">
        <f>SalesData[[#This Row],[Quantity Sold]] * SalesData[[#This Row],[Cleaned Unit Price]]</f>
        <v>250</v>
      </c>
      <c r="O720" s="15">
        <f>SalesData[[#This Row],[Quantity Sold]] * SalesData[[#This Row],[Unit Cost]]</f>
        <v>65.8</v>
      </c>
      <c r="P720" s="15">
        <f>SalesData[[#This Row],[Revenue]] - SalesData[[#This Row],[Cost]]</f>
        <v>184.2</v>
      </c>
      <c r="Q720" s="13">
        <f>IF(SalesData[[#This Row],[Revenue]]=0,0,SalesData[[#This Row],[Profit]]/SalesData[[#This Row],[Revenue]])</f>
        <v>0.7367999999999999</v>
      </c>
      <c r="R720" t="s">
        <v>1055</v>
      </c>
      <c r="S720" t="s">
        <v>1254</v>
      </c>
      <c r="T720" t="str">
        <f>PROPER(SalesData[[#This Row],[Customer Name]])</f>
        <v>Lucas Brown</v>
      </c>
      <c r="U720" t="s">
        <v>1414</v>
      </c>
      <c r="V720" t="s">
        <v>1419</v>
      </c>
    </row>
    <row r="721" spans="1:22" x14ac:dyDescent="0.25">
      <c r="A721" t="s">
        <v>2147</v>
      </c>
      <c r="B721" s="5">
        <v>45552</v>
      </c>
      <c r="C721" s="2" t="str">
        <f>TEXT(SalesData[[#This Row],[Order Date]],"mmm")</f>
        <v>Sep</v>
      </c>
      <c r="D721" s="7">
        <f>MONTH(SalesData[[#This Row],[Order Date]])</f>
        <v>9</v>
      </c>
      <c r="E721" s="7">
        <f>YEAR(SalesData[[#This Row],[Order Date]])</f>
        <v>2024</v>
      </c>
      <c r="F721" t="s">
        <v>334</v>
      </c>
      <c r="G721" t="str">
        <f>PROPER(SalesData[[#This Row],[Product Name]])</f>
        <v>Solar Led Lantern</v>
      </c>
      <c r="H721" t="s">
        <v>1012</v>
      </c>
      <c r="I721" t="str">
        <f>UPPER(SalesData[[#This Row],[Product Category]])</f>
        <v>LIGHTING</v>
      </c>
      <c r="J721">
        <v>6</v>
      </c>
      <c r="K721">
        <v>40</v>
      </c>
      <c r="L721" s="15">
        <f>IF(SalesData[[#This Row],[Unit Price]]="",
    AVERAGEIFS(SalesData[Unit Price],
               SalesData[Product Name],SalesData[[#This Row],[Product Name]]),
    SalesData[[#This Row],[Unit Price]])</f>
        <v>40</v>
      </c>
      <c r="M721" s="15">
        <v>15.57</v>
      </c>
      <c r="N721" s="15">
        <f>SalesData[[#This Row],[Quantity Sold]] * SalesData[[#This Row],[Cleaned Unit Price]]</f>
        <v>240</v>
      </c>
      <c r="O721" s="15">
        <f>SalesData[[#This Row],[Quantity Sold]] * SalesData[[#This Row],[Unit Cost]]</f>
        <v>93.42</v>
      </c>
      <c r="P721" s="15">
        <f>SalesData[[#This Row],[Revenue]] - SalesData[[#This Row],[Cost]]</f>
        <v>146.57999999999998</v>
      </c>
      <c r="Q721" s="13">
        <f>IF(SalesData[[#This Row],[Revenue]]=0,0,SalesData[[#This Row],[Profit]]/SalesData[[#This Row],[Revenue]])</f>
        <v>0.6107499999999999</v>
      </c>
      <c r="R721" t="s">
        <v>1046</v>
      </c>
      <c r="S721" t="s">
        <v>1245</v>
      </c>
      <c r="T721" t="str">
        <f>PROPER(SalesData[[#This Row],[Customer Name]])</f>
        <v>Lucas Williams</v>
      </c>
      <c r="U721" t="s">
        <v>1414</v>
      </c>
      <c r="V721" t="s">
        <v>1422</v>
      </c>
    </row>
    <row r="722" spans="1:22" x14ac:dyDescent="0.25">
      <c r="A722" t="s">
        <v>2148</v>
      </c>
      <c r="B722" s="5">
        <v>45552</v>
      </c>
      <c r="C722" s="2" t="str">
        <f>TEXT(SalesData[[#This Row],[Order Date]],"mmm")</f>
        <v>Sep</v>
      </c>
      <c r="D722" s="7">
        <f>MONTH(SalesData[[#This Row],[Order Date]])</f>
        <v>9</v>
      </c>
      <c r="E722" s="7">
        <f>YEAR(SalesData[[#This Row],[Order Date]])</f>
        <v>2024</v>
      </c>
      <c r="F722" t="s">
        <v>625</v>
      </c>
      <c r="G722" t="str">
        <f>PROPER(SalesData[[#This Row],[Product Name]])</f>
        <v>Eco Canvas Tote Bag</v>
      </c>
      <c r="H722" t="s">
        <v>1013</v>
      </c>
      <c r="I722" t="str">
        <f>UPPER(SalesData[[#This Row],[Product Category]])</f>
        <v>BAGS</v>
      </c>
      <c r="J722">
        <v>9</v>
      </c>
      <c r="K722">
        <v>25</v>
      </c>
      <c r="L722" s="15">
        <f>IF(SalesData[[#This Row],[Unit Price]]="",
    AVERAGEIFS(SalesData[Unit Price],
               SalesData[Product Name],SalesData[[#This Row],[Product Name]]),
    SalesData[[#This Row],[Unit Price]])</f>
        <v>25</v>
      </c>
      <c r="M722" s="15">
        <v>8.24</v>
      </c>
      <c r="N722" s="15">
        <f>SalesData[[#This Row],[Quantity Sold]] * SalesData[[#This Row],[Cleaned Unit Price]]</f>
        <v>225</v>
      </c>
      <c r="O722" s="15">
        <f>SalesData[[#This Row],[Quantity Sold]] * SalesData[[#This Row],[Unit Cost]]</f>
        <v>74.16</v>
      </c>
      <c r="P722" s="15">
        <f>SalesData[[#This Row],[Revenue]] - SalesData[[#This Row],[Cost]]</f>
        <v>150.84</v>
      </c>
      <c r="Q722" s="13">
        <f>IF(SalesData[[#This Row],[Revenue]]=0,0,SalesData[[#This Row],[Profit]]/SalesData[[#This Row],[Revenue]])</f>
        <v>0.6704</v>
      </c>
      <c r="R722" t="s">
        <v>1124</v>
      </c>
      <c r="S722" t="s">
        <v>1323</v>
      </c>
      <c r="T722" t="str">
        <f>PROPER(SalesData[[#This Row],[Customer Name]])</f>
        <v>Emma Davis</v>
      </c>
      <c r="U722" t="s">
        <v>1414</v>
      </c>
      <c r="V722" t="s">
        <v>1418</v>
      </c>
    </row>
    <row r="723" spans="1:22" x14ac:dyDescent="0.25">
      <c r="A723" t="s">
        <v>2149</v>
      </c>
      <c r="B723" s="5">
        <v>45552</v>
      </c>
      <c r="C723" s="2" t="str">
        <f>TEXT(SalesData[[#This Row],[Order Date]],"mmm")</f>
        <v>Sep</v>
      </c>
      <c r="D723" s="7">
        <f>MONTH(SalesData[[#This Row],[Order Date]])</f>
        <v>9</v>
      </c>
      <c r="E723" s="7">
        <f>YEAR(SalesData[[#This Row],[Order Date]])</f>
        <v>2024</v>
      </c>
      <c r="F723" t="s">
        <v>766</v>
      </c>
      <c r="G723" t="str">
        <f>PROPER(SalesData[[#This Row],[Product Name]])</f>
        <v>Eco Canvas Tote Bag</v>
      </c>
      <c r="H723" t="s">
        <v>1013</v>
      </c>
      <c r="I723" t="str">
        <f>UPPER(SalesData[[#This Row],[Product Category]])</f>
        <v>BAGS</v>
      </c>
      <c r="J723">
        <v>10</v>
      </c>
      <c r="K723">
        <v>25</v>
      </c>
      <c r="L723" s="15">
        <f>IF(SalesData[[#This Row],[Unit Price]]="",
    AVERAGEIFS(SalesData[Unit Price],
               SalesData[Product Name],SalesData[[#This Row],[Product Name]]),
    SalesData[[#This Row],[Unit Price]])</f>
        <v>25</v>
      </c>
      <c r="M723" s="15">
        <v>5.84</v>
      </c>
      <c r="N723" s="15">
        <f>SalesData[[#This Row],[Quantity Sold]] * SalesData[[#This Row],[Cleaned Unit Price]]</f>
        <v>250</v>
      </c>
      <c r="O723" s="15">
        <f>SalesData[[#This Row],[Quantity Sold]] * SalesData[[#This Row],[Unit Cost]]</f>
        <v>58.4</v>
      </c>
      <c r="P723" s="15">
        <f>SalesData[[#This Row],[Revenue]] - SalesData[[#This Row],[Cost]]</f>
        <v>191.6</v>
      </c>
      <c r="Q723" s="13">
        <f>IF(SalesData[[#This Row],[Revenue]]=0,0,SalesData[[#This Row],[Profit]]/SalesData[[#This Row],[Revenue]])</f>
        <v>0.76639999999999997</v>
      </c>
      <c r="R723" t="s">
        <v>1045</v>
      </c>
      <c r="S723" t="s">
        <v>1244</v>
      </c>
      <c r="T723" t="str">
        <f>PROPER(SalesData[[#This Row],[Customer Name]])</f>
        <v>Liam Davis</v>
      </c>
      <c r="U723" t="s">
        <v>1416</v>
      </c>
      <c r="V723" t="s">
        <v>1418</v>
      </c>
    </row>
    <row r="724" spans="1:22" x14ac:dyDescent="0.25">
      <c r="A724" t="s">
        <v>2150</v>
      </c>
      <c r="B724" s="5">
        <v>45553</v>
      </c>
      <c r="C724" s="2" t="str">
        <f>TEXT(SalesData[[#This Row],[Order Date]],"mmm")</f>
        <v>Sep</v>
      </c>
      <c r="D724" s="7">
        <f>MONTH(SalesData[[#This Row],[Order Date]])</f>
        <v>9</v>
      </c>
      <c r="E724" s="7">
        <f>YEAR(SalesData[[#This Row],[Order Date]])</f>
        <v>2024</v>
      </c>
      <c r="F724" t="s">
        <v>25</v>
      </c>
      <c r="G724" t="str">
        <f>PROPER(SalesData[[#This Row],[Product Name]])</f>
        <v>Biodegradable Cleaning Cloth</v>
      </c>
      <c r="H724" t="s">
        <v>1015</v>
      </c>
      <c r="I724" t="str">
        <f>UPPER(SalesData[[#This Row],[Product Category]])</f>
        <v>CLEANING</v>
      </c>
      <c r="J724">
        <v>4</v>
      </c>
      <c r="K724">
        <v>10</v>
      </c>
      <c r="L724" s="15">
        <f>IF(SalesData[[#This Row],[Unit Price]]="",
    AVERAGEIFS(SalesData[Unit Price],
               SalesData[Product Name],SalesData[[#This Row],[Product Name]]),
    SalesData[[#This Row],[Unit Price]])</f>
        <v>10</v>
      </c>
      <c r="M724" s="15">
        <v>3.28</v>
      </c>
      <c r="N724" s="15">
        <f>SalesData[[#This Row],[Quantity Sold]] * SalesData[[#This Row],[Cleaned Unit Price]]</f>
        <v>40</v>
      </c>
      <c r="O724" s="15">
        <f>SalesData[[#This Row],[Quantity Sold]] * SalesData[[#This Row],[Unit Cost]]</f>
        <v>13.12</v>
      </c>
      <c r="P724" s="15">
        <f>SalesData[[#This Row],[Revenue]] - SalesData[[#This Row],[Cost]]</f>
        <v>26.880000000000003</v>
      </c>
      <c r="Q724" s="13">
        <f>IF(SalesData[[#This Row],[Revenue]]=0,0,SalesData[[#This Row],[Profit]]/SalesData[[#This Row],[Revenue]])</f>
        <v>0.67200000000000004</v>
      </c>
      <c r="R724" t="s">
        <v>1025</v>
      </c>
      <c r="S724" t="s">
        <v>1224</v>
      </c>
      <c r="T724" t="str">
        <f>PROPER(SalesData[[#This Row],[Customer Name]])</f>
        <v>Aiden Davis</v>
      </c>
      <c r="U724" t="s">
        <v>1414</v>
      </c>
      <c r="V724" t="s">
        <v>1421</v>
      </c>
    </row>
    <row r="725" spans="1:22" x14ac:dyDescent="0.25">
      <c r="A725" t="s">
        <v>2151</v>
      </c>
      <c r="B725" s="5">
        <v>45553</v>
      </c>
      <c r="C725" s="2" t="str">
        <f>TEXT(SalesData[[#This Row],[Order Date]],"mmm")</f>
        <v>Sep</v>
      </c>
      <c r="D725" s="7">
        <f>MONTH(SalesData[[#This Row],[Order Date]])</f>
        <v>9</v>
      </c>
      <c r="E725" s="7">
        <f>YEAR(SalesData[[#This Row],[Order Date]])</f>
        <v>2024</v>
      </c>
      <c r="F725" t="s">
        <v>377</v>
      </c>
      <c r="G725" t="str">
        <f>PROPER(SalesData[[#This Row],[Product Name]])</f>
        <v>Eco Canvas Tote Bag</v>
      </c>
      <c r="H725" t="s">
        <v>1013</v>
      </c>
      <c r="I725" t="str">
        <f>UPPER(SalesData[[#This Row],[Product Category]])</f>
        <v>BAGS</v>
      </c>
      <c r="J725">
        <v>8</v>
      </c>
      <c r="K725">
        <v>25</v>
      </c>
      <c r="L725" s="15">
        <f>IF(SalesData[[#This Row],[Unit Price]]="",
    AVERAGEIFS(SalesData[Unit Price],
               SalesData[Product Name],SalesData[[#This Row],[Product Name]]),
    SalesData[[#This Row],[Unit Price]])</f>
        <v>25</v>
      </c>
      <c r="M725" s="15">
        <v>9.33</v>
      </c>
      <c r="N725" s="15">
        <f>SalesData[[#This Row],[Quantity Sold]] * SalesData[[#This Row],[Cleaned Unit Price]]</f>
        <v>200</v>
      </c>
      <c r="O725" s="15">
        <f>SalesData[[#This Row],[Quantity Sold]] * SalesData[[#This Row],[Unit Cost]]</f>
        <v>74.64</v>
      </c>
      <c r="P725" s="15">
        <f>SalesData[[#This Row],[Revenue]] - SalesData[[#This Row],[Cost]]</f>
        <v>125.36</v>
      </c>
      <c r="Q725" s="13">
        <f>IF(SalesData[[#This Row],[Revenue]]=0,0,SalesData[[#This Row],[Profit]]/SalesData[[#This Row],[Revenue]])</f>
        <v>0.62680000000000002</v>
      </c>
      <c r="R725" t="s">
        <v>1181</v>
      </c>
      <c r="S725" t="s">
        <v>1380</v>
      </c>
      <c r="T725" t="str">
        <f>PROPER(SalesData[[#This Row],[Customer Name]])</f>
        <v>Charlotte Johnson</v>
      </c>
      <c r="U725" t="s">
        <v>1414</v>
      </c>
      <c r="V725" t="s">
        <v>1426</v>
      </c>
    </row>
    <row r="726" spans="1:22" x14ac:dyDescent="0.25">
      <c r="A726" t="s">
        <v>2152</v>
      </c>
      <c r="B726" s="5">
        <v>45554</v>
      </c>
      <c r="C726" s="2" t="str">
        <f>TEXT(SalesData[[#This Row],[Order Date]],"mmm")</f>
        <v>Sep</v>
      </c>
      <c r="D726" s="7">
        <f>MONTH(SalesData[[#This Row],[Order Date]])</f>
        <v>9</v>
      </c>
      <c r="E726" s="7">
        <f>YEAR(SalesData[[#This Row],[Order Date]])</f>
        <v>2024</v>
      </c>
      <c r="F726" t="s">
        <v>143</v>
      </c>
      <c r="G726" t="str">
        <f>PROPER(SalesData[[#This Row],[Product Name]])</f>
        <v>Reusable Bamboo Utensil Set</v>
      </c>
      <c r="H726" t="s">
        <v>1014</v>
      </c>
      <c r="I726" t="str">
        <f>UPPER(SalesData[[#This Row],[Product Category]])</f>
        <v>KITCHENWARE</v>
      </c>
      <c r="J726">
        <v>10</v>
      </c>
      <c r="K726">
        <v>15</v>
      </c>
      <c r="L726" s="15">
        <f>IF(SalesData[[#This Row],[Unit Price]]="",
    AVERAGEIFS(SalesData[Unit Price],
               SalesData[Product Name],SalesData[[#This Row],[Product Name]]),
    SalesData[[#This Row],[Unit Price]])</f>
        <v>15</v>
      </c>
      <c r="M726" s="15">
        <v>5.0199999999999996</v>
      </c>
      <c r="N726" s="15">
        <f>SalesData[[#This Row],[Quantity Sold]] * SalesData[[#This Row],[Cleaned Unit Price]]</f>
        <v>150</v>
      </c>
      <c r="O726" s="15">
        <f>SalesData[[#This Row],[Quantity Sold]] * SalesData[[#This Row],[Unit Cost]]</f>
        <v>50.199999999999996</v>
      </c>
      <c r="P726" s="15">
        <f>SalesData[[#This Row],[Revenue]] - SalesData[[#This Row],[Cost]]</f>
        <v>99.800000000000011</v>
      </c>
      <c r="Q726" s="13">
        <f>IF(SalesData[[#This Row],[Revenue]]=0,0,SalesData[[#This Row],[Profit]]/SalesData[[#This Row],[Revenue]])</f>
        <v>0.66533333333333344</v>
      </c>
      <c r="R726" t="s">
        <v>1113</v>
      </c>
      <c r="S726" t="s">
        <v>1312</v>
      </c>
      <c r="T726" t="str">
        <f>PROPER(SalesData[[#This Row],[Customer Name]])</f>
        <v>Elijah Williams</v>
      </c>
      <c r="U726" t="s">
        <v>1414</v>
      </c>
      <c r="V726" t="s">
        <v>1427</v>
      </c>
    </row>
    <row r="727" spans="1:22" x14ac:dyDescent="0.25">
      <c r="A727" t="s">
        <v>2153</v>
      </c>
      <c r="B727" s="5">
        <v>45554</v>
      </c>
      <c r="C727" s="2" t="str">
        <f>TEXT(SalesData[[#This Row],[Order Date]],"mmm")</f>
        <v>Sep</v>
      </c>
      <c r="D727" s="7">
        <f>MONTH(SalesData[[#This Row],[Order Date]])</f>
        <v>9</v>
      </c>
      <c r="E727" s="7">
        <f>YEAR(SalesData[[#This Row],[Order Date]])</f>
        <v>2024</v>
      </c>
      <c r="F727" t="s">
        <v>664</v>
      </c>
      <c r="G727" t="str">
        <f>PROPER(SalesData[[#This Row],[Product Name]])</f>
        <v>Eco Canvas Tote Bag</v>
      </c>
      <c r="H727" t="s">
        <v>1013</v>
      </c>
      <c r="I727" t="str">
        <f>UPPER(SalesData[[#This Row],[Product Category]])</f>
        <v>BAGS</v>
      </c>
      <c r="J727">
        <v>1</v>
      </c>
      <c r="K727">
        <v>25</v>
      </c>
      <c r="L727" s="15">
        <f>IF(SalesData[[#This Row],[Unit Price]]="",
    AVERAGEIFS(SalesData[Unit Price],
               SalesData[Product Name],SalesData[[#This Row],[Product Name]]),
    SalesData[[#This Row],[Unit Price]])</f>
        <v>25</v>
      </c>
      <c r="M727" s="15">
        <v>8.68</v>
      </c>
      <c r="N727" s="15">
        <f>SalesData[[#This Row],[Quantity Sold]] * SalesData[[#This Row],[Cleaned Unit Price]]</f>
        <v>25</v>
      </c>
      <c r="O727" s="15">
        <f>SalesData[[#This Row],[Quantity Sold]] * SalesData[[#This Row],[Unit Cost]]</f>
        <v>8.68</v>
      </c>
      <c r="P727" s="15">
        <f>SalesData[[#This Row],[Revenue]] - SalesData[[#This Row],[Cost]]</f>
        <v>16.32</v>
      </c>
      <c r="Q727" s="13">
        <f>IF(SalesData[[#This Row],[Revenue]]=0,0,SalesData[[#This Row],[Profit]]/SalesData[[#This Row],[Revenue]])</f>
        <v>0.65280000000000005</v>
      </c>
      <c r="R727" t="s">
        <v>1036</v>
      </c>
      <c r="S727" t="s">
        <v>1235</v>
      </c>
      <c r="T727" t="str">
        <f>PROPER(SalesData[[#This Row],[Customer Name]])</f>
        <v>Amelia Johnson</v>
      </c>
      <c r="U727" t="s">
        <v>1415</v>
      </c>
      <c r="V727" t="s">
        <v>1420</v>
      </c>
    </row>
    <row r="728" spans="1:22" x14ac:dyDescent="0.25">
      <c r="A728" t="s">
        <v>2154</v>
      </c>
      <c r="B728" s="5">
        <v>45554</v>
      </c>
      <c r="C728" s="2" t="str">
        <f>TEXT(SalesData[[#This Row],[Order Date]],"mmm")</f>
        <v>Sep</v>
      </c>
      <c r="D728" s="7">
        <f>MONTH(SalesData[[#This Row],[Order Date]])</f>
        <v>9</v>
      </c>
      <c r="E728" s="7">
        <f>YEAR(SalesData[[#This Row],[Order Date]])</f>
        <v>2024</v>
      </c>
      <c r="F728" t="s">
        <v>688</v>
      </c>
      <c r="G728" t="str">
        <f>PROPER(SalesData[[#This Row],[Product Name]])</f>
        <v>Solar Led Lantern</v>
      </c>
      <c r="H728" t="s">
        <v>1012</v>
      </c>
      <c r="I728" t="str">
        <f>UPPER(SalesData[[#This Row],[Product Category]])</f>
        <v>LIGHTING</v>
      </c>
      <c r="J728">
        <v>7</v>
      </c>
      <c r="K728">
        <v>40</v>
      </c>
      <c r="L728" s="15">
        <f>IF(SalesData[[#This Row],[Unit Price]]="",
    AVERAGEIFS(SalesData[Unit Price],
               SalesData[Product Name],SalesData[[#This Row],[Product Name]]),
    SalesData[[#This Row],[Unit Price]])</f>
        <v>40</v>
      </c>
      <c r="M728" s="15">
        <v>8.74</v>
      </c>
      <c r="N728" s="15">
        <f>SalesData[[#This Row],[Quantity Sold]] * SalesData[[#This Row],[Cleaned Unit Price]]</f>
        <v>280</v>
      </c>
      <c r="O728" s="15">
        <f>SalesData[[#This Row],[Quantity Sold]] * SalesData[[#This Row],[Unit Cost]]</f>
        <v>61.18</v>
      </c>
      <c r="P728" s="15">
        <f>SalesData[[#This Row],[Revenue]] - SalesData[[#This Row],[Cost]]</f>
        <v>218.82</v>
      </c>
      <c r="Q728" s="13">
        <f>IF(SalesData[[#This Row],[Revenue]]=0,0,SalesData[[#This Row],[Profit]]/SalesData[[#This Row],[Revenue]])</f>
        <v>0.78149999999999997</v>
      </c>
      <c r="R728" t="s">
        <v>1182</v>
      </c>
      <c r="S728" t="s">
        <v>1381</v>
      </c>
      <c r="T728" t="str">
        <f>PROPER(SalesData[[#This Row],[Customer Name]])</f>
        <v>Mia Martinez</v>
      </c>
      <c r="U728" t="s">
        <v>1416</v>
      </c>
      <c r="V728" t="s">
        <v>1422</v>
      </c>
    </row>
    <row r="729" spans="1:22" x14ac:dyDescent="0.25">
      <c r="A729" t="s">
        <v>2155</v>
      </c>
      <c r="B729" s="5">
        <v>45555</v>
      </c>
      <c r="C729" s="2" t="str">
        <f>TEXT(SalesData[[#This Row],[Order Date]],"mmm")</f>
        <v>Sep</v>
      </c>
      <c r="D729" s="7">
        <f>MONTH(SalesData[[#This Row],[Order Date]])</f>
        <v>9</v>
      </c>
      <c r="E729" s="7">
        <f>YEAR(SalesData[[#This Row],[Order Date]])</f>
        <v>2024</v>
      </c>
      <c r="F729" t="s">
        <v>203</v>
      </c>
      <c r="G729" t="str">
        <f>PROPER(SalesData[[#This Row],[Product Name]])</f>
        <v>Eco Canvas Tote Bag</v>
      </c>
      <c r="H729" t="s">
        <v>1013</v>
      </c>
      <c r="I729" t="str">
        <f>UPPER(SalesData[[#This Row],[Product Category]])</f>
        <v>BAGS</v>
      </c>
      <c r="J729">
        <v>3</v>
      </c>
      <c r="K729">
        <v>25</v>
      </c>
      <c r="L729" s="15">
        <f>IF(SalesData[[#This Row],[Unit Price]]="",
    AVERAGEIFS(SalesData[Unit Price],
               SalesData[Product Name],SalesData[[#This Row],[Product Name]]),
    SalesData[[#This Row],[Unit Price]])</f>
        <v>25</v>
      </c>
      <c r="M729" s="15">
        <v>7.17</v>
      </c>
      <c r="N729" s="15">
        <f>SalesData[[#This Row],[Quantity Sold]] * SalesData[[#This Row],[Cleaned Unit Price]]</f>
        <v>75</v>
      </c>
      <c r="O729" s="15">
        <f>SalesData[[#This Row],[Quantity Sold]] * SalesData[[#This Row],[Unit Cost]]</f>
        <v>21.509999999999998</v>
      </c>
      <c r="P729" s="15">
        <f>SalesData[[#This Row],[Revenue]] - SalesData[[#This Row],[Cost]]</f>
        <v>53.49</v>
      </c>
      <c r="Q729" s="13">
        <f>IF(SalesData[[#This Row],[Revenue]]=0,0,SalesData[[#This Row],[Profit]]/SalesData[[#This Row],[Revenue]])</f>
        <v>0.71320000000000006</v>
      </c>
      <c r="R729" t="s">
        <v>1085</v>
      </c>
      <c r="S729" t="s">
        <v>1284</v>
      </c>
      <c r="T729" t="str">
        <f>PROPER(SalesData[[#This Row],[Customer Name]])</f>
        <v>Harper Garcia</v>
      </c>
      <c r="U729" t="s">
        <v>1414</v>
      </c>
      <c r="V729" t="s">
        <v>1419</v>
      </c>
    </row>
    <row r="730" spans="1:22" x14ac:dyDescent="0.25">
      <c r="A730" t="s">
        <v>2156</v>
      </c>
      <c r="B730" s="5">
        <v>45556</v>
      </c>
      <c r="C730" s="2" t="str">
        <f>TEXT(SalesData[[#This Row],[Order Date]],"mmm")</f>
        <v>Sep</v>
      </c>
      <c r="D730" s="7">
        <f>MONTH(SalesData[[#This Row],[Order Date]])</f>
        <v>9</v>
      </c>
      <c r="E730" s="7">
        <f>YEAR(SalesData[[#This Row],[Order Date]])</f>
        <v>2024</v>
      </c>
      <c r="F730" t="s">
        <v>721</v>
      </c>
      <c r="G730" t="str">
        <f>PROPER(SalesData[[#This Row],[Product Name]])</f>
        <v>Biodegradable Cleaning Cloth</v>
      </c>
      <c r="H730" t="s">
        <v>1015</v>
      </c>
      <c r="I730" t="str">
        <f>UPPER(SalesData[[#This Row],[Product Category]])</f>
        <v>CLEANING</v>
      </c>
      <c r="J730">
        <v>8</v>
      </c>
      <c r="K730">
        <v>10</v>
      </c>
      <c r="L730" s="15">
        <f>IF(SalesData[[#This Row],[Unit Price]]="",
    AVERAGEIFS(SalesData[Unit Price],
               SalesData[Product Name],SalesData[[#This Row],[Product Name]]),
    SalesData[[#This Row],[Unit Price]])</f>
        <v>10</v>
      </c>
      <c r="M730" s="15">
        <v>3.47</v>
      </c>
      <c r="N730" s="15">
        <f>SalesData[[#This Row],[Quantity Sold]] * SalesData[[#This Row],[Cleaned Unit Price]]</f>
        <v>80</v>
      </c>
      <c r="O730" s="15">
        <f>SalesData[[#This Row],[Quantity Sold]] * SalesData[[#This Row],[Unit Cost]]</f>
        <v>27.76</v>
      </c>
      <c r="P730" s="15">
        <f>SalesData[[#This Row],[Revenue]] - SalesData[[#This Row],[Cost]]</f>
        <v>52.239999999999995</v>
      </c>
      <c r="Q730" s="13">
        <f>IF(SalesData[[#This Row],[Revenue]]=0,0,SalesData[[#This Row],[Profit]]/SalesData[[#This Row],[Revenue]])</f>
        <v>0.65299999999999991</v>
      </c>
      <c r="R730" t="s">
        <v>1158</v>
      </c>
      <c r="S730" t="s">
        <v>1357</v>
      </c>
      <c r="T730" t="str">
        <f>PROPER(SalesData[[#This Row],[Customer Name]])</f>
        <v>James Brown</v>
      </c>
      <c r="U730" t="s">
        <v>1416</v>
      </c>
      <c r="V730" t="s">
        <v>1419</v>
      </c>
    </row>
    <row r="731" spans="1:22" x14ac:dyDescent="0.25">
      <c r="A731" t="s">
        <v>2157</v>
      </c>
      <c r="B731" s="5">
        <v>45557</v>
      </c>
      <c r="C731" s="2" t="str">
        <f>TEXT(SalesData[[#This Row],[Order Date]],"mmm")</f>
        <v>Sep</v>
      </c>
      <c r="D731" s="7">
        <f>MONTH(SalesData[[#This Row],[Order Date]])</f>
        <v>9</v>
      </c>
      <c r="E731" s="7">
        <f>YEAR(SalesData[[#This Row],[Order Date]])</f>
        <v>2024</v>
      </c>
      <c r="F731" t="s">
        <v>231</v>
      </c>
      <c r="G731" t="str">
        <f>PROPER(SalesData[[#This Row],[Product Name]])</f>
        <v>Compostable Plant Pots</v>
      </c>
      <c r="H731" t="s">
        <v>1011</v>
      </c>
      <c r="I731" t="str">
        <f>UPPER(SalesData[[#This Row],[Product Category]])</f>
        <v>GARDENING</v>
      </c>
      <c r="J731">
        <v>5</v>
      </c>
      <c r="K731">
        <v>12</v>
      </c>
      <c r="L731" s="15">
        <f>IF(SalesData[[#This Row],[Unit Price]]="",
    AVERAGEIFS(SalesData[Unit Price],
               SalesData[Product Name],SalesData[[#This Row],[Product Name]]),
    SalesData[[#This Row],[Unit Price]])</f>
        <v>12</v>
      </c>
      <c r="M731" s="15">
        <v>2.78</v>
      </c>
      <c r="N731" s="15">
        <f>SalesData[[#This Row],[Quantity Sold]] * SalesData[[#This Row],[Cleaned Unit Price]]</f>
        <v>60</v>
      </c>
      <c r="O731" s="15">
        <f>SalesData[[#This Row],[Quantity Sold]] * SalesData[[#This Row],[Unit Cost]]</f>
        <v>13.899999999999999</v>
      </c>
      <c r="P731" s="15">
        <f>SalesData[[#This Row],[Revenue]] - SalesData[[#This Row],[Cost]]</f>
        <v>46.1</v>
      </c>
      <c r="Q731" s="13">
        <f>IF(SalesData[[#This Row],[Revenue]]=0,0,SalesData[[#This Row],[Profit]]/SalesData[[#This Row],[Revenue]])</f>
        <v>0.76833333333333331</v>
      </c>
      <c r="R731" t="s">
        <v>1062</v>
      </c>
      <c r="S731" t="s">
        <v>1261</v>
      </c>
      <c r="T731" t="str">
        <f>PROPER(SalesData[[#This Row],[Customer Name]])</f>
        <v>James Brown</v>
      </c>
      <c r="U731" t="s">
        <v>1416</v>
      </c>
      <c r="V731" t="s">
        <v>1423</v>
      </c>
    </row>
    <row r="732" spans="1:22" x14ac:dyDescent="0.25">
      <c r="A732" t="s">
        <v>2158</v>
      </c>
      <c r="B732" s="5">
        <v>45557</v>
      </c>
      <c r="C732" s="2" t="str">
        <f>TEXT(SalesData[[#This Row],[Order Date]],"mmm")</f>
        <v>Sep</v>
      </c>
      <c r="D732" s="7">
        <f>MONTH(SalesData[[#This Row],[Order Date]])</f>
        <v>9</v>
      </c>
      <c r="E732" s="7">
        <f>YEAR(SalesData[[#This Row],[Order Date]])</f>
        <v>2024</v>
      </c>
      <c r="F732" t="s">
        <v>332</v>
      </c>
      <c r="G732" t="str">
        <f>PROPER(SalesData[[#This Row],[Product Name]])</f>
        <v>Compostable Plant Pots</v>
      </c>
      <c r="H732" t="s">
        <v>1011</v>
      </c>
      <c r="I732" t="str">
        <f>UPPER(SalesData[[#This Row],[Product Category]])</f>
        <v>GARDENING</v>
      </c>
      <c r="J732">
        <v>9</v>
      </c>
      <c r="K732">
        <v>12</v>
      </c>
      <c r="L732" s="15">
        <f>IF(SalesData[[#This Row],[Unit Price]]="",
    AVERAGEIFS(SalesData[Unit Price],
               SalesData[Product Name],SalesData[[#This Row],[Product Name]]),
    SalesData[[#This Row],[Unit Price]])</f>
        <v>12</v>
      </c>
      <c r="M732" s="15">
        <v>2.94</v>
      </c>
      <c r="N732" s="15">
        <f>SalesData[[#This Row],[Quantity Sold]] * SalesData[[#This Row],[Cleaned Unit Price]]</f>
        <v>108</v>
      </c>
      <c r="O732" s="15">
        <f>SalesData[[#This Row],[Quantity Sold]] * SalesData[[#This Row],[Unit Cost]]</f>
        <v>26.46</v>
      </c>
      <c r="P732" s="15">
        <f>SalesData[[#This Row],[Revenue]] - SalesData[[#This Row],[Cost]]</f>
        <v>81.539999999999992</v>
      </c>
      <c r="Q732" s="13">
        <f>IF(SalesData[[#This Row],[Revenue]]=0,0,SalesData[[#This Row],[Profit]]/SalesData[[#This Row],[Revenue]])</f>
        <v>0.75499999999999989</v>
      </c>
      <c r="R732" t="s">
        <v>1023</v>
      </c>
      <c r="S732" t="s">
        <v>1222</v>
      </c>
      <c r="T732" t="str">
        <f>PROPER(SalesData[[#This Row],[Customer Name]])</f>
        <v>Liam Garcia</v>
      </c>
      <c r="U732" t="s">
        <v>1414</v>
      </c>
      <c r="V732" t="s">
        <v>1427</v>
      </c>
    </row>
    <row r="733" spans="1:22" x14ac:dyDescent="0.25">
      <c r="A733" t="s">
        <v>2159</v>
      </c>
      <c r="B733" s="5">
        <v>45557</v>
      </c>
      <c r="C733" s="2" t="str">
        <f>TEXT(SalesData[[#This Row],[Order Date]],"mmm")</f>
        <v>Sep</v>
      </c>
      <c r="D733" s="7">
        <f>MONTH(SalesData[[#This Row],[Order Date]])</f>
        <v>9</v>
      </c>
      <c r="E733" s="7">
        <f>YEAR(SalesData[[#This Row],[Order Date]])</f>
        <v>2024</v>
      </c>
      <c r="F733" t="s">
        <v>455</v>
      </c>
      <c r="G733" t="str">
        <f>PROPER(SalesData[[#This Row],[Product Name]])</f>
        <v>Compostable Plant Pots</v>
      </c>
      <c r="H733" t="s">
        <v>1011</v>
      </c>
      <c r="I733" t="str">
        <f>UPPER(SalesData[[#This Row],[Product Category]])</f>
        <v>GARDENING</v>
      </c>
      <c r="J733">
        <v>3</v>
      </c>
      <c r="K733">
        <v>12</v>
      </c>
      <c r="L733" s="15">
        <f>IF(SalesData[[#This Row],[Unit Price]]="",
    AVERAGEIFS(SalesData[Unit Price],
               SalesData[Product Name],SalesData[[#This Row],[Product Name]]),
    SalesData[[#This Row],[Unit Price]])</f>
        <v>12</v>
      </c>
      <c r="M733" s="15">
        <v>4.49</v>
      </c>
      <c r="N733" s="15">
        <f>SalesData[[#This Row],[Quantity Sold]] * SalesData[[#This Row],[Cleaned Unit Price]]</f>
        <v>36</v>
      </c>
      <c r="O733" s="15">
        <f>SalesData[[#This Row],[Quantity Sold]] * SalesData[[#This Row],[Unit Cost]]</f>
        <v>13.47</v>
      </c>
      <c r="P733" s="15">
        <f>SalesData[[#This Row],[Revenue]] - SalesData[[#This Row],[Cost]]</f>
        <v>22.53</v>
      </c>
      <c r="Q733" s="13">
        <f>IF(SalesData[[#This Row],[Revenue]]=0,0,SalesData[[#This Row],[Profit]]/SalesData[[#This Row],[Revenue]])</f>
        <v>0.62583333333333335</v>
      </c>
      <c r="R733" t="s">
        <v>1046</v>
      </c>
      <c r="S733" t="s">
        <v>1245</v>
      </c>
      <c r="T733" t="str">
        <f>PROPER(SalesData[[#This Row],[Customer Name]])</f>
        <v>Lucas Williams</v>
      </c>
      <c r="U733" t="s">
        <v>1414</v>
      </c>
      <c r="V733" t="s">
        <v>1423</v>
      </c>
    </row>
    <row r="734" spans="1:22" x14ac:dyDescent="0.25">
      <c r="A734" t="s">
        <v>2160</v>
      </c>
      <c r="B734" s="5">
        <v>45558</v>
      </c>
      <c r="C734" s="2" t="str">
        <f>TEXT(SalesData[[#This Row],[Order Date]],"mmm")</f>
        <v>Sep</v>
      </c>
      <c r="D734" s="7">
        <f>MONTH(SalesData[[#This Row],[Order Date]])</f>
        <v>9</v>
      </c>
      <c r="E734" s="7">
        <f>YEAR(SalesData[[#This Row],[Order Date]])</f>
        <v>2024</v>
      </c>
      <c r="F734" t="s">
        <v>123</v>
      </c>
      <c r="G734" t="str">
        <f>PROPER(SalesData[[#This Row],[Product Name]])</f>
        <v>Eco Canvas Tote Bag</v>
      </c>
      <c r="H734" t="s">
        <v>1013</v>
      </c>
      <c r="I734" t="str">
        <f>UPPER(SalesData[[#This Row],[Product Category]])</f>
        <v>BAGS</v>
      </c>
      <c r="J734">
        <v>8</v>
      </c>
      <c r="K734">
        <v>25</v>
      </c>
      <c r="L734" s="15">
        <f>IF(SalesData[[#This Row],[Unit Price]]="",
    AVERAGEIFS(SalesData[Unit Price],
               SalesData[Product Name],SalesData[[#This Row],[Product Name]]),
    SalesData[[#This Row],[Unit Price]])</f>
        <v>25</v>
      </c>
      <c r="M734" s="15">
        <v>6.84</v>
      </c>
      <c r="N734" s="15">
        <f>SalesData[[#This Row],[Quantity Sold]] * SalesData[[#This Row],[Cleaned Unit Price]]</f>
        <v>200</v>
      </c>
      <c r="O734" s="15">
        <f>SalesData[[#This Row],[Quantity Sold]] * SalesData[[#This Row],[Unit Cost]]</f>
        <v>54.72</v>
      </c>
      <c r="P734" s="15">
        <f>SalesData[[#This Row],[Revenue]] - SalesData[[#This Row],[Cost]]</f>
        <v>145.28</v>
      </c>
      <c r="Q734" s="13">
        <f>IF(SalesData[[#This Row],[Revenue]]=0,0,SalesData[[#This Row],[Profit]]/SalesData[[#This Row],[Revenue]])</f>
        <v>0.72640000000000005</v>
      </c>
      <c r="R734" t="s">
        <v>1102</v>
      </c>
      <c r="S734" t="s">
        <v>1301</v>
      </c>
      <c r="T734" t="str">
        <f>PROPER(SalesData[[#This Row],[Customer Name]])</f>
        <v>Aiden Garcia</v>
      </c>
      <c r="U734" t="s">
        <v>1417</v>
      </c>
      <c r="V734" t="s">
        <v>1426</v>
      </c>
    </row>
    <row r="735" spans="1:22" x14ac:dyDescent="0.25">
      <c r="A735" t="s">
        <v>2161</v>
      </c>
      <c r="B735" s="5">
        <v>45558</v>
      </c>
      <c r="C735" s="2" t="str">
        <f>TEXT(SalesData[[#This Row],[Order Date]],"mmm")</f>
        <v>Sep</v>
      </c>
      <c r="D735" s="7">
        <f>MONTH(SalesData[[#This Row],[Order Date]])</f>
        <v>9</v>
      </c>
      <c r="E735" s="7">
        <f>YEAR(SalesData[[#This Row],[Order Date]])</f>
        <v>2024</v>
      </c>
      <c r="F735" t="s">
        <v>152</v>
      </c>
      <c r="G735" t="str">
        <f>PROPER(SalesData[[#This Row],[Product Name]])</f>
        <v>Eco Canvas Tote Bag</v>
      </c>
      <c r="H735" t="s">
        <v>1013</v>
      </c>
      <c r="I735" t="str">
        <f>UPPER(SalesData[[#This Row],[Product Category]])</f>
        <v>BAGS</v>
      </c>
      <c r="J735">
        <v>9</v>
      </c>
      <c r="K735">
        <v>25</v>
      </c>
      <c r="L735" s="15">
        <f>IF(SalesData[[#This Row],[Unit Price]]="",
    AVERAGEIFS(SalesData[Unit Price],
               SalesData[Product Name],SalesData[[#This Row],[Product Name]]),
    SalesData[[#This Row],[Unit Price]])</f>
        <v>25</v>
      </c>
      <c r="M735" s="15">
        <v>7.79</v>
      </c>
      <c r="N735" s="15">
        <f>SalesData[[#This Row],[Quantity Sold]] * SalesData[[#This Row],[Cleaned Unit Price]]</f>
        <v>225</v>
      </c>
      <c r="O735" s="15">
        <f>SalesData[[#This Row],[Quantity Sold]] * SalesData[[#This Row],[Unit Cost]]</f>
        <v>70.11</v>
      </c>
      <c r="P735" s="15">
        <f>SalesData[[#This Row],[Revenue]] - SalesData[[#This Row],[Cost]]</f>
        <v>154.88999999999999</v>
      </c>
      <c r="Q735" s="13">
        <f>IF(SalesData[[#This Row],[Revenue]]=0,0,SalesData[[#This Row],[Profit]]/SalesData[[#This Row],[Revenue]])</f>
        <v>0.6883999999999999</v>
      </c>
      <c r="R735" t="s">
        <v>1080</v>
      </c>
      <c r="S735" t="s">
        <v>1279</v>
      </c>
      <c r="T735" t="str">
        <f>PROPER(SalesData[[#This Row],[Customer Name]])</f>
        <v>Mason Johnson</v>
      </c>
      <c r="U735" t="s">
        <v>1414</v>
      </c>
      <c r="V735" t="s">
        <v>1425</v>
      </c>
    </row>
    <row r="736" spans="1:22" x14ac:dyDescent="0.25">
      <c r="A736" t="s">
        <v>2162</v>
      </c>
      <c r="B736" s="5">
        <v>45558</v>
      </c>
      <c r="C736" s="2" t="str">
        <f>TEXT(SalesData[[#This Row],[Order Date]],"mmm")</f>
        <v>Sep</v>
      </c>
      <c r="D736" s="7">
        <f>MONTH(SalesData[[#This Row],[Order Date]])</f>
        <v>9</v>
      </c>
      <c r="E736" s="7">
        <f>YEAR(SalesData[[#This Row],[Order Date]])</f>
        <v>2024</v>
      </c>
      <c r="F736" t="s">
        <v>798</v>
      </c>
      <c r="G736" t="str">
        <f>PROPER(SalesData[[#This Row],[Product Name]])</f>
        <v>Eco Canvas Tote Bag</v>
      </c>
      <c r="H736" t="s">
        <v>1013</v>
      </c>
      <c r="I736" t="str">
        <f>UPPER(SalesData[[#This Row],[Product Category]])</f>
        <v>BAGS</v>
      </c>
      <c r="J736">
        <v>7</v>
      </c>
      <c r="K736">
        <v>25</v>
      </c>
      <c r="L736" s="15">
        <f>IF(SalesData[[#This Row],[Unit Price]]="",
    AVERAGEIFS(SalesData[Unit Price],
               SalesData[Product Name],SalesData[[#This Row],[Product Name]]),
    SalesData[[#This Row],[Unit Price]])</f>
        <v>25</v>
      </c>
      <c r="M736" s="15">
        <v>8.2899999999999991</v>
      </c>
      <c r="N736" s="15">
        <f>SalesData[[#This Row],[Quantity Sold]] * SalesData[[#This Row],[Cleaned Unit Price]]</f>
        <v>175</v>
      </c>
      <c r="O736" s="15">
        <f>SalesData[[#This Row],[Quantity Sold]] * SalesData[[#This Row],[Unit Cost]]</f>
        <v>58.029999999999994</v>
      </c>
      <c r="P736" s="15">
        <f>SalesData[[#This Row],[Revenue]] - SalesData[[#This Row],[Cost]]</f>
        <v>116.97</v>
      </c>
      <c r="Q736" s="13">
        <f>IF(SalesData[[#This Row],[Revenue]]=0,0,SalesData[[#This Row],[Profit]]/SalesData[[#This Row],[Revenue]])</f>
        <v>0.66839999999999999</v>
      </c>
      <c r="R736" t="s">
        <v>1173</v>
      </c>
      <c r="S736" t="s">
        <v>1372</v>
      </c>
      <c r="T736" t="str">
        <f>PROPER(SalesData[[#This Row],[Customer Name]])</f>
        <v>Harper Jones</v>
      </c>
      <c r="U736" t="s">
        <v>1414</v>
      </c>
      <c r="V736" t="s">
        <v>1422</v>
      </c>
    </row>
    <row r="737" spans="1:22" x14ac:dyDescent="0.25">
      <c r="A737" t="s">
        <v>2163</v>
      </c>
      <c r="B737" s="5">
        <v>45559</v>
      </c>
      <c r="C737" s="2" t="str">
        <f>TEXT(SalesData[[#This Row],[Order Date]],"mmm")</f>
        <v>Sep</v>
      </c>
      <c r="D737" s="7">
        <f>MONTH(SalesData[[#This Row],[Order Date]])</f>
        <v>9</v>
      </c>
      <c r="E737" s="7">
        <f>YEAR(SalesData[[#This Row],[Order Date]])</f>
        <v>2024</v>
      </c>
      <c r="F737" t="s">
        <v>281</v>
      </c>
      <c r="G737" t="str">
        <f>PROPER(SalesData[[#This Row],[Product Name]])</f>
        <v>Biodegradable Cleaning Cloth</v>
      </c>
      <c r="H737" t="s">
        <v>1015</v>
      </c>
      <c r="I737" t="str">
        <f>UPPER(SalesData[[#This Row],[Product Category]])</f>
        <v>CLEANING</v>
      </c>
      <c r="J737">
        <v>2</v>
      </c>
      <c r="K737">
        <v>10</v>
      </c>
      <c r="L737" s="15">
        <f>IF(SalesData[[#This Row],[Unit Price]]="",
    AVERAGEIFS(SalesData[Unit Price],
               SalesData[Product Name],SalesData[[#This Row],[Product Name]]),
    SalesData[[#This Row],[Unit Price]])</f>
        <v>10</v>
      </c>
      <c r="M737" s="15">
        <v>2.94</v>
      </c>
      <c r="N737" s="15">
        <f>SalesData[[#This Row],[Quantity Sold]] * SalesData[[#This Row],[Cleaned Unit Price]]</f>
        <v>20</v>
      </c>
      <c r="O737" s="15">
        <f>SalesData[[#This Row],[Quantity Sold]] * SalesData[[#This Row],[Unit Cost]]</f>
        <v>5.88</v>
      </c>
      <c r="P737" s="15">
        <f>SalesData[[#This Row],[Revenue]] - SalesData[[#This Row],[Cost]]</f>
        <v>14.120000000000001</v>
      </c>
      <c r="Q737" s="13">
        <f>IF(SalesData[[#This Row],[Revenue]]=0,0,SalesData[[#This Row],[Profit]]/SalesData[[#This Row],[Revenue]])</f>
        <v>0.70600000000000007</v>
      </c>
      <c r="R737" t="s">
        <v>1165</v>
      </c>
      <c r="S737" t="s">
        <v>1364</v>
      </c>
      <c r="T737" t="str">
        <f>PROPER(SalesData[[#This Row],[Customer Name]])</f>
        <v>Elijah Davis</v>
      </c>
      <c r="U737" t="s">
        <v>1415</v>
      </c>
      <c r="V737" t="s">
        <v>1418</v>
      </c>
    </row>
    <row r="738" spans="1:22" x14ac:dyDescent="0.25">
      <c r="A738" t="s">
        <v>2164</v>
      </c>
      <c r="B738" s="5">
        <v>45559</v>
      </c>
      <c r="C738" s="2" t="str">
        <f>TEXT(SalesData[[#This Row],[Order Date]],"mmm")</f>
        <v>Sep</v>
      </c>
      <c r="D738" s="7">
        <f>MONTH(SalesData[[#This Row],[Order Date]])</f>
        <v>9</v>
      </c>
      <c r="E738" s="7">
        <f>YEAR(SalesData[[#This Row],[Order Date]])</f>
        <v>2024</v>
      </c>
      <c r="F738" t="s">
        <v>636</v>
      </c>
      <c r="G738" t="str">
        <f>PROPER(SalesData[[#This Row],[Product Name]])</f>
        <v>Biodegradable Cleaning Cloth</v>
      </c>
      <c r="H738" t="s">
        <v>1015</v>
      </c>
      <c r="I738" t="str">
        <f>UPPER(SalesData[[#This Row],[Product Category]])</f>
        <v>CLEANING</v>
      </c>
      <c r="J738">
        <v>1</v>
      </c>
      <c r="K738">
        <v>10</v>
      </c>
      <c r="L738" s="15">
        <f>IF(SalesData[[#This Row],[Unit Price]]="",
    AVERAGEIFS(SalesData[Unit Price],
               SalesData[Product Name],SalesData[[#This Row],[Product Name]]),
    SalesData[[#This Row],[Unit Price]])</f>
        <v>10</v>
      </c>
      <c r="M738" s="15">
        <v>3.62</v>
      </c>
      <c r="N738" s="15">
        <f>SalesData[[#This Row],[Quantity Sold]] * SalesData[[#This Row],[Cleaned Unit Price]]</f>
        <v>10</v>
      </c>
      <c r="O738" s="15">
        <f>SalesData[[#This Row],[Quantity Sold]] * SalesData[[#This Row],[Unit Cost]]</f>
        <v>3.62</v>
      </c>
      <c r="P738" s="15">
        <f>SalesData[[#This Row],[Revenue]] - SalesData[[#This Row],[Cost]]</f>
        <v>6.38</v>
      </c>
      <c r="Q738" s="13">
        <f>IF(SalesData[[#This Row],[Revenue]]=0,0,SalesData[[#This Row],[Profit]]/SalesData[[#This Row],[Revenue]])</f>
        <v>0.63800000000000001</v>
      </c>
      <c r="R738" t="s">
        <v>1098</v>
      </c>
      <c r="S738" t="s">
        <v>1297</v>
      </c>
      <c r="T738" t="str">
        <f>PROPER(SalesData[[#This Row],[Customer Name]])</f>
        <v>Noah Martinez</v>
      </c>
      <c r="U738" t="s">
        <v>1414</v>
      </c>
      <c r="V738" t="s">
        <v>1418</v>
      </c>
    </row>
    <row r="739" spans="1:22" x14ac:dyDescent="0.25">
      <c r="A739" t="s">
        <v>2165</v>
      </c>
      <c r="B739" s="5">
        <v>45560</v>
      </c>
      <c r="C739" s="2" t="str">
        <f>TEXT(SalesData[[#This Row],[Order Date]],"mmm")</f>
        <v>Sep</v>
      </c>
      <c r="D739" s="7">
        <f>MONTH(SalesData[[#This Row],[Order Date]])</f>
        <v>9</v>
      </c>
      <c r="E739" s="7">
        <f>YEAR(SalesData[[#This Row],[Order Date]])</f>
        <v>2024</v>
      </c>
      <c r="F739" t="s">
        <v>336</v>
      </c>
      <c r="G739" t="str">
        <f>PROPER(SalesData[[#This Row],[Product Name]])</f>
        <v>Biodegradable Cleaning Cloth</v>
      </c>
      <c r="H739" t="s">
        <v>1015</v>
      </c>
      <c r="I739" t="str">
        <f>UPPER(SalesData[[#This Row],[Product Category]])</f>
        <v>CLEANING</v>
      </c>
      <c r="J739">
        <v>8</v>
      </c>
      <c r="L739" s="15">
        <f>IF(SalesData[[#This Row],[Unit Price]]="",
    AVERAGEIFS(SalesData[Unit Price],
               SalesData[Product Name],SalesData[[#This Row],[Product Name]]),
    SalesData[[#This Row],[Unit Price]])</f>
        <v>10</v>
      </c>
      <c r="M739" s="15">
        <v>2.08</v>
      </c>
      <c r="N739" s="15">
        <f>SalesData[[#This Row],[Quantity Sold]] * SalesData[[#This Row],[Cleaned Unit Price]]</f>
        <v>80</v>
      </c>
      <c r="O739" s="15">
        <f>SalesData[[#This Row],[Quantity Sold]] * SalesData[[#This Row],[Unit Cost]]</f>
        <v>16.64</v>
      </c>
      <c r="P739" s="15">
        <f>SalesData[[#This Row],[Revenue]] - SalesData[[#This Row],[Cost]]</f>
        <v>63.36</v>
      </c>
      <c r="Q739" s="13">
        <f>IF(SalesData[[#This Row],[Revenue]]=0,0,SalesData[[#This Row],[Profit]]/SalesData[[#This Row],[Revenue]])</f>
        <v>0.79200000000000004</v>
      </c>
      <c r="R739" t="s">
        <v>1086</v>
      </c>
      <c r="S739" t="s">
        <v>1285</v>
      </c>
      <c r="T739" t="str">
        <f>PROPER(SalesData[[#This Row],[Customer Name]])</f>
        <v>James Williams</v>
      </c>
      <c r="U739" t="s">
        <v>1414</v>
      </c>
      <c r="V739" t="s">
        <v>1423</v>
      </c>
    </row>
    <row r="740" spans="1:22" x14ac:dyDescent="0.25">
      <c r="A740" t="s">
        <v>2166</v>
      </c>
      <c r="B740" s="5">
        <v>45561</v>
      </c>
      <c r="C740" s="2" t="str">
        <f>TEXT(SalesData[[#This Row],[Order Date]],"mmm")</f>
        <v>Sep</v>
      </c>
      <c r="D740" s="7">
        <f>MONTH(SalesData[[#This Row],[Order Date]])</f>
        <v>9</v>
      </c>
      <c r="E740" s="7">
        <f>YEAR(SalesData[[#This Row],[Order Date]])</f>
        <v>2024</v>
      </c>
      <c r="F740" t="s">
        <v>782</v>
      </c>
      <c r="G740" t="str">
        <f>PROPER(SalesData[[#This Row],[Product Name]])</f>
        <v>Compostable Plant Pots</v>
      </c>
      <c r="H740" t="s">
        <v>1011</v>
      </c>
      <c r="I740" t="str">
        <f>UPPER(SalesData[[#This Row],[Product Category]])</f>
        <v>GARDENING</v>
      </c>
      <c r="J740">
        <v>5</v>
      </c>
      <c r="K740">
        <v>12</v>
      </c>
      <c r="L740" s="15">
        <f>IF(SalesData[[#This Row],[Unit Price]]="",
    AVERAGEIFS(SalesData[Unit Price],
               SalesData[Product Name],SalesData[[#This Row],[Product Name]]),
    SalesData[[#This Row],[Unit Price]])</f>
        <v>12</v>
      </c>
      <c r="M740" s="15">
        <v>4.6900000000000004</v>
      </c>
      <c r="N740" s="15">
        <f>SalesData[[#This Row],[Quantity Sold]] * SalesData[[#This Row],[Cleaned Unit Price]]</f>
        <v>60</v>
      </c>
      <c r="O740" s="15">
        <f>SalesData[[#This Row],[Quantity Sold]] * SalesData[[#This Row],[Unit Cost]]</f>
        <v>23.450000000000003</v>
      </c>
      <c r="P740" s="15">
        <f>SalesData[[#This Row],[Revenue]] - SalesData[[#This Row],[Cost]]</f>
        <v>36.549999999999997</v>
      </c>
      <c r="Q740" s="13">
        <f>IF(SalesData[[#This Row],[Revenue]]=0,0,SalesData[[#This Row],[Profit]]/SalesData[[#This Row],[Revenue]])</f>
        <v>0.60916666666666663</v>
      </c>
      <c r="R740" t="s">
        <v>1191</v>
      </c>
      <c r="S740" t="s">
        <v>1390</v>
      </c>
      <c r="T740" t="str">
        <f>PROPER(SalesData[[#This Row],[Customer Name]])</f>
        <v>Isabella Williams</v>
      </c>
      <c r="U740" t="s">
        <v>1414</v>
      </c>
      <c r="V740" t="s">
        <v>1427</v>
      </c>
    </row>
    <row r="741" spans="1:22" x14ac:dyDescent="0.25">
      <c r="A741" t="s">
        <v>2167</v>
      </c>
      <c r="B741" s="5">
        <v>45561</v>
      </c>
      <c r="C741" s="2" t="str">
        <f>TEXT(SalesData[[#This Row],[Order Date]],"mmm")</f>
        <v>Sep</v>
      </c>
      <c r="D741" s="7">
        <f>MONTH(SalesData[[#This Row],[Order Date]])</f>
        <v>9</v>
      </c>
      <c r="E741" s="7">
        <f>YEAR(SalesData[[#This Row],[Order Date]])</f>
        <v>2024</v>
      </c>
      <c r="F741" t="s">
        <v>906</v>
      </c>
      <c r="G741" t="str">
        <f>PROPER(SalesData[[#This Row],[Product Name]])</f>
        <v>Compostable Plant Pots</v>
      </c>
      <c r="H741" t="s">
        <v>1011</v>
      </c>
      <c r="I741" t="str">
        <f>UPPER(SalesData[[#This Row],[Product Category]])</f>
        <v>GARDENING</v>
      </c>
      <c r="J741">
        <v>7</v>
      </c>
      <c r="K741">
        <v>12</v>
      </c>
      <c r="L741" s="15">
        <f>IF(SalesData[[#This Row],[Unit Price]]="",
    AVERAGEIFS(SalesData[Unit Price],
               SalesData[Product Name],SalesData[[#This Row],[Product Name]]),
    SalesData[[#This Row],[Unit Price]])</f>
        <v>12</v>
      </c>
      <c r="M741" s="15">
        <v>3.9</v>
      </c>
      <c r="N741" s="15">
        <f>SalesData[[#This Row],[Quantity Sold]] * SalesData[[#This Row],[Cleaned Unit Price]]</f>
        <v>84</v>
      </c>
      <c r="O741" s="15">
        <f>SalesData[[#This Row],[Quantity Sold]] * SalesData[[#This Row],[Unit Cost]]</f>
        <v>27.3</v>
      </c>
      <c r="P741" s="15">
        <f>SalesData[[#This Row],[Revenue]] - SalesData[[#This Row],[Cost]]</f>
        <v>56.7</v>
      </c>
      <c r="Q741" s="13">
        <f>IF(SalesData[[#This Row],[Revenue]]=0,0,SalesData[[#This Row],[Profit]]/SalesData[[#This Row],[Revenue]])</f>
        <v>0.67500000000000004</v>
      </c>
      <c r="R741" t="s">
        <v>1109</v>
      </c>
      <c r="S741" t="s">
        <v>1308</v>
      </c>
      <c r="T741" t="str">
        <f>PROPER(SalesData[[#This Row],[Customer Name]])</f>
        <v>Lucas Smith</v>
      </c>
      <c r="U741" t="s">
        <v>1415</v>
      </c>
      <c r="V741" t="s">
        <v>1425</v>
      </c>
    </row>
    <row r="742" spans="1:22" x14ac:dyDescent="0.25">
      <c r="A742" t="s">
        <v>2168</v>
      </c>
      <c r="B742" s="5">
        <v>45562</v>
      </c>
      <c r="C742" s="2" t="str">
        <f>TEXT(SalesData[[#This Row],[Order Date]],"mmm")</f>
        <v>Sep</v>
      </c>
      <c r="D742" s="7">
        <f>MONTH(SalesData[[#This Row],[Order Date]])</f>
        <v>9</v>
      </c>
      <c r="E742" s="7">
        <f>YEAR(SalesData[[#This Row],[Order Date]])</f>
        <v>2024</v>
      </c>
      <c r="F742" t="s">
        <v>339</v>
      </c>
      <c r="G742" t="str">
        <f>PROPER(SalesData[[#This Row],[Product Name]])</f>
        <v>Reusable Bamboo Utensil Set</v>
      </c>
      <c r="H742" t="s">
        <v>1014</v>
      </c>
      <c r="I742" t="str">
        <f>UPPER(SalesData[[#This Row],[Product Category]])</f>
        <v>KITCHENWARE</v>
      </c>
      <c r="J742">
        <v>10</v>
      </c>
      <c r="K742">
        <v>15</v>
      </c>
      <c r="L742" s="15">
        <f>IF(SalesData[[#This Row],[Unit Price]]="",
    AVERAGEIFS(SalesData[Unit Price],
               SalesData[Product Name],SalesData[[#This Row],[Product Name]]),
    SalesData[[#This Row],[Unit Price]])</f>
        <v>15</v>
      </c>
      <c r="M742" s="15">
        <v>3.05</v>
      </c>
      <c r="N742" s="15">
        <f>SalesData[[#This Row],[Quantity Sold]] * SalesData[[#This Row],[Cleaned Unit Price]]</f>
        <v>150</v>
      </c>
      <c r="O742" s="15">
        <f>SalesData[[#This Row],[Quantity Sold]] * SalesData[[#This Row],[Unit Cost]]</f>
        <v>30.5</v>
      </c>
      <c r="P742" s="15">
        <f>SalesData[[#This Row],[Revenue]] - SalesData[[#This Row],[Cost]]</f>
        <v>119.5</v>
      </c>
      <c r="Q742" s="13">
        <f>IF(SalesData[[#This Row],[Revenue]]=0,0,SalesData[[#This Row],[Profit]]/SalesData[[#This Row],[Revenue]])</f>
        <v>0.79666666666666663</v>
      </c>
      <c r="R742" t="s">
        <v>1151</v>
      </c>
      <c r="S742" t="s">
        <v>1350</v>
      </c>
      <c r="T742" t="str">
        <f>PROPER(SalesData[[#This Row],[Customer Name]])</f>
        <v>Isabella Brown</v>
      </c>
      <c r="U742" t="s">
        <v>1416</v>
      </c>
      <c r="V742" t="s">
        <v>1423</v>
      </c>
    </row>
    <row r="743" spans="1:22" x14ac:dyDescent="0.25">
      <c r="A743" t="s">
        <v>2169</v>
      </c>
      <c r="B743" s="5">
        <v>45562</v>
      </c>
      <c r="C743" s="2" t="str">
        <f>TEXT(SalesData[[#This Row],[Order Date]],"mmm")</f>
        <v>Sep</v>
      </c>
      <c r="D743" s="7">
        <f>MONTH(SalesData[[#This Row],[Order Date]])</f>
        <v>9</v>
      </c>
      <c r="E743" s="7">
        <f>YEAR(SalesData[[#This Row],[Order Date]])</f>
        <v>2024</v>
      </c>
      <c r="F743" t="s">
        <v>593</v>
      </c>
      <c r="G743" t="str">
        <f>PROPER(SalesData[[#This Row],[Product Name]])</f>
        <v>Solar Led Lantern</v>
      </c>
      <c r="H743" t="s">
        <v>1012</v>
      </c>
      <c r="I743" t="str">
        <f>UPPER(SalesData[[#This Row],[Product Category]])</f>
        <v>LIGHTING</v>
      </c>
      <c r="J743">
        <v>5</v>
      </c>
      <c r="L743" s="15">
        <f>IF(SalesData[[#This Row],[Unit Price]]="",
    AVERAGEIFS(SalesData[Unit Price],
               SalesData[Product Name],SalesData[[#This Row],[Product Name]]),
    SalesData[[#This Row],[Unit Price]])</f>
        <v>40</v>
      </c>
      <c r="M743" s="15">
        <v>8.11</v>
      </c>
      <c r="N743" s="15">
        <f>SalesData[[#This Row],[Quantity Sold]] * SalesData[[#This Row],[Cleaned Unit Price]]</f>
        <v>200</v>
      </c>
      <c r="O743" s="15">
        <f>SalesData[[#This Row],[Quantity Sold]] * SalesData[[#This Row],[Unit Cost]]</f>
        <v>40.549999999999997</v>
      </c>
      <c r="P743" s="15">
        <f>SalesData[[#This Row],[Revenue]] - SalesData[[#This Row],[Cost]]</f>
        <v>159.44999999999999</v>
      </c>
      <c r="Q743" s="13">
        <f>IF(SalesData[[#This Row],[Revenue]]=0,0,SalesData[[#This Row],[Profit]]/SalesData[[#This Row],[Revenue]])</f>
        <v>0.7972499999999999</v>
      </c>
      <c r="R743" t="s">
        <v>1127</v>
      </c>
      <c r="S743" t="s">
        <v>1326</v>
      </c>
      <c r="T743" t="str">
        <f>PROPER(SalesData[[#This Row],[Customer Name]])</f>
        <v>Mason Williams</v>
      </c>
      <c r="U743" t="s">
        <v>1414</v>
      </c>
      <c r="V743" t="s">
        <v>1426</v>
      </c>
    </row>
    <row r="744" spans="1:22" x14ac:dyDescent="0.25">
      <c r="A744" t="s">
        <v>2170</v>
      </c>
      <c r="B744" s="5">
        <v>45562</v>
      </c>
      <c r="C744" s="2" t="str">
        <f>TEXT(SalesData[[#This Row],[Order Date]],"mmm")</f>
        <v>Sep</v>
      </c>
      <c r="D744" s="7">
        <f>MONTH(SalesData[[#This Row],[Order Date]])</f>
        <v>9</v>
      </c>
      <c r="E744" s="7">
        <f>YEAR(SalesData[[#This Row],[Order Date]])</f>
        <v>2024</v>
      </c>
      <c r="F744" t="s">
        <v>1010</v>
      </c>
      <c r="G744" t="str">
        <f>PROPER(SalesData[[#This Row],[Product Name]])</f>
        <v>Biodegradable Cleaning Cloth</v>
      </c>
      <c r="H744" t="s">
        <v>1015</v>
      </c>
      <c r="I744" t="str">
        <f>UPPER(SalesData[[#This Row],[Product Category]])</f>
        <v>CLEANING</v>
      </c>
      <c r="J744">
        <v>10</v>
      </c>
      <c r="K744">
        <v>10</v>
      </c>
      <c r="L744" s="15">
        <f>IF(SalesData[[#This Row],[Unit Price]]="",
    AVERAGEIFS(SalesData[Unit Price],
               SalesData[Product Name],SalesData[[#This Row],[Product Name]]),
    SalesData[[#This Row],[Unit Price]])</f>
        <v>10</v>
      </c>
      <c r="M744" s="15">
        <v>3.29</v>
      </c>
      <c r="N744" s="15">
        <f>SalesData[[#This Row],[Quantity Sold]] * SalesData[[#This Row],[Cleaned Unit Price]]</f>
        <v>100</v>
      </c>
      <c r="O744" s="15">
        <f>SalesData[[#This Row],[Quantity Sold]] * SalesData[[#This Row],[Unit Cost]]</f>
        <v>32.9</v>
      </c>
      <c r="P744" s="15">
        <f>SalesData[[#This Row],[Revenue]] - SalesData[[#This Row],[Cost]]</f>
        <v>67.099999999999994</v>
      </c>
      <c r="Q744" s="13">
        <f>IF(SalesData[[#This Row],[Revenue]]=0,0,SalesData[[#This Row],[Profit]]/SalesData[[#This Row],[Revenue]])</f>
        <v>0.67099999999999993</v>
      </c>
      <c r="R744" t="s">
        <v>1173</v>
      </c>
      <c r="S744" t="s">
        <v>1372</v>
      </c>
      <c r="T744" t="str">
        <f>PROPER(SalesData[[#This Row],[Customer Name]])</f>
        <v>Harper Jones</v>
      </c>
      <c r="U744" t="s">
        <v>1414</v>
      </c>
      <c r="V744" t="s">
        <v>1424</v>
      </c>
    </row>
    <row r="745" spans="1:22" x14ac:dyDescent="0.25">
      <c r="A745" t="s">
        <v>2171</v>
      </c>
      <c r="B745" s="5">
        <v>45563</v>
      </c>
      <c r="C745" s="2" t="str">
        <f>TEXT(SalesData[[#This Row],[Order Date]],"mmm")</f>
        <v>Sep</v>
      </c>
      <c r="D745" s="7">
        <f>MONTH(SalesData[[#This Row],[Order Date]])</f>
        <v>9</v>
      </c>
      <c r="E745" s="7">
        <f>YEAR(SalesData[[#This Row],[Order Date]])</f>
        <v>2024</v>
      </c>
      <c r="F745" t="s">
        <v>76</v>
      </c>
      <c r="G745" t="str">
        <f>PROPER(SalesData[[#This Row],[Product Name]])</f>
        <v>Biodegradable Cleaning Cloth</v>
      </c>
      <c r="H745" t="s">
        <v>1015</v>
      </c>
      <c r="I745" t="str">
        <f>UPPER(SalesData[[#This Row],[Product Category]])</f>
        <v>CLEANING</v>
      </c>
      <c r="J745">
        <v>5</v>
      </c>
      <c r="K745">
        <v>10</v>
      </c>
      <c r="L745" s="15">
        <f>IF(SalesData[[#This Row],[Unit Price]]="",
    AVERAGEIFS(SalesData[Unit Price],
               SalesData[Product Name],SalesData[[#This Row],[Product Name]]),
    SalesData[[#This Row],[Unit Price]])</f>
        <v>10</v>
      </c>
      <c r="M745" s="15">
        <v>2.66</v>
      </c>
      <c r="N745" s="15">
        <f>SalesData[[#This Row],[Quantity Sold]] * SalesData[[#This Row],[Cleaned Unit Price]]</f>
        <v>50</v>
      </c>
      <c r="O745" s="15">
        <f>SalesData[[#This Row],[Quantity Sold]] * SalesData[[#This Row],[Unit Cost]]</f>
        <v>13.3</v>
      </c>
      <c r="P745" s="15">
        <f>SalesData[[#This Row],[Revenue]] - SalesData[[#This Row],[Cost]]</f>
        <v>36.700000000000003</v>
      </c>
      <c r="Q745" s="13">
        <f>IF(SalesData[[#This Row],[Revenue]]=0,0,SalesData[[#This Row],[Profit]]/SalesData[[#This Row],[Revenue]])</f>
        <v>0.7340000000000001</v>
      </c>
      <c r="R745" t="s">
        <v>1070</v>
      </c>
      <c r="S745" t="s">
        <v>1269</v>
      </c>
      <c r="T745" t="str">
        <f>PROPER(SalesData[[#This Row],[Customer Name]])</f>
        <v>Amelia Garcia</v>
      </c>
      <c r="U745" t="s">
        <v>1416</v>
      </c>
      <c r="V745" t="s">
        <v>1424</v>
      </c>
    </row>
    <row r="746" spans="1:22" x14ac:dyDescent="0.25">
      <c r="A746" t="s">
        <v>2172</v>
      </c>
      <c r="B746" s="5">
        <v>45563</v>
      </c>
      <c r="C746" s="2" t="str">
        <f>TEXT(SalesData[[#This Row],[Order Date]],"mmm")</f>
        <v>Sep</v>
      </c>
      <c r="D746" s="7">
        <f>MONTH(SalesData[[#This Row],[Order Date]])</f>
        <v>9</v>
      </c>
      <c r="E746" s="7">
        <f>YEAR(SalesData[[#This Row],[Order Date]])</f>
        <v>2024</v>
      </c>
      <c r="F746" t="s">
        <v>669</v>
      </c>
      <c r="G746" t="str">
        <f>PROPER(SalesData[[#This Row],[Product Name]])</f>
        <v>Reusable Bamboo Utensil Set</v>
      </c>
      <c r="H746" t="s">
        <v>1014</v>
      </c>
      <c r="I746" t="str">
        <f>UPPER(SalesData[[#This Row],[Product Category]])</f>
        <v>KITCHENWARE</v>
      </c>
      <c r="J746">
        <v>7</v>
      </c>
      <c r="K746">
        <v>15</v>
      </c>
      <c r="L746" s="15">
        <f>IF(SalesData[[#This Row],[Unit Price]]="",
    AVERAGEIFS(SalesData[Unit Price],
               SalesData[Product Name],SalesData[[#This Row],[Product Name]]),
    SalesData[[#This Row],[Unit Price]])</f>
        <v>15</v>
      </c>
      <c r="M746" s="15">
        <v>3.82</v>
      </c>
      <c r="N746" s="15">
        <f>SalesData[[#This Row],[Quantity Sold]] * SalesData[[#This Row],[Cleaned Unit Price]]</f>
        <v>105</v>
      </c>
      <c r="O746" s="15">
        <f>SalesData[[#This Row],[Quantity Sold]] * SalesData[[#This Row],[Unit Cost]]</f>
        <v>26.74</v>
      </c>
      <c r="P746" s="15">
        <f>SalesData[[#This Row],[Revenue]] - SalesData[[#This Row],[Cost]]</f>
        <v>78.260000000000005</v>
      </c>
      <c r="Q746" s="13">
        <f>IF(SalesData[[#This Row],[Revenue]]=0,0,SalesData[[#This Row],[Profit]]/SalesData[[#This Row],[Revenue]])</f>
        <v>0.7453333333333334</v>
      </c>
      <c r="R746" t="s">
        <v>1069</v>
      </c>
      <c r="S746" t="s">
        <v>1268</v>
      </c>
      <c r="T746" t="str">
        <f>PROPER(SalesData[[#This Row],[Customer Name]])</f>
        <v>Aiden Davis</v>
      </c>
      <c r="U746" t="s">
        <v>1414</v>
      </c>
      <c r="V746" t="s">
        <v>1426</v>
      </c>
    </row>
    <row r="747" spans="1:22" x14ac:dyDescent="0.25">
      <c r="A747" t="s">
        <v>2173</v>
      </c>
      <c r="B747" s="5">
        <v>45564</v>
      </c>
      <c r="C747" s="2" t="str">
        <f>TEXT(SalesData[[#This Row],[Order Date]],"mmm")</f>
        <v>Sep</v>
      </c>
      <c r="D747" s="7">
        <f>MONTH(SalesData[[#This Row],[Order Date]])</f>
        <v>9</v>
      </c>
      <c r="E747" s="7">
        <f>YEAR(SalesData[[#This Row],[Order Date]])</f>
        <v>2024</v>
      </c>
      <c r="F747" t="s">
        <v>315</v>
      </c>
      <c r="G747" t="str">
        <f>PROPER(SalesData[[#This Row],[Product Name]])</f>
        <v>Solar Led Lantern</v>
      </c>
      <c r="H747" t="s">
        <v>1012</v>
      </c>
      <c r="I747" t="str">
        <f>UPPER(SalesData[[#This Row],[Product Category]])</f>
        <v>LIGHTING</v>
      </c>
      <c r="J747">
        <v>4</v>
      </c>
      <c r="K747">
        <v>40</v>
      </c>
      <c r="L747" s="15">
        <f>IF(SalesData[[#This Row],[Unit Price]]="",
    AVERAGEIFS(SalesData[Unit Price],
               SalesData[Product Name],SalesData[[#This Row],[Product Name]]),
    SalesData[[#This Row],[Unit Price]])</f>
        <v>40</v>
      </c>
      <c r="M747" s="15">
        <v>9.31</v>
      </c>
      <c r="N747" s="15">
        <f>SalesData[[#This Row],[Quantity Sold]] * SalesData[[#This Row],[Cleaned Unit Price]]</f>
        <v>160</v>
      </c>
      <c r="O747" s="15">
        <f>SalesData[[#This Row],[Quantity Sold]] * SalesData[[#This Row],[Unit Cost]]</f>
        <v>37.24</v>
      </c>
      <c r="P747" s="15">
        <f>SalesData[[#This Row],[Revenue]] - SalesData[[#This Row],[Cost]]</f>
        <v>122.75999999999999</v>
      </c>
      <c r="Q747" s="13">
        <f>IF(SalesData[[#This Row],[Revenue]]=0,0,SalesData[[#This Row],[Profit]]/SalesData[[#This Row],[Revenue]])</f>
        <v>0.76724999999999999</v>
      </c>
      <c r="R747" t="s">
        <v>1130</v>
      </c>
      <c r="S747" t="s">
        <v>1329</v>
      </c>
      <c r="T747" t="str">
        <f>PROPER(SalesData[[#This Row],[Customer Name]])</f>
        <v>Sophia Johnson</v>
      </c>
      <c r="U747" t="s">
        <v>1416</v>
      </c>
      <c r="V747" t="s">
        <v>1419</v>
      </c>
    </row>
    <row r="748" spans="1:22" x14ac:dyDescent="0.25">
      <c r="A748" t="s">
        <v>2174</v>
      </c>
      <c r="B748" s="5">
        <v>45564</v>
      </c>
      <c r="C748" s="2" t="str">
        <f>TEXT(SalesData[[#This Row],[Order Date]],"mmm")</f>
        <v>Sep</v>
      </c>
      <c r="D748" s="7">
        <f>MONTH(SalesData[[#This Row],[Order Date]])</f>
        <v>9</v>
      </c>
      <c r="E748" s="7">
        <f>YEAR(SalesData[[#This Row],[Order Date]])</f>
        <v>2024</v>
      </c>
      <c r="F748" t="s">
        <v>464</v>
      </c>
      <c r="G748" t="str">
        <f>PROPER(SalesData[[#This Row],[Product Name]])</f>
        <v>Compostable Plant Pots</v>
      </c>
      <c r="H748" t="s">
        <v>1011</v>
      </c>
      <c r="I748" t="str">
        <f>UPPER(SalesData[[#This Row],[Product Category]])</f>
        <v>GARDENING</v>
      </c>
      <c r="J748">
        <v>6</v>
      </c>
      <c r="K748">
        <v>12</v>
      </c>
      <c r="L748" s="15">
        <f>IF(SalesData[[#This Row],[Unit Price]]="",
    AVERAGEIFS(SalesData[Unit Price],
               SalesData[Product Name],SalesData[[#This Row],[Product Name]]),
    SalesData[[#This Row],[Unit Price]])</f>
        <v>12</v>
      </c>
      <c r="M748" s="15">
        <v>3.66</v>
      </c>
      <c r="N748" s="15">
        <f>SalesData[[#This Row],[Quantity Sold]] * SalesData[[#This Row],[Cleaned Unit Price]]</f>
        <v>72</v>
      </c>
      <c r="O748" s="15">
        <f>SalesData[[#This Row],[Quantity Sold]] * SalesData[[#This Row],[Unit Cost]]</f>
        <v>21.96</v>
      </c>
      <c r="P748" s="15">
        <f>SalesData[[#This Row],[Revenue]] - SalesData[[#This Row],[Cost]]</f>
        <v>50.04</v>
      </c>
      <c r="Q748" s="13">
        <f>IF(SalesData[[#This Row],[Revenue]]=0,0,SalesData[[#This Row],[Profit]]/SalesData[[#This Row],[Revenue]])</f>
        <v>0.69499999999999995</v>
      </c>
      <c r="R748" t="s">
        <v>1064</v>
      </c>
      <c r="S748" t="s">
        <v>1263</v>
      </c>
      <c r="T748" t="str">
        <f>PROPER(SalesData[[#This Row],[Customer Name]])</f>
        <v>Isabella Miller</v>
      </c>
      <c r="U748" t="s">
        <v>1414</v>
      </c>
      <c r="V748" t="s">
        <v>1426</v>
      </c>
    </row>
    <row r="749" spans="1:22" x14ac:dyDescent="0.25">
      <c r="A749" t="s">
        <v>2175</v>
      </c>
      <c r="B749" s="5">
        <v>45565</v>
      </c>
      <c r="C749" s="2" t="str">
        <f>TEXT(SalesData[[#This Row],[Order Date]],"mmm")</f>
        <v>Sep</v>
      </c>
      <c r="D749" s="7">
        <f>MONTH(SalesData[[#This Row],[Order Date]])</f>
        <v>9</v>
      </c>
      <c r="E749" s="7">
        <f>YEAR(SalesData[[#This Row],[Order Date]])</f>
        <v>2024</v>
      </c>
      <c r="F749" t="s">
        <v>511</v>
      </c>
      <c r="G749" t="str">
        <f>PROPER(SalesData[[#This Row],[Product Name]])</f>
        <v>Solar Led Lantern</v>
      </c>
      <c r="H749" t="s">
        <v>1012</v>
      </c>
      <c r="I749" t="str">
        <f>UPPER(SalesData[[#This Row],[Product Category]])</f>
        <v>LIGHTING</v>
      </c>
      <c r="J749">
        <v>1</v>
      </c>
      <c r="K749">
        <v>40</v>
      </c>
      <c r="L749" s="15">
        <f>IF(SalesData[[#This Row],[Unit Price]]="",
    AVERAGEIFS(SalesData[Unit Price],
               SalesData[Product Name],SalesData[[#This Row],[Product Name]]),
    SalesData[[#This Row],[Unit Price]])</f>
        <v>40</v>
      </c>
      <c r="M749" s="15">
        <v>9.89</v>
      </c>
      <c r="N749" s="15">
        <f>SalesData[[#This Row],[Quantity Sold]] * SalesData[[#This Row],[Cleaned Unit Price]]</f>
        <v>40</v>
      </c>
      <c r="O749" s="15">
        <f>SalesData[[#This Row],[Quantity Sold]] * SalesData[[#This Row],[Unit Cost]]</f>
        <v>9.89</v>
      </c>
      <c r="P749" s="15">
        <f>SalesData[[#This Row],[Revenue]] - SalesData[[#This Row],[Cost]]</f>
        <v>30.11</v>
      </c>
      <c r="Q749" s="13">
        <f>IF(SalesData[[#This Row],[Revenue]]=0,0,SalesData[[#This Row],[Profit]]/SalesData[[#This Row],[Revenue]])</f>
        <v>0.75275000000000003</v>
      </c>
      <c r="R749" t="s">
        <v>1131</v>
      </c>
      <c r="S749" t="s">
        <v>1330</v>
      </c>
      <c r="T749" t="str">
        <f>PROPER(SalesData[[#This Row],[Customer Name]])</f>
        <v>Oliver Miller</v>
      </c>
      <c r="U749" t="s">
        <v>1416</v>
      </c>
      <c r="V749" t="s">
        <v>1419</v>
      </c>
    </row>
    <row r="750" spans="1:22" x14ac:dyDescent="0.25">
      <c r="A750" t="s">
        <v>2176</v>
      </c>
      <c r="B750" s="5">
        <v>45565</v>
      </c>
      <c r="C750" s="2" t="str">
        <f>TEXT(SalesData[[#This Row],[Order Date]],"mmm")</f>
        <v>Sep</v>
      </c>
      <c r="D750" s="7">
        <f>MONTH(SalesData[[#This Row],[Order Date]])</f>
        <v>9</v>
      </c>
      <c r="E750" s="7">
        <f>YEAR(SalesData[[#This Row],[Order Date]])</f>
        <v>2024</v>
      </c>
      <c r="F750" t="s">
        <v>647</v>
      </c>
      <c r="G750" t="str">
        <f>PROPER(SalesData[[#This Row],[Product Name]])</f>
        <v>Biodegradable Cleaning Cloth</v>
      </c>
      <c r="H750" t="s">
        <v>1015</v>
      </c>
      <c r="I750" t="str">
        <f>UPPER(SalesData[[#This Row],[Product Category]])</f>
        <v>CLEANING</v>
      </c>
      <c r="J750">
        <v>1</v>
      </c>
      <c r="K750">
        <v>10</v>
      </c>
      <c r="L750" s="15">
        <f>IF(SalesData[[#This Row],[Unit Price]]="",
    AVERAGEIFS(SalesData[Unit Price],
               SalesData[Product Name],SalesData[[#This Row],[Product Name]]),
    SalesData[[#This Row],[Unit Price]])</f>
        <v>10</v>
      </c>
      <c r="M750" s="15">
        <v>3.17</v>
      </c>
      <c r="N750" s="15">
        <f>SalesData[[#This Row],[Quantity Sold]] * SalesData[[#This Row],[Cleaned Unit Price]]</f>
        <v>10</v>
      </c>
      <c r="O750" s="15">
        <f>SalesData[[#This Row],[Quantity Sold]] * SalesData[[#This Row],[Unit Cost]]</f>
        <v>3.17</v>
      </c>
      <c r="P750" s="15">
        <f>SalesData[[#This Row],[Revenue]] - SalesData[[#This Row],[Cost]]</f>
        <v>6.83</v>
      </c>
      <c r="Q750" s="13">
        <f>IF(SalesData[[#This Row],[Revenue]]=0,0,SalesData[[#This Row],[Profit]]/SalesData[[#This Row],[Revenue]])</f>
        <v>0.68300000000000005</v>
      </c>
      <c r="R750" t="s">
        <v>1072</v>
      </c>
      <c r="S750" t="s">
        <v>1271</v>
      </c>
      <c r="T750" t="str">
        <f>PROPER(SalesData[[#This Row],[Customer Name]])</f>
        <v>Ethan Garcia</v>
      </c>
      <c r="U750" t="s">
        <v>1416</v>
      </c>
      <c r="V750" t="s">
        <v>1424</v>
      </c>
    </row>
    <row r="751" spans="1:22" x14ac:dyDescent="0.25">
      <c r="A751" t="s">
        <v>2177</v>
      </c>
      <c r="B751" s="5">
        <v>45565</v>
      </c>
      <c r="C751" s="2" t="str">
        <f>TEXT(SalesData[[#This Row],[Order Date]],"mmm")</f>
        <v>Sep</v>
      </c>
      <c r="D751" s="7">
        <f>MONTH(SalesData[[#This Row],[Order Date]])</f>
        <v>9</v>
      </c>
      <c r="E751" s="7">
        <f>YEAR(SalesData[[#This Row],[Order Date]])</f>
        <v>2024</v>
      </c>
      <c r="F751" t="s">
        <v>675</v>
      </c>
      <c r="G751" t="str">
        <f>PROPER(SalesData[[#This Row],[Product Name]])</f>
        <v>Compostable Plant Pots</v>
      </c>
      <c r="H751" t="s">
        <v>1011</v>
      </c>
      <c r="I751" t="str">
        <f>UPPER(SalesData[[#This Row],[Product Category]])</f>
        <v>GARDENING</v>
      </c>
      <c r="J751">
        <v>1</v>
      </c>
      <c r="K751">
        <v>12</v>
      </c>
      <c r="L751" s="15">
        <f>IF(SalesData[[#This Row],[Unit Price]]="",
    AVERAGEIFS(SalesData[Unit Price],
               SalesData[Product Name],SalesData[[#This Row],[Product Name]]),
    SalesData[[#This Row],[Unit Price]])</f>
        <v>12</v>
      </c>
      <c r="M751" s="15">
        <v>2.92</v>
      </c>
      <c r="N751" s="15">
        <f>SalesData[[#This Row],[Quantity Sold]] * SalesData[[#This Row],[Cleaned Unit Price]]</f>
        <v>12</v>
      </c>
      <c r="O751" s="15">
        <f>SalesData[[#This Row],[Quantity Sold]] * SalesData[[#This Row],[Unit Cost]]</f>
        <v>2.92</v>
      </c>
      <c r="P751" s="15">
        <f>SalesData[[#This Row],[Revenue]] - SalesData[[#This Row],[Cost]]</f>
        <v>9.08</v>
      </c>
      <c r="Q751" s="13">
        <f>IF(SalesData[[#This Row],[Revenue]]=0,0,SalesData[[#This Row],[Profit]]/SalesData[[#This Row],[Revenue]])</f>
        <v>0.75666666666666671</v>
      </c>
      <c r="R751" t="s">
        <v>1208</v>
      </c>
      <c r="S751" t="s">
        <v>1407</v>
      </c>
      <c r="T751" t="str">
        <f>PROPER(SalesData[[#This Row],[Customer Name]])</f>
        <v>Evelyn Martinez</v>
      </c>
      <c r="U751" t="s">
        <v>1414</v>
      </c>
      <c r="V751" t="s">
        <v>1426</v>
      </c>
    </row>
    <row r="752" spans="1:22" x14ac:dyDescent="0.25">
      <c r="A752" t="s">
        <v>2178</v>
      </c>
      <c r="B752" s="5">
        <v>45566</v>
      </c>
      <c r="C752" s="2" t="str">
        <f>TEXT(SalesData[[#This Row],[Order Date]],"mmm")</f>
        <v>Oct</v>
      </c>
      <c r="D752" s="7">
        <f>MONTH(SalesData[[#This Row],[Order Date]])</f>
        <v>10</v>
      </c>
      <c r="E752" s="7">
        <f>YEAR(SalesData[[#This Row],[Order Date]])</f>
        <v>2024</v>
      </c>
      <c r="F752" t="s">
        <v>622</v>
      </c>
      <c r="G752" t="str">
        <f>PROPER(SalesData[[#This Row],[Product Name]])</f>
        <v>Biodegradable Cleaning Cloth</v>
      </c>
      <c r="H752" t="s">
        <v>1015</v>
      </c>
      <c r="I752" t="str">
        <f>UPPER(SalesData[[#This Row],[Product Category]])</f>
        <v>CLEANING</v>
      </c>
      <c r="J752">
        <v>10</v>
      </c>
      <c r="K752">
        <v>10</v>
      </c>
      <c r="L752" s="15">
        <f>IF(SalesData[[#This Row],[Unit Price]]="",
    AVERAGEIFS(SalesData[Unit Price],
               SalesData[Product Name],SalesData[[#This Row],[Product Name]]),
    SalesData[[#This Row],[Unit Price]])</f>
        <v>10</v>
      </c>
      <c r="M752" s="15">
        <v>2.95</v>
      </c>
      <c r="N752" s="15">
        <f>SalesData[[#This Row],[Quantity Sold]] * SalesData[[#This Row],[Cleaned Unit Price]]</f>
        <v>100</v>
      </c>
      <c r="O752" s="15">
        <f>SalesData[[#This Row],[Quantity Sold]] * SalesData[[#This Row],[Unit Cost]]</f>
        <v>29.5</v>
      </c>
      <c r="P752" s="15">
        <f>SalesData[[#This Row],[Revenue]] - SalesData[[#This Row],[Cost]]</f>
        <v>70.5</v>
      </c>
      <c r="Q752" s="13">
        <f>IF(SalesData[[#This Row],[Revenue]]=0,0,SalesData[[#This Row],[Profit]]/SalesData[[#This Row],[Revenue]])</f>
        <v>0.70499999999999996</v>
      </c>
      <c r="R752" t="s">
        <v>1145</v>
      </c>
      <c r="S752" t="s">
        <v>1344</v>
      </c>
      <c r="T752" t="str">
        <f>PROPER(SalesData[[#This Row],[Customer Name]])</f>
        <v>James Jones</v>
      </c>
      <c r="U752" t="s">
        <v>1416</v>
      </c>
      <c r="V752" t="s">
        <v>1422</v>
      </c>
    </row>
    <row r="753" spans="1:22" x14ac:dyDescent="0.25">
      <c r="A753" t="s">
        <v>2179</v>
      </c>
      <c r="B753" s="5">
        <v>45566</v>
      </c>
      <c r="C753" s="2" t="str">
        <f>TEXT(SalesData[[#This Row],[Order Date]],"mmm")</f>
        <v>Oct</v>
      </c>
      <c r="D753" s="7">
        <f>MONTH(SalesData[[#This Row],[Order Date]])</f>
        <v>10</v>
      </c>
      <c r="E753" s="7">
        <f>YEAR(SalesData[[#This Row],[Order Date]])</f>
        <v>2024</v>
      </c>
      <c r="F753" t="s">
        <v>679</v>
      </c>
      <c r="G753" t="str">
        <f>PROPER(SalesData[[#This Row],[Product Name]])</f>
        <v>Solar Led Lantern</v>
      </c>
      <c r="H753" t="s">
        <v>1012</v>
      </c>
      <c r="I753" t="str">
        <f>UPPER(SalesData[[#This Row],[Product Category]])</f>
        <v>LIGHTING</v>
      </c>
      <c r="J753">
        <v>10</v>
      </c>
      <c r="K753">
        <v>40</v>
      </c>
      <c r="L753" s="15">
        <f>IF(SalesData[[#This Row],[Unit Price]]="",
    AVERAGEIFS(SalesData[Unit Price],
               SalesData[Product Name],SalesData[[#This Row],[Product Name]]),
    SalesData[[#This Row],[Unit Price]])</f>
        <v>40</v>
      </c>
      <c r="M753" s="15">
        <v>15.92</v>
      </c>
      <c r="N753" s="15">
        <f>SalesData[[#This Row],[Quantity Sold]] * SalesData[[#This Row],[Cleaned Unit Price]]</f>
        <v>400</v>
      </c>
      <c r="O753" s="15">
        <f>SalesData[[#This Row],[Quantity Sold]] * SalesData[[#This Row],[Unit Cost]]</f>
        <v>159.19999999999999</v>
      </c>
      <c r="P753" s="15">
        <f>SalesData[[#This Row],[Revenue]] - SalesData[[#This Row],[Cost]]</f>
        <v>240.8</v>
      </c>
      <c r="Q753" s="13">
        <f>IF(SalesData[[#This Row],[Revenue]]=0,0,SalesData[[#This Row],[Profit]]/SalesData[[#This Row],[Revenue]])</f>
        <v>0.60199999999999998</v>
      </c>
      <c r="R753" t="s">
        <v>1186</v>
      </c>
      <c r="S753" t="s">
        <v>1385</v>
      </c>
      <c r="T753" t="str">
        <f>PROPER(SalesData[[#This Row],[Customer Name]])</f>
        <v>Ava Martinez</v>
      </c>
      <c r="U753" t="s">
        <v>1414</v>
      </c>
      <c r="V753" t="s">
        <v>1423</v>
      </c>
    </row>
    <row r="754" spans="1:22" x14ac:dyDescent="0.25">
      <c r="A754" t="s">
        <v>2180</v>
      </c>
      <c r="B754" s="5">
        <v>45567</v>
      </c>
      <c r="C754" s="2" t="str">
        <f>TEXT(SalesData[[#This Row],[Order Date]],"mmm")</f>
        <v>Oct</v>
      </c>
      <c r="D754" s="7">
        <f>MONTH(SalesData[[#This Row],[Order Date]])</f>
        <v>10</v>
      </c>
      <c r="E754" s="7">
        <f>YEAR(SalesData[[#This Row],[Order Date]])</f>
        <v>2024</v>
      </c>
      <c r="F754" t="s">
        <v>54</v>
      </c>
      <c r="G754" t="str">
        <f>PROPER(SalesData[[#This Row],[Product Name]])</f>
        <v>Compostable Plant Pots</v>
      </c>
      <c r="H754" t="s">
        <v>1011</v>
      </c>
      <c r="I754" t="str">
        <f>UPPER(SalesData[[#This Row],[Product Category]])</f>
        <v>GARDENING</v>
      </c>
      <c r="J754">
        <v>5</v>
      </c>
      <c r="K754">
        <v>12</v>
      </c>
      <c r="L754" s="15">
        <f>IF(SalesData[[#This Row],[Unit Price]]="",
    AVERAGEIFS(SalesData[Unit Price],
               SalesData[Product Name],SalesData[[#This Row],[Product Name]]),
    SalesData[[#This Row],[Unit Price]])</f>
        <v>12</v>
      </c>
      <c r="M754" s="15">
        <v>4.0199999999999996</v>
      </c>
      <c r="N754" s="15">
        <f>SalesData[[#This Row],[Quantity Sold]] * SalesData[[#This Row],[Cleaned Unit Price]]</f>
        <v>60</v>
      </c>
      <c r="O754" s="15">
        <f>SalesData[[#This Row],[Quantity Sold]] * SalesData[[#This Row],[Unit Cost]]</f>
        <v>20.099999999999998</v>
      </c>
      <c r="P754" s="15">
        <f>SalesData[[#This Row],[Revenue]] - SalesData[[#This Row],[Cost]]</f>
        <v>39.900000000000006</v>
      </c>
      <c r="Q754" s="13">
        <f>IF(SalesData[[#This Row],[Revenue]]=0,0,SalesData[[#This Row],[Profit]]/SalesData[[#This Row],[Revenue]])</f>
        <v>0.66500000000000015</v>
      </c>
      <c r="R754" t="s">
        <v>1021</v>
      </c>
      <c r="S754" t="s">
        <v>1220</v>
      </c>
      <c r="T754" t="str">
        <f>PROPER(SalesData[[#This Row],[Customer Name]])</f>
        <v>Liam Garcia</v>
      </c>
      <c r="U754" t="s">
        <v>1415</v>
      </c>
      <c r="V754" t="s">
        <v>1424</v>
      </c>
    </row>
    <row r="755" spans="1:22" x14ac:dyDescent="0.25">
      <c r="A755" t="s">
        <v>2181</v>
      </c>
      <c r="B755" s="5">
        <v>45568</v>
      </c>
      <c r="C755" s="2" t="str">
        <f>TEXT(SalesData[[#This Row],[Order Date]],"mmm")</f>
        <v>Oct</v>
      </c>
      <c r="D755" s="7">
        <f>MONTH(SalesData[[#This Row],[Order Date]])</f>
        <v>10</v>
      </c>
      <c r="E755" s="7">
        <f>YEAR(SalesData[[#This Row],[Order Date]])</f>
        <v>2024</v>
      </c>
      <c r="F755" t="s">
        <v>151</v>
      </c>
      <c r="G755" t="str">
        <f>PROPER(SalesData[[#This Row],[Product Name]])</f>
        <v>Biodegradable Cleaning Cloth</v>
      </c>
      <c r="H755" t="s">
        <v>1015</v>
      </c>
      <c r="I755" t="str">
        <f>UPPER(SalesData[[#This Row],[Product Category]])</f>
        <v>CLEANING</v>
      </c>
      <c r="J755">
        <v>5</v>
      </c>
      <c r="K755">
        <v>10</v>
      </c>
      <c r="L755" s="15">
        <f>IF(SalesData[[#This Row],[Unit Price]]="",
    AVERAGEIFS(SalesData[Unit Price],
               SalesData[Product Name],SalesData[[#This Row],[Product Name]]),
    SalesData[[#This Row],[Unit Price]])</f>
        <v>10</v>
      </c>
      <c r="M755" s="15">
        <v>3.63</v>
      </c>
      <c r="N755" s="15">
        <f>SalesData[[#This Row],[Quantity Sold]] * SalesData[[#This Row],[Cleaned Unit Price]]</f>
        <v>50</v>
      </c>
      <c r="O755" s="15">
        <f>SalesData[[#This Row],[Quantity Sold]] * SalesData[[#This Row],[Unit Cost]]</f>
        <v>18.149999999999999</v>
      </c>
      <c r="P755" s="15">
        <f>SalesData[[#This Row],[Revenue]] - SalesData[[#This Row],[Cost]]</f>
        <v>31.85</v>
      </c>
      <c r="Q755" s="13">
        <f>IF(SalesData[[#This Row],[Revenue]]=0,0,SalesData[[#This Row],[Profit]]/SalesData[[#This Row],[Revenue]])</f>
        <v>0.63700000000000001</v>
      </c>
      <c r="R755" t="s">
        <v>1046</v>
      </c>
      <c r="S755" t="s">
        <v>1245</v>
      </c>
      <c r="T755" t="str">
        <f>PROPER(SalesData[[#This Row],[Customer Name]])</f>
        <v>Lucas Williams</v>
      </c>
      <c r="U755" t="s">
        <v>1414</v>
      </c>
      <c r="V755" t="s">
        <v>1422</v>
      </c>
    </row>
    <row r="756" spans="1:22" x14ac:dyDescent="0.25">
      <c r="A756" t="s">
        <v>2182</v>
      </c>
      <c r="B756" s="5">
        <v>45568</v>
      </c>
      <c r="C756" s="2" t="str">
        <f>TEXT(SalesData[[#This Row],[Order Date]],"mmm")</f>
        <v>Oct</v>
      </c>
      <c r="D756" s="7">
        <f>MONTH(SalesData[[#This Row],[Order Date]])</f>
        <v>10</v>
      </c>
      <c r="E756" s="7">
        <f>YEAR(SalesData[[#This Row],[Order Date]])</f>
        <v>2024</v>
      </c>
      <c r="F756" t="s">
        <v>484</v>
      </c>
      <c r="G756" t="str">
        <f>PROPER(SalesData[[#This Row],[Product Name]])</f>
        <v>Solar Led Lantern</v>
      </c>
      <c r="H756" t="s">
        <v>1012</v>
      </c>
      <c r="I756" t="str">
        <f>UPPER(SalesData[[#This Row],[Product Category]])</f>
        <v>LIGHTING</v>
      </c>
      <c r="J756">
        <v>10</v>
      </c>
      <c r="K756">
        <v>40</v>
      </c>
      <c r="L756" s="15">
        <f>IF(SalesData[[#This Row],[Unit Price]]="",
    AVERAGEIFS(SalesData[Unit Price],
               SalesData[Product Name],SalesData[[#This Row],[Product Name]]),
    SalesData[[#This Row],[Unit Price]])</f>
        <v>40</v>
      </c>
      <c r="M756" s="15">
        <v>9.3800000000000008</v>
      </c>
      <c r="N756" s="15">
        <f>SalesData[[#This Row],[Quantity Sold]] * SalesData[[#This Row],[Cleaned Unit Price]]</f>
        <v>400</v>
      </c>
      <c r="O756" s="15">
        <f>SalesData[[#This Row],[Quantity Sold]] * SalesData[[#This Row],[Unit Cost]]</f>
        <v>93.800000000000011</v>
      </c>
      <c r="P756" s="15">
        <f>SalesData[[#This Row],[Revenue]] - SalesData[[#This Row],[Cost]]</f>
        <v>306.2</v>
      </c>
      <c r="Q756" s="13">
        <f>IF(SalesData[[#This Row],[Revenue]]=0,0,SalesData[[#This Row],[Profit]]/SalesData[[#This Row],[Revenue]])</f>
        <v>0.76549999999999996</v>
      </c>
      <c r="R756" t="s">
        <v>1164</v>
      </c>
      <c r="S756" t="s">
        <v>1363</v>
      </c>
      <c r="T756" t="str">
        <f>PROPER(SalesData[[#This Row],[Customer Name]])</f>
        <v>Amelia Jones</v>
      </c>
      <c r="U756" t="s">
        <v>1417</v>
      </c>
      <c r="V756" t="s">
        <v>1420</v>
      </c>
    </row>
    <row r="757" spans="1:22" x14ac:dyDescent="0.25">
      <c r="A757" t="s">
        <v>2183</v>
      </c>
      <c r="B757" s="5">
        <v>45568</v>
      </c>
      <c r="C757" s="2" t="str">
        <f>TEXT(SalesData[[#This Row],[Order Date]],"mmm")</f>
        <v>Oct</v>
      </c>
      <c r="D757" s="7">
        <f>MONTH(SalesData[[#This Row],[Order Date]])</f>
        <v>10</v>
      </c>
      <c r="E757" s="7">
        <f>YEAR(SalesData[[#This Row],[Order Date]])</f>
        <v>2024</v>
      </c>
      <c r="F757" t="s">
        <v>720</v>
      </c>
      <c r="G757" t="str">
        <f>PROPER(SalesData[[#This Row],[Product Name]])</f>
        <v>Reusable Bamboo Utensil Set</v>
      </c>
      <c r="H757" t="s">
        <v>1014</v>
      </c>
      <c r="I757" t="str">
        <f>UPPER(SalesData[[#This Row],[Product Category]])</f>
        <v>KITCHENWARE</v>
      </c>
      <c r="J757">
        <v>9</v>
      </c>
      <c r="L757" s="15">
        <f>IF(SalesData[[#This Row],[Unit Price]]="",
    AVERAGEIFS(SalesData[Unit Price],
               SalesData[Product Name],SalesData[[#This Row],[Product Name]]),
    SalesData[[#This Row],[Unit Price]])</f>
        <v>15</v>
      </c>
      <c r="M757" s="15">
        <v>3.13</v>
      </c>
      <c r="N757" s="15">
        <f>SalesData[[#This Row],[Quantity Sold]] * SalesData[[#This Row],[Cleaned Unit Price]]</f>
        <v>135</v>
      </c>
      <c r="O757" s="15">
        <f>SalesData[[#This Row],[Quantity Sold]] * SalesData[[#This Row],[Unit Cost]]</f>
        <v>28.169999999999998</v>
      </c>
      <c r="P757" s="15">
        <f>SalesData[[#This Row],[Revenue]] - SalesData[[#This Row],[Cost]]</f>
        <v>106.83</v>
      </c>
      <c r="Q757" s="13">
        <f>IF(SalesData[[#This Row],[Revenue]]=0,0,SalesData[[#This Row],[Profit]]/SalesData[[#This Row],[Revenue]])</f>
        <v>0.79133333333333333</v>
      </c>
      <c r="R757" t="s">
        <v>1060</v>
      </c>
      <c r="S757" t="s">
        <v>1259</v>
      </c>
      <c r="T757" t="str">
        <f>PROPER(SalesData[[#This Row],[Customer Name]])</f>
        <v>Charlotte Davis</v>
      </c>
      <c r="U757" t="s">
        <v>1415</v>
      </c>
      <c r="V757" t="s">
        <v>1422</v>
      </c>
    </row>
    <row r="758" spans="1:22" x14ac:dyDescent="0.25">
      <c r="A758" t="s">
        <v>2184</v>
      </c>
      <c r="B758" s="5">
        <v>45569</v>
      </c>
      <c r="C758" s="2" t="str">
        <f>TEXT(SalesData[[#This Row],[Order Date]],"mmm")</f>
        <v>Oct</v>
      </c>
      <c r="D758" s="7">
        <f>MONTH(SalesData[[#This Row],[Order Date]])</f>
        <v>10</v>
      </c>
      <c r="E758" s="7">
        <f>YEAR(SalesData[[#This Row],[Order Date]])</f>
        <v>2024</v>
      </c>
      <c r="F758" t="s">
        <v>295</v>
      </c>
      <c r="G758" t="str">
        <f>PROPER(SalesData[[#This Row],[Product Name]])</f>
        <v>Biodegradable Cleaning Cloth</v>
      </c>
      <c r="H758" t="s">
        <v>1015</v>
      </c>
      <c r="I758" t="str">
        <f>UPPER(SalesData[[#This Row],[Product Category]])</f>
        <v>CLEANING</v>
      </c>
      <c r="J758">
        <v>6</v>
      </c>
      <c r="K758">
        <v>10</v>
      </c>
      <c r="L758" s="15">
        <f>IF(SalesData[[#This Row],[Unit Price]]="",
    AVERAGEIFS(SalesData[Unit Price],
               SalesData[Product Name],SalesData[[#This Row],[Product Name]]),
    SalesData[[#This Row],[Unit Price]])</f>
        <v>10</v>
      </c>
      <c r="M758" s="15">
        <v>2.29</v>
      </c>
      <c r="N758" s="15">
        <f>SalesData[[#This Row],[Quantity Sold]] * SalesData[[#This Row],[Cleaned Unit Price]]</f>
        <v>60</v>
      </c>
      <c r="O758" s="15">
        <f>SalesData[[#This Row],[Quantity Sold]] * SalesData[[#This Row],[Unit Cost]]</f>
        <v>13.74</v>
      </c>
      <c r="P758" s="15">
        <f>SalesData[[#This Row],[Revenue]] - SalesData[[#This Row],[Cost]]</f>
        <v>46.26</v>
      </c>
      <c r="Q758" s="13">
        <f>IF(SalesData[[#This Row],[Revenue]]=0,0,SalesData[[#This Row],[Profit]]/SalesData[[#This Row],[Revenue]])</f>
        <v>0.77100000000000002</v>
      </c>
      <c r="R758" t="s">
        <v>1117</v>
      </c>
      <c r="S758" t="s">
        <v>1316</v>
      </c>
      <c r="T758" t="str">
        <f>PROPER(SalesData[[#This Row],[Customer Name]])</f>
        <v>Isabella Brown</v>
      </c>
      <c r="U758" t="s">
        <v>1414</v>
      </c>
      <c r="V758" t="s">
        <v>1423</v>
      </c>
    </row>
    <row r="759" spans="1:22" x14ac:dyDescent="0.25">
      <c r="A759" t="s">
        <v>2185</v>
      </c>
      <c r="B759" s="5">
        <v>45569</v>
      </c>
      <c r="C759" s="2" t="str">
        <f>TEXT(SalesData[[#This Row],[Order Date]],"mmm")</f>
        <v>Oct</v>
      </c>
      <c r="D759" s="7">
        <f>MONTH(SalesData[[#This Row],[Order Date]])</f>
        <v>10</v>
      </c>
      <c r="E759" s="7">
        <f>YEAR(SalesData[[#This Row],[Order Date]])</f>
        <v>2024</v>
      </c>
      <c r="F759" t="s">
        <v>406</v>
      </c>
      <c r="G759" t="str">
        <f>PROPER(SalesData[[#This Row],[Product Name]])</f>
        <v>Reusable Bamboo Utensil Set</v>
      </c>
      <c r="H759" t="s">
        <v>1014</v>
      </c>
      <c r="I759" t="str">
        <f>UPPER(SalesData[[#This Row],[Product Category]])</f>
        <v>KITCHENWARE</v>
      </c>
      <c r="J759">
        <v>3</v>
      </c>
      <c r="K759">
        <v>15</v>
      </c>
      <c r="L759" s="15">
        <f>IF(SalesData[[#This Row],[Unit Price]]="",
    AVERAGEIFS(SalesData[Unit Price],
               SalesData[Product Name],SalesData[[#This Row],[Product Name]]),
    SalesData[[#This Row],[Unit Price]])</f>
        <v>15</v>
      </c>
      <c r="M759" s="15">
        <v>5.75</v>
      </c>
      <c r="N759" s="15">
        <f>SalesData[[#This Row],[Quantity Sold]] * SalesData[[#This Row],[Cleaned Unit Price]]</f>
        <v>45</v>
      </c>
      <c r="O759" s="15">
        <f>SalesData[[#This Row],[Quantity Sold]] * SalesData[[#This Row],[Unit Cost]]</f>
        <v>17.25</v>
      </c>
      <c r="P759" s="15">
        <f>SalesData[[#This Row],[Revenue]] - SalesData[[#This Row],[Cost]]</f>
        <v>27.75</v>
      </c>
      <c r="Q759" s="13">
        <f>IF(SalesData[[#This Row],[Revenue]]=0,0,SalesData[[#This Row],[Profit]]/SalesData[[#This Row],[Revenue]])</f>
        <v>0.6166666666666667</v>
      </c>
      <c r="R759" t="s">
        <v>1084</v>
      </c>
      <c r="S759" t="s">
        <v>1283</v>
      </c>
      <c r="T759" t="str">
        <f>PROPER(SalesData[[#This Row],[Customer Name]])</f>
        <v>Lucas Brown</v>
      </c>
      <c r="U759" t="s">
        <v>1414</v>
      </c>
      <c r="V759" t="s">
        <v>1427</v>
      </c>
    </row>
    <row r="760" spans="1:22" x14ac:dyDescent="0.25">
      <c r="A760" t="s">
        <v>2186</v>
      </c>
      <c r="B760" s="5">
        <v>45569</v>
      </c>
      <c r="C760" s="2" t="str">
        <f>TEXT(SalesData[[#This Row],[Order Date]],"mmm")</f>
        <v>Oct</v>
      </c>
      <c r="D760" s="7">
        <f>MONTH(SalesData[[#This Row],[Order Date]])</f>
        <v>10</v>
      </c>
      <c r="E760" s="7">
        <f>YEAR(SalesData[[#This Row],[Order Date]])</f>
        <v>2024</v>
      </c>
      <c r="F760" t="s">
        <v>881</v>
      </c>
      <c r="G760" t="str">
        <f>PROPER(SalesData[[#This Row],[Product Name]])</f>
        <v>Compostable Plant Pots</v>
      </c>
      <c r="H760" t="s">
        <v>1011</v>
      </c>
      <c r="I760" t="str">
        <f>UPPER(SalesData[[#This Row],[Product Category]])</f>
        <v>GARDENING</v>
      </c>
      <c r="J760">
        <v>1</v>
      </c>
      <c r="K760">
        <v>12</v>
      </c>
      <c r="L760" s="15">
        <f>IF(SalesData[[#This Row],[Unit Price]]="",
    AVERAGEIFS(SalesData[Unit Price],
               SalesData[Product Name],SalesData[[#This Row],[Product Name]]),
    SalesData[[#This Row],[Unit Price]])</f>
        <v>12</v>
      </c>
      <c r="M760" s="15">
        <v>3.85</v>
      </c>
      <c r="N760" s="15">
        <f>SalesData[[#This Row],[Quantity Sold]] * SalesData[[#This Row],[Cleaned Unit Price]]</f>
        <v>12</v>
      </c>
      <c r="O760" s="15">
        <f>SalesData[[#This Row],[Quantity Sold]] * SalesData[[#This Row],[Unit Cost]]</f>
        <v>3.85</v>
      </c>
      <c r="P760" s="15">
        <f>SalesData[[#This Row],[Revenue]] - SalesData[[#This Row],[Cost]]</f>
        <v>8.15</v>
      </c>
      <c r="Q760" s="13">
        <f>IF(SalesData[[#This Row],[Revenue]]=0,0,SalesData[[#This Row],[Profit]]/SalesData[[#This Row],[Revenue]])</f>
        <v>0.6791666666666667</v>
      </c>
      <c r="R760" t="s">
        <v>1074</v>
      </c>
      <c r="S760" t="s">
        <v>1273</v>
      </c>
      <c r="T760" t="str">
        <f>PROPER(SalesData[[#This Row],[Customer Name]])</f>
        <v>Isabella Jones</v>
      </c>
      <c r="U760" t="s">
        <v>1414</v>
      </c>
      <c r="V760" t="s">
        <v>1425</v>
      </c>
    </row>
    <row r="761" spans="1:22" x14ac:dyDescent="0.25">
      <c r="A761" t="s">
        <v>2187</v>
      </c>
      <c r="B761" s="5">
        <v>45570</v>
      </c>
      <c r="C761" s="2" t="str">
        <f>TEXT(SalesData[[#This Row],[Order Date]],"mmm")</f>
        <v>Oct</v>
      </c>
      <c r="D761" s="7">
        <f>MONTH(SalesData[[#This Row],[Order Date]])</f>
        <v>10</v>
      </c>
      <c r="E761" s="7">
        <f>YEAR(SalesData[[#This Row],[Order Date]])</f>
        <v>2024</v>
      </c>
      <c r="F761" t="s">
        <v>527</v>
      </c>
      <c r="G761" t="str">
        <f>PROPER(SalesData[[#This Row],[Product Name]])</f>
        <v>Solar Led Lantern</v>
      </c>
      <c r="H761" t="s">
        <v>1012</v>
      </c>
      <c r="I761" t="str">
        <f>UPPER(SalesData[[#This Row],[Product Category]])</f>
        <v>LIGHTING</v>
      </c>
      <c r="J761">
        <v>7</v>
      </c>
      <c r="K761">
        <v>40</v>
      </c>
      <c r="L761" s="15">
        <f>IF(SalesData[[#This Row],[Unit Price]]="",
    AVERAGEIFS(SalesData[Unit Price],
               SalesData[Product Name],SalesData[[#This Row],[Product Name]]),
    SalesData[[#This Row],[Unit Price]])</f>
        <v>40</v>
      </c>
      <c r="M761" s="15">
        <v>10.52</v>
      </c>
      <c r="N761" s="15">
        <f>SalesData[[#This Row],[Quantity Sold]] * SalesData[[#This Row],[Cleaned Unit Price]]</f>
        <v>280</v>
      </c>
      <c r="O761" s="15">
        <f>SalesData[[#This Row],[Quantity Sold]] * SalesData[[#This Row],[Unit Cost]]</f>
        <v>73.64</v>
      </c>
      <c r="P761" s="15">
        <f>SalesData[[#This Row],[Revenue]] - SalesData[[#This Row],[Cost]]</f>
        <v>206.36</v>
      </c>
      <c r="Q761" s="13">
        <f>IF(SalesData[[#This Row],[Revenue]]=0,0,SalesData[[#This Row],[Profit]]/SalesData[[#This Row],[Revenue]])</f>
        <v>0.7370000000000001</v>
      </c>
      <c r="R761" t="s">
        <v>1095</v>
      </c>
      <c r="S761" t="s">
        <v>1294</v>
      </c>
      <c r="T761" t="str">
        <f>PROPER(SalesData[[#This Row],[Customer Name]])</f>
        <v>Evelyn Miller</v>
      </c>
      <c r="U761" t="s">
        <v>1414</v>
      </c>
      <c r="V761" t="s">
        <v>1427</v>
      </c>
    </row>
    <row r="762" spans="1:22" x14ac:dyDescent="0.25">
      <c r="A762" t="s">
        <v>2188</v>
      </c>
      <c r="B762" s="5">
        <v>45570</v>
      </c>
      <c r="C762" s="2" t="str">
        <f>TEXT(SalesData[[#This Row],[Order Date]],"mmm")</f>
        <v>Oct</v>
      </c>
      <c r="D762" s="7">
        <f>MONTH(SalesData[[#This Row],[Order Date]])</f>
        <v>10</v>
      </c>
      <c r="E762" s="7">
        <f>YEAR(SalesData[[#This Row],[Order Date]])</f>
        <v>2024</v>
      </c>
      <c r="F762" t="s">
        <v>860</v>
      </c>
      <c r="G762" t="str">
        <f>PROPER(SalesData[[#This Row],[Product Name]])</f>
        <v>Biodegradable Cleaning Cloth</v>
      </c>
      <c r="H762" t="s">
        <v>1015</v>
      </c>
      <c r="I762" t="str">
        <f>UPPER(SalesData[[#This Row],[Product Category]])</f>
        <v>CLEANING</v>
      </c>
      <c r="J762">
        <v>1</v>
      </c>
      <c r="K762">
        <v>10</v>
      </c>
      <c r="L762" s="15">
        <f>IF(SalesData[[#This Row],[Unit Price]]="",
    AVERAGEIFS(SalesData[Unit Price],
               SalesData[Product Name],SalesData[[#This Row],[Product Name]]),
    SalesData[[#This Row],[Unit Price]])</f>
        <v>10</v>
      </c>
      <c r="M762" s="15">
        <v>3.77</v>
      </c>
      <c r="N762" s="15">
        <f>SalesData[[#This Row],[Quantity Sold]] * SalesData[[#This Row],[Cleaned Unit Price]]</f>
        <v>10</v>
      </c>
      <c r="O762" s="15">
        <f>SalesData[[#This Row],[Quantity Sold]] * SalesData[[#This Row],[Unit Cost]]</f>
        <v>3.77</v>
      </c>
      <c r="P762" s="15">
        <f>SalesData[[#This Row],[Revenue]] - SalesData[[#This Row],[Cost]]</f>
        <v>6.23</v>
      </c>
      <c r="Q762" s="13">
        <f>IF(SalesData[[#This Row],[Revenue]]=0,0,SalesData[[#This Row],[Profit]]/SalesData[[#This Row],[Revenue]])</f>
        <v>0.623</v>
      </c>
      <c r="R762" t="s">
        <v>1128</v>
      </c>
      <c r="S762" t="s">
        <v>1327</v>
      </c>
      <c r="T762" t="str">
        <f>PROPER(SalesData[[#This Row],[Customer Name]])</f>
        <v>Ethan Williams</v>
      </c>
      <c r="U762" t="s">
        <v>1414</v>
      </c>
      <c r="V762" t="s">
        <v>1420</v>
      </c>
    </row>
    <row r="763" spans="1:22" x14ac:dyDescent="0.25">
      <c r="A763" t="s">
        <v>2189</v>
      </c>
      <c r="B763" s="5">
        <v>45571</v>
      </c>
      <c r="C763" s="2" t="str">
        <f>TEXT(SalesData[[#This Row],[Order Date]],"mmm")</f>
        <v>Oct</v>
      </c>
      <c r="D763" s="7">
        <f>MONTH(SalesData[[#This Row],[Order Date]])</f>
        <v>10</v>
      </c>
      <c r="E763" s="7">
        <f>YEAR(SalesData[[#This Row],[Order Date]])</f>
        <v>2024</v>
      </c>
      <c r="F763" t="s">
        <v>338</v>
      </c>
      <c r="G763" t="str">
        <f>PROPER(SalesData[[#This Row],[Product Name]])</f>
        <v>Eco Canvas Tote Bag</v>
      </c>
      <c r="H763" t="s">
        <v>1013</v>
      </c>
      <c r="I763" t="str">
        <f>UPPER(SalesData[[#This Row],[Product Category]])</f>
        <v>BAGS</v>
      </c>
      <c r="J763">
        <v>8</v>
      </c>
      <c r="K763">
        <v>25</v>
      </c>
      <c r="L763" s="15">
        <f>IF(SalesData[[#This Row],[Unit Price]]="",
    AVERAGEIFS(SalesData[Unit Price],
               SalesData[Product Name],SalesData[[#This Row],[Product Name]]),
    SalesData[[#This Row],[Unit Price]])</f>
        <v>25</v>
      </c>
      <c r="M763" s="15">
        <v>8.85</v>
      </c>
      <c r="N763" s="15">
        <f>SalesData[[#This Row],[Quantity Sold]] * SalesData[[#This Row],[Cleaned Unit Price]]</f>
        <v>200</v>
      </c>
      <c r="O763" s="15">
        <f>SalesData[[#This Row],[Quantity Sold]] * SalesData[[#This Row],[Unit Cost]]</f>
        <v>70.8</v>
      </c>
      <c r="P763" s="15">
        <f>SalesData[[#This Row],[Revenue]] - SalesData[[#This Row],[Cost]]</f>
        <v>129.19999999999999</v>
      </c>
      <c r="Q763" s="13">
        <f>IF(SalesData[[#This Row],[Revenue]]=0,0,SalesData[[#This Row],[Profit]]/SalesData[[#This Row],[Revenue]])</f>
        <v>0.64599999999999991</v>
      </c>
      <c r="R763" t="s">
        <v>1065</v>
      </c>
      <c r="S763" t="s">
        <v>1264</v>
      </c>
      <c r="T763" t="str">
        <f>PROPER(SalesData[[#This Row],[Customer Name]])</f>
        <v>Elijah Jones</v>
      </c>
      <c r="U763" t="s">
        <v>1414</v>
      </c>
      <c r="V763" t="s">
        <v>1427</v>
      </c>
    </row>
    <row r="764" spans="1:22" x14ac:dyDescent="0.25">
      <c r="A764" t="s">
        <v>2190</v>
      </c>
      <c r="B764" s="5">
        <v>45571</v>
      </c>
      <c r="C764" s="2" t="str">
        <f>TEXT(SalesData[[#This Row],[Order Date]],"mmm")</f>
        <v>Oct</v>
      </c>
      <c r="D764" s="7">
        <f>MONTH(SalesData[[#This Row],[Order Date]])</f>
        <v>10</v>
      </c>
      <c r="E764" s="7">
        <f>YEAR(SalesData[[#This Row],[Order Date]])</f>
        <v>2024</v>
      </c>
      <c r="F764" t="s">
        <v>573</v>
      </c>
      <c r="G764" t="str">
        <f>PROPER(SalesData[[#This Row],[Product Name]])</f>
        <v>Eco Canvas Tote Bag</v>
      </c>
      <c r="H764" t="s">
        <v>1013</v>
      </c>
      <c r="I764" t="str">
        <f>UPPER(SalesData[[#This Row],[Product Category]])</f>
        <v>BAGS</v>
      </c>
      <c r="J764">
        <v>2</v>
      </c>
      <c r="L764" s="15">
        <f>IF(SalesData[[#This Row],[Unit Price]]="",
    AVERAGEIFS(SalesData[Unit Price],
               SalesData[Product Name],SalesData[[#This Row],[Product Name]]),
    SalesData[[#This Row],[Unit Price]])</f>
        <v>25</v>
      </c>
      <c r="M764" s="15">
        <v>8.5399999999999991</v>
      </c>
      <c r="N764" s="15">
        <f>SalesData[[#This Row],[Quantity Sold]] * SalesData[[#This Row],[Cleaned Unit Price]]</f>
        <v>50</v>
      </c>
      <c r="O764" s="15">
        <f>SalesData[[#This Row],[Quantity Sold]] * SalesData[[#This Row],[Unit Cost]]</f>
        <v>17.079999999999998</v>
      </c>
      <c r="P764" s="15">
        <f>SalesData[[#This Row],[Revenue]] - SalesData[[#This Row],[Cost]]</f>
        <v>32.92</v>
      </c>
      <c r="Q764" s="13">
        <f>IF(SalesData[[#This Row],[Revenue]]=0,0,SalesData[[#This Row],[Profit]]/SalesData[[#This Row],[Revenue]])</f>
        <v>0.65839999999999999</v>
      </c>
      <c r="R764" t="s">
        <v>1098</v>
      </c>
      <c r="S764" t="s">
        <v>1297</v>
      </c>
      <c r="T764" t="str">
        <f>PROPER(SalesData[[#This Row],[Customer Name]])</f>
        <v>Noah Martinez</v>
      </c>
      <c r="U764" t="s">
        <v>1414</v>
      </c>
      <c r="V764" t="s">
        <v>1425</v>
      </c>
    </row>
    <row r="765" spans="1:22" x14ac:dyDescent="0.25">
      <c r="A765" t="s">
        <v>2191</v>
      </c>
      <c r="B765" s="5">
        <v>45572</v>
      </c>
      <c r="C765" s="2" t="str">
        <f>TEXT(SalesData[[#This Row],[Order Date]],"mmm")</f>
        <v>Oct</v>
      </c>
      <c r="D765" s="7">
        <f>MONTH(SalesData[[#This Row],[Order Date]])</f>
        <v>10</v>
      </c>
      <c r="E765" s="7">
        <f>YEAR(SalesData[[#This Row],[Order Date]])</f>
        <v>2024</v>
      </c>
      <c r="F765" t="s">
        <v>60</v>
      </c>
      <c r="G765" t="str">
        <f>PROPER(SalesData[[#This Row],[Product Name]])</f>
        <v>Reusable Bamboo Utensil Set</v>
      </c>
      <c r="H765" t="s">
        <v>1014</v>
      </c>
      <c r="I765" t="str">
        <f>UPPER(SalesData[[#This Row],[Product Category]])</f>
        <v>KITCHENWARE</v>
      </c>
      <c r="J765">
        <v>10</v>
      </c>
      <c r="K765">
        <v>15</v>
      </c>
      <c r="L765" s="15">
        <f>IF(SalesData[[#This Row],[Unit Price]]="",
    AVERAGEIFS(SalesData[Unit Price],
               SalesData[Product Name],SalesData[[#This Row],[Product Name]]),
    SalesData[[#This Row],[Unit Price]])</f>
        <v>15</v>
      </c>
      <c r="M765" s="15">
        <v>4.92</v>
      </c>
      <c r="N765" s="15">
        <f>SalesData[[#This Row],[Quantity Sold]] * SalesData[[#This Row],[Cleaned Unit Price]]</f>
        <v>150</v>
      </c>
      <c r="O765" s="15">
        <f>SalesData[[#This Row],[Quantity Sold]] * SalesData[[#This Row],[Unit Cost]]</f>
        <v>49.2</v>
      </c>
      <c r="P765" s="15">
        <f>SalesData[[#This Row],[Revenue]] - SalesData[[#This Row],[Cost]]</f>
        <v>100.8</v>
      </c>
      <c r="Q765" s="13">
        <f>IF(SalesData[[#This Row],[Revenue]]=0,0,SalesData[[#This Row],[Profit]]/SalesData[[#This Row],[Revenue]])</f>
        <v>0.67199999999999993</v>
      </c>
      <c r="R765" t="s">
        <v>1058</v>
      </c>
      <c r="S765" t="s">
        <v>1257</v>
      </c>
      <c r="T765" t="str">
        <f>PROPER(SalesData[[#This Row],[Customer Name]])</f>
        <v>Logan Smith</v>
      </c>
      <c r="U765" t="s">
        <v>1414</v>
      </c>
      <c r="V765" t="s">
        <v>1421</v>
      </c>
    </row>
    <row r="766" spans="1:22" x14ac:dyDescent="0.25">
      <c r="A766" t="s">
        <v>2192</v>
      </c>
      <c r="B766" s="5">
        <v>45573</v>
      </c>
      <c r="C766" s="2" t="str">
        <f>TEXT(SalesData[[#This Row],[Order Date]],"mmm")</f>
        <v>Oct</v>
      </c>
      <c r="D766" s="7">
        <f>MONTH(SalesData[[#This Row],[Order Date]])</f>
        <v>10</v>
      </c>
      <c r="E766" s="7">
        <f>YEAR(SalesData[[#This Row],[Order Date]])</f>
        <v>2024</v>
      </c>
      <c r="F766" t="s">
        <v>322</v>
      </c>
      <c r="G766" t="str">
        <f>PROPER(SalesData[[#This Row],[Product Name]])</f>
        <v>Solar Led Lantern</v>
      </c>
      <c r="H766" t="s">
        <v>1012</v>
      </c>
      <c r="I766" t="str">
        <f>UPPER(SalesData[[#This Row],[Product Category]])</f>
        <v>LIGHTING</v>
      </c>
      <c r="J766">
        <v>8</v>
      </c>
      <c r="K766">
        <v>40</v>
      </c>
      <c r="L766" s="15">
        <f>IF(SalesData[[#This Row],[Unit Price]]="",
    AVERAGEIFS(SalesData[Unit Price],
               SalesData[Product Name],SalesData[[#This Row],[Product Name]]),
    SalesData[[#This Row],[Unit Price]])</f>
        <v>40</v>
      </c>
      <c r="M766" s="15">
        <v>15.87</v>
      </c>
      <c r="N766" s="15">
        <f>SalesData[[#This Row],[Quantity Sold]] * SalesData[[#This Row],[Cleaned Unit Price]]</f>
        <v>320</v>
      </c>
      <c r="O766" s="15">
        <f>SalesData[[#This Row],[Quantity Sold]] * SalesData[[#This Row],[Unit Cost]]</f>
        <v>126.96</v>
      </c>
      <c r="P766" s="15">
        <f>SalesData[[#This Row],[Revenue]] - SalesData[[#This Row],[Cost]]</f>
        <v>193.04000000000002</v>
      </c>
      <c r="Q766" s="13">
        <f>IF(SalesData[[#This Row],[Revenue]]=0,0,SalesData[[#This Row],[Profit]]/SalesData[[#This Row],[Revenue]])</f>
        <v>0.60325000000000006</v>
      </c>
      <c r="R766" t="s">
        <v>1172</v>
      </c>
      <c r="S766" t="s">
        <v>1371</v>
      </c>
      <c r="T766" t="str">
        <f>PROPER(SalesData[[#This Row],[Customer Name]])</f>
        <v>James Smith</v>
      </c>
      <c r="U766" t="s">
        <v>1417</v>
      </c>
      <c r="V766" t="s">
        <v>1418</v>
      </c>
    </row>
    <row r="767" spans="1:22" x14ac:dyDescent="0.25">
      <c r="A767" t="s">
        <v>2193</v>
      </c>
      <c r="B767" s="5">
        <v>45573</v>
      </c>
      <c r="C767" s="2" t="str">
        <f>TEXT(SalesData[[#This Row],[Order Date]],"mmm")</f>
        <v>Oct</v>
      </c>
      <c r="D767" s="7">
        <f>MONTH(SalesData[[#This Row],[Order Date]])</f>
        <v>10</v>
      </c>
      <c r="E767" s="7">
        <f>YEAR(SalesData[[#This Row],[Order Date]])</f>
        <v>2024</v>
      </c>
      <c r="F767" t="s">
        <v>388</v>
      </c>
      <c r="G767" t="str">
        <f>PROPER(SalesData[[#This Row],[Product Name]])</f>
        <v>Compostable Plant Pots</v>
      </c>
      <c r="H767" t="s">
        <v>1011</v>
      </c>
      <c r="I767" t="str">
        <f>UPPER(SalesData[[#This Row],[Product Category]])</f>
        <v>GARDENING</v>
      </c>
      <c r="J767">
        <v>8</v>
      </c>
      <c r="K767">
        <v>12</v>
      </c>
      <c r="L767" s="15">
        <f>IF(SalesData[[#This Row],[Unit Price]]="",
    AVERAGEIFS(SalesData[Unit Price],
               SalesData[Product Name],SalesData[[#This Row],[Product Name]]),
    SalesData[[#This Row],[Unit Price]])</f>
        <v>12</v>
      </c>
      <c r="M767" s="15">
        <v>2.44</v>
      </c>
      <c r="N767" s="15">
        <f>SalesData[[#This Row],[Quantity Sold]] * SalesData[[#This Row],[Cleaned Unit Price]]</f>
        <v>96</v>
      </c>
      <c r="O767" s="15">
        <f>SalesData[[#This Row],[Quantity Sold]] * SalesData[[#This Row],[Unit Cost]]</f>
        <v>19.52</v>
      </c>
      <c r="P767" s="15">
        <f>SalesData[[#This Row],[Revenue]] - SalesData[[#This Row],[Cost]]</f>
        <v>76.48</v>
      </c>
      <c r="Q767" s="13">
        <f>IF(SalesData[[#This Row],[Revenue]]=0,0,SalesData[[#This Row],[Profit]]/SalesData[[#This Row],[Revenue]])</f>
        <v>0.79666666666666675</v>
      </c>
      <c r="R767" t="s">
        <v>1113</v>
      </c>
      <c r="S767" t="s">
        <v>1312</v>
      </c>
      <c r="T767" t="str">
        <f>PROPER(SalesData[[#This Row],[Customer Name]])</f>
        <v>Elijah Williams</v>
      </c>
      <c r="U767" t="s">
        <v>1414</v>
      </c>
      <c r="V767" t="s">
        <v>1424</v>
      </c>
    </row>
    <row r="768" spans="1:22" x14ac:dyDescent="0.25">
      <c r="A768" t="s">
        <v>2194</v>
      </c>
      <c r="B768" s="5">
        <v>45573</v>
      </c>
      <c r="C768" s="2" t="str">
        <f>TEXT(SalesData[[#This Row],[Order Date]],"mmm")</f>
        <v>Oct</v>
      </c>
      <c r="D768" s="7">
        <f>MONTH(SalesData[[#This Row],[Order Date]])</f>
        <v>10</v>
      </c>
      <c r="E768" s="7">
        <f>YEAR(SalesData[[#This Row],[Order Date]])</f>
        <v>2024</v>
      </c>
      <c r="F768" t="s">
        <v>606</v>
      </c>
      <c r="G768" t="str">
        <f>PROPER(SalesData[[#This Row],[Product Name]])</f>
        <v>Reusable Bamboo Utensil Set</v>
      </c>
      <c r="H768" t="s">
        <v>1014</v>
      </c>
      <c r="I768" t="str">
        <f>UPPER(SalesData[[#This Row],[Product Category]])</f>
        <v>KITCHENWARE</v>
      </c>
      <c r="J768">
        <v>7</v>
      </c>
      <c r="K768">
        <v>15</v>
      </c>
      <c r="L768" s="15">
        <f>IF(SalesData[[#This Row],[Unit Price]]="",
    AVERAGEIFS(SalesData[Unit Price],
               SalesData[Product Name],SalesData[[#This Row],[Product Name]]),
    SalesData[[#This Row],[Unit Price]])</f>
        <v>15</v>
      </c>
      <c r="M768" s="15">
        <v>3.55</v>
      </c>
      <c r="N768" s="15">
        <f>SalesData[[#This Row],[Quantity Sold]] * SalesData[[#This Row],[Cleaned Unit Price]]</f>
        <v>105</v>
      </c>
      <c r="O768" s="15">
        <f>SalesData[[#This Row],[Quantity Sold]] * SalesData[[#This Row],[Unit Cost]]</f>
        <v>24.849999999999998</v>
      </c>
      <c r="P768" s="15">
        <f>SalesData[[#This Row],[Revenue]] - SalesData[[#This Row],[Cost]]</f>
        <v>80.150000000000006</v>
      </c>
      <c r="Q768" s="13">
        <f>IF(SalesData[[#This Row],[Revenue]]=0,0,SalesData[[#This Row],[Profit]]/SalesData[[#This Row],[Revenue]])</f>
        <v>0.76333333333333342</v>
      </c>
      <c r="R768" t="s">
        <v>1053</v>
      </c>
      <c r="S768" t="s">
        <v>1252</v>
      </c>
      <c r="T768" t="str">
        <f>PROPER(SalesData[[#This Row],[Customer Name]])</f>
        <v>Evelyn Garcia</v>
      </c>
      <c r="U768" t="s">
        <v>1414</v>
      </c>
      <c r="V768" t="s">
        <v>1419</v>
      </c>
    </row>
    <row r="769" spans="1:22" x14ac:dyDescent="0.25">
      <c r="A769" t="s">
        <v>2195</v>
      </c>
      <c r="B769" s="5">
        <v>45573</v>
      </c>
      <c r="C769" s="2" t="str">
        <f>TEXT(SalesData[[#This Row],[Order Date]],"mmm")</f>
        <v>Oct</v>
      </c>
      <c r="D769" s="7">
        <f>MONTH(SalesData[[#This Row],[Order Date]])</f>
        <v>10</v>
      </c>
      <c r="E769" s="7">
        <f>YEAR(SalesData[[#This Row],[Order Date]])</f>
        <v>2024</v>
      </c>
      <c r="F769" t="s">
        <v>785</v>
      </c>
      <c r="G769" t="str">
        <f>PROPER(SalesData[[#This Row],[Product Name]])</f>
        <v>Biodegradable Cleaning Cloth</v>
      </c>
      <c r="H769" t="s">
        <v>1015</v>
      </c>
      <c r="I769" t="str">
        <f>UPPER(SalesData[[#This Row],[Product Category]])</f>
        <v>CLEANING</v>
      </c>
      <c r="J769">
        <v>1</v>
      </c>
      <c r="K769">
        <v>10</v>
      </c>
      <c r="L769" s="15">
        <f>IF(SalesData[[#This Row],[Unit Price]]="",
    AVERAGEIFS(SalesData[Unit Price],
               SalesData[Product Name],SalesData[[#This Row],[Product Name]]),
    SalesData[[#This Row],[Unit Price]])</f>
        <v>10</v>
      </c>
      <c r="M769" s="15">
        <v>3.51</v>
      </c>
      <c r="N769" s="15">
        <f>SalesData[[#This Row],[Quantity Sold]] * SalesData[[#This Row],[Cleaned Unit Price]]</f>
        <v>10</v>
      </c>
      <c r="O769" s="15">
        <f>SalesData[[#This Row],[Quantity Sold]] * SalesData[[#This Row],[Unit Cost]]</f>
        <v>3.51</v>
      </c>
      <c r="P769" s="15">
        <f>SalesData[[#This Row],[Revenue]] - SalesData[[#This Row],[Cost]]</f>
        <v>6.49</v>
      </c>
      <c r="Q769" s="13">
        <f>IF(SalesData[[#This Row],[Revenue]]=0,0,SalesData[[#This Row],[Profit]]/SalesData[[#This Row],[Revenue]])</f>
        <v>0.64900000000000002</v>
      </c>
      <c r="R769" t="s">
        <v>1084</v>
      </c>
      <c r="S769" t="s">
        <v>1283</v>
      </c>
      <c r="T769" t="str">
        <f>PROPER(SalesData[[#This Row],[Customer Name]])</f>
        <v>Lucas Brown</v>
      </c>
      <c r="U769" t="s">
        <v>1414</v>
      </c>
      <c r="V769" t="s">
        <v>1424</v>
      </c>
    </row>
    <row r="770" spans="1:22" x14ac:dyDescent="0.25">
      <c r="A770" t="s">
        <v>2196</v>
      </c>
      <c r="B770" s="5">
        <v>45574</v>
      </c>
      <c r="C770" s="2" t="str">
        <f>TEXT(SalesData[[#This Row],[Order Date]],"mmm")</f>
        <v>Oct</v>
      </c>
      <c r="D770" s="7">
        <f>MONTH(SalesData[[#This Row],[Order Date]])</f>
        <v>10</v>
      </c>
      <c r="E770" s="7">
        <f>YEAR(SalesData[[#This Row],[Order Date]])</f>
        <v>2024</v>
      </c>
      <c r="F770" t="s">
        <v>877</v>
      </c>
      <c r="G770" t="str">
        <f>PROPER(SalesData[[#This Row],[Product Name]])</f>
        <v>Eco Canvas Tote Bag</v>
      </c>
      <c r="H770" t="s">
        <v>1013</v>
      </c>
      <c r="I770" t="str">
        <f>UPPER(SalesData[[#This Row],[Product Category]])</f>
        <v>BAGS</v>
      </c>
      <c r="J770">
        <v>3</v>
      </c>
      <c r="K770">
        <v>25</v>
      </c>
      <c r="L770" s="15">
        <f>IF(SalesData[[#This Row],[Unit Price]]="",
    AVERAGEIFS(SalesData[Unit Price],
               SalesData[Product Name],SalesData[[#This Row],[Product Name]]),
    SalesData[[#This Row],[Unit Price]])</f>
        <v>25</v>
      </c>
      <c r="M770" s="15">
        <v>8.26</v>
      </c>
      <c r="N770" s="15">
        <f>SalesData[[#This Row],[Quantity Sold]] * SalesData[[#This Row],[Cleaned Unit Price]]</f>
        <v>75</v>
      </c>
      <c r="O770" s="15">
        <f>SalesData[[#This Row],[Quantity Sold]] * SalesData[[#This Row],[Unit Cost]]</f>
        <v>24.78</v>
      </c>
      <c r="P770" s="15">
        <f>SalesData[[#This Row],[Revenue]] - SalesData[[#This Row],[Cost]]</f>
        <v>50.22</v>
      </c>
      <c r="Q770" s="13">
        <f>IF(SalesData[[#This Row],[Revenue]]=0,0,SalesData[[#This Row],[Profit]]/SalesData[[#This Row],[Revenue]])</f>
        <v>0.66959999999999997</v>
      </c>
      <c r="R770" t="s">
        <v>1067</v>
      </c>
      <c r="S770" t="s">
        <v>1266</v>
      </c>
      <c r="T770" t="str">
        <f>PROPER(SalesData[[#This Row],[Customer Name]])</f>
        <v>Charlotte Jones</v>
      </c>
      <c r="U770" t="s">
        <v>1414</v>
      </c>
      <c r="V770" t="s">
        <v>1424</v>
      </c>
    </row>
    <row r="771" spans="1:22" x14ac:dyDescent="0.25">
      <c r="A771" t="s">
        <v>2197</v>
      </c>
      <c r="B771" s="5">
        <v>45575</v>
      </c>
      <c r="C771" s="2" t="str">
        <f>TEXT(SalesData[[#This Row],[Order Date]],"mmm")</f>
        <v>Oct</v>
      </c>
      <c r="D771" s="7">
        <f>MONTH(SalesData[[#This Row],[Order Date]])</f>
        <v>10</v>
      </c>
      <c r="E771" s="7">
        <f>YEAR(SalesData[[#This Row],[Order Date]])</f>
        <v>2024</v>
      </c>
      <c r="F771" t="s">
        <v>67</v>
      </c>
      <c r="G771" t="str">
        <f>PROPER(SalesData[[#This Row],[Product Name]])</f>
        <v>Eco Canvas Tote Bag</v>
      </c>
      <c r="H771" t="s">
        <v>1013</v>
      </c>
      <c r="I771" t="str">
        <f>UPPER(SalesData[[#This Row],[Product Category]])</f>
        <v>BAGS</v>
      </c>
      <c r="J771">
        <v>10</v>
      </c>
      <c r="K771">
        <v>25</v>
      </c>
      <c r="L771" s="15">
        <f>IF(SalesData[[#This Row],[Unit Price]]="",
    AVERAGEIFS(SalesData[Unit Price],
               SalesData[Product Name],SalesData[[#This Row],[Product Name]]),
    SalesData[[#This Row],[Unit Price]])</f>
        <v>25</v>
      </c>
      <c r="M771" s="15">
        <v>7.05</v>
      </c>
      <c r="N771" s="15">
        <f>SalesData[[#This Row],[Quantity Sold]] * SalesData[[#This Row],[Cleaned Unit Price]]</f>
        <v>250</v>
      </c>
      <c r="O771" s="15">
        <f>SalesData[[#This Row],[Quantity Sold]] * SalesData[[#This Row],[Unit Cost]]</f>
        <v>70.5</v>
      </c>
      <c r="P771" s="15">
        <f>SalesData[[#This Row],[Revenue]] - SalesData[[#This Row],[Cost]]</f>
        <v>179.5</v>
      </c>
      <c r="Q771" s="13">
        <f>IF(SalesData[[#This Row],[Revenue]]=0,0,SalesData[[#This Row],[Profit]]/SalesData[[#This Row],[Revenue]])</f>
        <v>0.71799999999999997</v>
      </c>
      <c r="R771" t="s">
        <v>1062</v>
      </c>
      <c r="S771" t="s">
        <v>1261</v>
      </c>
      <c r="T771" t="str">
        <f>PROPER(SalesData[[#This Row],[Customer Name]])</f>
        <v>James Brown</v>
      </c>
      <c r="U771" t="s">
        <v>1416</v>
      </c>
      <c r="V771" t="s">
        <v>1418</v>
      </c>
    </row>
    <row r="772" spans="1:22" x14ac:dyDescent="0.25">
      <c r="A772" t="s">
        <v>2198</v>
      </c>
      <c r="B772" s="5">
        <v>45575</v>
      </c>
      <c r="C772" s="2" t="str">
        <f>TEXT(SalesData[[#This Row],[Order Date]],"mmm")</f>
        <v>Oct</v>
      </c>
      <c r="D772" s="7">
        <f>MONTH(SalesData[[#This Row],[Order Date]])</f>
        <v>10</v>
      </c>
      <c r="E772" s="7">
        <f>YEAR(SalesData[[#This Row],[Order Date]])</f>
        <v>2024</v>
      </c>
      <c r="F772" t="s">
        <v>118</v>
      </c>
      <c r="G772" t="str">
        <f>PROPER(SalesData[[#This Row],[Product Name]])</f>
        <v>Solar Led Lantern</v>
      </c>
      <c r="H772" t="s">
        <v>1012</v>
      </c>
      <c r="I772" t="str">
        <f>UPPER(SalesData[[#This Row],[Product Category]])</f>
        <v>LIGHTING</v>
      </c>
      <c r="J772">
        <v>4</v>
      </c>
      <c r="L772" s="15">
        <f>IF(SalesData[[#This Row],[Unit Price]]="",
    AVERAGEIFS(SalesData[Unit Price],
               SalesData[Product Name],SalesData[[#This Row],[Product Name]]),
    SalesData[[#This Row],[Unit Price]])</f>
        <v>40</v>
      </c>
      <c r="M772" s="15">
        <v>14.12</v>
      </c>
      <c r="N772" s="15">
        <f>SalesData[[#This Row],[Quantity Sold]] * SalesData[[#This Row],[Cleaned Unit Price]]</f>
        <v>160</v>
      </c>
      <c r="O772" s="15">
        <f>SalesData[[#This Row],[Quantity Sold]] * SalesData[[#This Row],[Unit Cost]]</f>
        <v>56.48</v>
      </c>
      <c r="P772" s="15">
        <f>SalesData[[#This Row],[Revenue]] - SalesData[[#This Row],[Cost]]</f>
        <v>103.52000000000001</v>
      </c>
      <c r="Q772" s="13">
        <f>IF(SalesData[[#This Row],[Revenue]]=0,0,SalesData[[#This Row],[Profit]]/SalesData[[#This Row],[Revenue]])</f>
        <v>0.64700000000000002</v>
      </c>
      <c r="R772" t="s">
        <v>1098</v>
      </c>
      <c r="S772" t="s">
        <v>1297</v>
      </c>
      <c r="T772" t="str">
        <f>PROPER(SalesData[[#This Row],[Customer Name]])</f>
        <v>Noah Martinez</v>
      </c>
      <c r="U772" t="s">
        <v>1417</v>
      </c>
      <c r="V772" t="s">
        <v>1423</v>
      </c>
    </row>
    <row r="773" spans="1:22" x14ac:dyDescent="0.25">
      <c r="A773" t="s">
        <v>2199</v>
      </c>
      <c r="B773" s="5">
        <v>45576</v>
      </c>
      <c r="C773" s="2" t="str">
        <f>TEXT(SalesData[[#This Row],[Order Date]],"mmm")</f>
        <v>Oct</v>
      </c>
      <c r="D773" s="7">
        <f>MONTH(SalesData[[#This Row],[Order Date]])</f>
        <v>10</v>
      </c>
      <c r="E773" s="7">
        <f>YEAR(SalesData[[#This Row],[Order Date]])</f>
        <v>2024</v>
      </c>
      <c r="F773" t="s">
        <v>299</v>
      </c>
      <c r="G773" t="str">
        <f>PROPER(SalesData[[#This Row],[Product Name]])</f>
        <v>Solar Led Lantern</v>
      </c>
      <c r="H773" t="s">
        <v>1012</v>
      </c>
      <c r="I773" t="str">
        <f>UPPER(SalesData[[#This Row],[Product Category]])</f>
        <v>LIGHTING</v>
      </c>
      <c r="J773">
        <v>7</v>
      </c>
      <c r="K773">
        <v>40</v>
      </c>
      <c r="L773" s="15">
        <f>IF(SalesData[[#This Row],[Unit Price]]="",
    AVERAGEIFS(SalesData[Unit Price],
               SalesData[Product Name],SalesData[[#This Row],[Product Name]]),
    SalesData[[#This Row],[Unit Price]])</f>
        <v>40</v>
      </c>
      <c r="M773" s="15">
        <v>10.23</v>
      </c>
      <c r="N773" s="15">
        <f>SalesData[[#This Row],[Quantity Sold]] * SalesData[[#This Row],[Cleaned Unit Price]]</f>
        <v>280</v>
      </c>
      <c r="O773" s="15">
        <f>SalesData[[#This Row],[Quantity Sold]] * SalesData[[#This Row],[Unit Cost]]</f>
        <v>71.61</v>
      </c>
      <c r="P773" s="15">
        <f>SalesData[[#This Row],[Revenue]] - SalesData[[#This Row],[Cost]]</f>
        <v>208.39</v>
      </c>
      <c r="Q773" s="13">
        <f>IF(SalesData[[#This Row],[Revenue]]=0,0,SalesData[[#This Row],[Profit]]/SalesData[[#This Row],[Revenue]])</f>
        <v>0.74424999999999997</v>
      </c>
      <c r="R773" t="s">
        <v>1065</v>
      </c>
      <c r="S773" t="s">
        <v>1264</v>
      </c>
      <c r="T773" t="str">
        <f>PROPER(SalesData[[#This Row],[Customer Name]])</f>
        <v>Elijah Jones</v>
      </c>
      <c r="U773" t="s">
        <v>1414</v>
      </c>
      <c r="V773" t="s">
        <v>1423</v>
      </c>
    </row>
    <row r="774" spans="1:22" x14ac:dyDescent="0.25">
      <c r="A774" t="s">
        <v>2200</v>
      </c>
      <c r="B774" s="5">
        <v>45576</v>
      </c>
      <c r="C774" s="2" t="str">
        <f>TEXT(SalesData[[#This Row],[Order Date]],"mmm")</f>
        <v>Oct</v>
      </c>
      <c r="D774" s="7">
        <f>MONTH(SalesData[[#This Row],[Order Date]])</f>
        <v>10</v>
      </c>
      <c r="E774" s="7">
        <f>YEAR(SalesData[[#This Row],[Order Date]])</f>
        <v>2024</v>
      </c>
      <c r="F774" t="s">
        <v>882</v>
      </c>
      <c r="G774" t="str">
        <f>PROPER(SalesData[[#This Row],[Product Name]])</f>
        <v>Reusable Bamboo Utensil Set</v>
      </c>
      <c r="H774" t="s">
        <v>1014</v>
      </c>
      <c r="I774" t="str">
        <f>UPPER(SalesData[[#This Row],[Product Category]])</f>
        <v>KITCHENWARE</v>
      </c>
      <c r="J774">
        <v>5</v>
      </c>
      <c r="K774">
        <v>15</v>
      </c>
      <c r="L774" s="15">
        <f>IF(SalesData[[#This Row],[Unit Price]]="",
    AVERAGEIFS(SalesData[Unit Price],
               SalesData[Product Name],SalesData[[#This Row],[Product Name]]),
    SalesData[[#This Row],[Unit Price]])</f>
        <v>15</v>
      </c>
      <c r="M774" s="15">
        <v>5.01</v>
      </c>
      <c r="N774" s="15">
        <f>SalesData[[#This Row],[Quantity Sold]] * SalesData[[#This Row],[Cleaned Unit Price]]</f>
        <v>75</v>
      </c>
      <c r="O774" s="15">
        <f>SalesData[[#This Row],[Quantity Sold]] * SalesData[[#This Row],[Unit Cost]]</f>
        <v>25.049999999999997</v>
      </c>
      <c r="P774" s="15">
        <f>SalesData[[#This Row],[Revenue]] - SalesData[[#This Row],[Cost]]</f>
        <v>49.95</v>
      </c>
      <c r="Q774" s="13">
        <f>IF(SalesData[[#This Row],[Revenue]]=0,0,SalesData[[#This Row],[Profit]]/SalesData[[#This Row],[Revenue]])</f>
        <v>0.66600000000000004</v>
      </c>
      <c r="R774" t="s">
        <v>1090</v>
      </c>
      <c r="S774" t="s">
        <v>1289</v>
      </c>
      <c r="T774" t="str">
        <f>PROPER(SalesData[[#This Row],[Customer Name]])</f>
        <v>Ethan Jones</v>
      </c>
      <c r="U774" t="s">
        <v>1417</v>
      </c>
      <c r="V774" t="s">
        <v>1423</v>
      </c>
    </row>
    <row r="775" spans="1:22" x14ac:dyDescent="0.25">
      <c r="A775" t="s">
        <v>2201</v>
      </c>
      <c r="B775" s="5">
        <v>45577</v>
      </c>
      <c r="C775" s="2" t="str">
        <f>TEXT(SalesData[[#This Row],[Order Date]],"mmm")</f>
        <v>Oct</v>
      </c>
      <c r="D775" s="7">
        <f>MONTH(SalesData[[#This Row],[Order Date]])</f>
        <v>10</v>
      </c>
      <c r="E775" s="7">
        <f>YEAR(SalesData[[#This Row],[Order Date]])</f>
        <v>2024</v>
      </c>
      <c r="F775" t="s">
        <v>485</v>
      </c>
      <c r="G775" t="str">
        <f>PROPER(SalesData[[#This Row],[Product Name]])</f>
        <v>Eco Canvas Tote Bag</v>
      </c>
      <c r="H775" t="s">
        <v>1013</v>
      </c>
      <c r="I775" t="str">
        <f>UPPER(SalesData[[#This Row],[Product Category]])</f>
        <v>BAGS</v>
      </c>
      <c r="J775">
        <v>9</v>
      </c>
      <c r="K775">
        <v>25</v>
      </c>
      <c r="L775" s="15">
        <f>IF(SalesData[[#This Row],[Unit Price]]="",
    AVERAGEIFS(SalesData[Unit Price],
               SalesData[Product Name],SalesData[[#This Row],[Product Name]]),
    SalesData[[#This Row],[Unit Price]])</f>
        <v>25</v>
      </c>
      <c r="M775" s="15">
        <v>7.98</v>
      </c>
      <c r="N775" s="15">
        <f>SalesData[[#This Row],[Quantity Sold]] * SalesData[[#This Row],[Cleaned Unit Price]]</f>
        <v>225</v>
      </c>
      <c r="O775" s="15">
        <f>SalesData[[#This Row],[Quantity Sold]] * SalesData[[#This Row],[Unit Cost]]</f>
        <v>71.820000000000007</v>
      </c>
      <c r="P775" s="15">
        <f>SalesData[[#This Row],[Revenue]] - SalesData[[#This Row],[Cost]]</f>
        <v>153.18</v>
      </c>
      <c r="Q775" s="13">
        <f>IF(SalesData[[#This Row],[Revenue]]=0,0,SalesData[[#This Row],[Profit]]/SalesData[[#This Row],[Revenue]])</f>
        <v>0.68080000000000007</v>
      </c>
      <c r="R775" t="s">
        <v>1200</v>
      </c>
      <c r="S775" t="s">
        <v>1399</v>
      </c>
      <c r="T775" t="str">
        <f>PROPER(SalesData[[#This Row],[Customer Name]])</f>
        <v>James Miller</v>
      </c>
      <c r="U775" t="s">
        <v>1414</v>
      </c>
      <c r="V775" t="s">
        <v>1426</v>
      </c>
    </row>
    <row r="776" spans="1:22" x14ac:dyDescent="0.25">
      <c r="A776" t="s">
        <v>2202</v>
      </c>
      <c r="B776" s="5">
        <v>45577</v>
      </c>
      <c r="C776" s="2" t="str">
        <f>TEXT(SalesData[[#This Row],[Order Date]],"mmm")</f>
        <v>Oct</v>
      </c>
      <c r="D776" s="7">
        <f>MONTH(SalesData[[#This Row],[Order Date]])</f>
        <v>10</v>
      </c>
      <c r="E776" s="7">
        <f>YEAR(SalesData[[#This Row],[Order Date]])</f>
        <v>2024</v>
      </c>
      <c r="F776" t="s">
        <v>589</v>
      </c>
      <c r="G776" t="str">
        <f>PROPER(SalesData[[#This Row],[Product Name]])</f>
        <v>Solar Led Lantern</v>
      </c>
      <c r="H776" t="s">
        <v>1012</v>
      </c>
      <c r="I776" t="str">
        <f>UPPER(SalesData[[#This Row],[Product Category]])</f>
        <v>LIGHTING</v>
      </c>
      <c r="J776">
        <v>7</v>
      </c>
      <c r="K776">
        <v>40</v>
      </c>
      <c r="L776" s="15">
        <f>IF(SalesData[[#This Row],[Unit Price]]="",
    AVERAGEIFS(SalesData[Unit Price],
               SalesData[Product Name],SalesData[[#This Row],[Product Name]]),
    SalesData[[#This Row],[Unit Price]])</f>
        <v>40</v>
      </c>
      <c r="M776" s="15">
        <v>14.85</v>
      </c>
      <c r="N776" s="15">
        <f>SalesData[[#This Row],[Quantity Sold]] * SalesData[[#This Row],[Cleaned Unit Price]]</f>
        <v>280</v>
      </c>
      <c r="O776" s="15">
        <f>SalesData[[#This Row],[Quantity Sold]] * SalesData[[#This Row],[Unit Cost]]</f>
        <v>103.95</v>
      </c>
      <c r="P776" s="15">
        <f>SalesData[[#This Row],[Revenue]] - SalesData[[#This Row],[Cost]]</f>
        <v>176.05</v>
      </c>
      <c r="Q776" s="13">
        <f>IF(SalesData[[#This Row],[Revenue]]=0,0,SalesData[[#This Row],[Profit]]/SalesData[[#This Row],[Revenue]])</f>
        <v>0.62875000000000003</v>
      </c>
      <c r="R776" t="s">
        <v>1134</v>
      </c>
      <c r="S776" t="s">
        <v>1333</v>
      </c>
      <c r="T776" t="str">
        <f>PROPER(SalesData[[#This Row],[Customer Name]])</f>
        <v>Ava Martinez</v>
      </c>
      <c r="U776" t="s">
        <v>1417</v>
      </c>
      <c r="V776" t="s">
        <v>1420</v>
      </c>
    </row>
    <row r="777" spans="1:22" x14ac:dyDescent="0.25">
      <c r="A777" t="s">
        <v>2203</v>
      </c>
      <c r="B777" s="5">
        <v>45577</v>
      </c>
      <c r="C777" s="2" t="str">
        <f>TEXT(SalesData[[#This Row],[Order Date]],"mmm")</f>
        <v>Oct</v>
      </c>
      <c r="D777" s="7">
        <f>MONTH(SalesData[[#This Row],[Order Date]])</f>
        <v>10</v>
      </c>
      <c r="E777" s="7">
        <f>YEAR(SalesData[[#This Row],[Order Date]])</f>
        <v>2024</v>
      </c>
      <c r="F777" t="s">
        <v>733</v>
      </c>
      <c r="G777" t="str">
        <f>PROPER(SalesData[[#This Row],[Product Name]])</f>
        <v>Compostable Plant Pots</v>
      </c>
      <c r="H777" t="s">
        <v>1011</v>
      </c>
      <c r="I777" t="str">
        <f>UPPER(SalesData[[#This Row],[Product Category]])</f>
        <v>GARDENING</v>
      </c>
      <c r="J777">
        <v>7</v>
      </c>
      <c r="K777">
        <v>12</v>
      </c>
      <c r="L777" s="15">
        <f>IF(SalesData[[#This Row],[Unit Price]]="",
    AVERAGEIFS(SalesData[Unit Price],
               SalesData[Product Name],SalesData[[#This Row],[Product Name]]),
    SalesData[[#This Row],[Unit Price]])</f>
        <v>12</v>
      </c>
      <c r="M777" s="15">
        <v>4.57</v>
      </c>
      <c r="N777" s="15">
        <f>SalesData[[#This Row],[Quantity Sold]] * SalesData[[#This Row],[Cleaned Unit Price]]</f>
        <v>84</v>
      </c>
      <c r="O777" s="15">
        <f>SalesData[[#This Row],[Quantity Sold]] * SalesData[[#This Row],[Unit Cost]]</f>
        <v>31.990000000000002</v>
      </c>
      <c r="P777" s="15">
        <f>SalesData[[#This Row],[Revenue]] - SalesData[[#This Row],[Cost]]</f>
        <v>52.01</v>
      </c>
      <c r="Q777" s="13">
        <f>IF(SalesData[[#This Row],[Revenue]]=0,0,SalesData[[#This Row],[Profit]]/SalesData[[#This Row],[Revenue]])</f>
        <v>0.61916666666666664</v>
      </c>
      <c r="R777" t="s">
        <v>1150</v>
      </c>
      <c r="S777" t="s">
        <v>1349</v>
      </c>
      <c r="T777" t="str">
        <f>PROPER(SalesData[[#This Row],[Customer Name]])</f>
        <v>Mia Davis</v>
      </c>
      <c r="U777" t="s">
        <v>1414</v>
      </c>
      <c r="V777" t="s">
        <v>1423</v>
      </c>
    </row>
    <row r="778" spans="1:22" x14ac:dyDescent="0.25">
      <c r="A778" t="s">
        <v>2204</v>
      </c>
      <c r="B778" s="5">
        <v>45578</v>
      </c>
      <c r="C778" s="2" t="str">
        <f>TEXT(SalesData[[#This Row],[Order Date]],"mmm")</f>
        <v>Oct</v>
      </c>
      <c r="D778" s="7">
        <f>MONTH(SalesData[[#This Row],[Order Date]])</f>
        <v>10</v>
      </c>
      <c r="E778" s="7">
        <f>YEAR(SalesData[[#This Row],[Order Date]])</f>
        <v>2024</v>
      </c>
      <c r="F778" t="s">
        <v>35</v>
      </c>
      <c r="G778" t="str">
        <f>PROPER(SalesData[[#This Row],[Product Name]])</f>
        <v>Compostable Plant Pots</v>
      </c>
      <c r="H778" t="s">
        <v>1011</v>
      </c>
      <c r="I778" t="str">
        <f>UPPER(SalesData[[#This Row],[Product Category]])</f>
        <v>GARDENING</v>
      </c>
      <c r="J778">
        <v>7</v>
      </c>
      <c r="K778">
        <v>12</v>
      </c>
      <c r="L778" s="15">
        <f>IF(SalesData[[#This Row],[Unit Price]]="",
    AVERAGEIFS(SalesData[Unit Price],
               SalesData[Product Name],SalesData[[#This Row],[Product Name]]),
    SalesData[[#This Row],[Unit Price]])</f>
        <v>12</v>
      </c>
      <c r="M778" s="15">
        <v>4.38</v>
      </c>
      <c r="N778" s="15">
        <f>SalesData[[#This Row],[Quantity Sold]] * SalesData[[#This Row],[Cleaned Unit Price]]</f>
        <v>84</v>
      </c>
      <c r="O778" s="15">
        <f>SalesData[[#This Row],[Quantity Sold]] * SalesData[[#This Row],[Unit Cost]]</f>
        <v>30.66</v>
      </c>
      <c r="P778" s="15">
        <f>SalesData[[#This Row],[Revenue]] - SalesData[[#This Row],[Cost]]</f>
        <v>53.34</v>
      </c>
      <c r="Q778" s="13">
        <f>IF(SalesData[[#This Row],[Revenue]]=0,0,SalesData[[#This Row],[Profit]]/SalesData[[#This Row],[Revenue]])</f>
        <v>0.63500000000000001</v>
      </c>
      <c r="R778" t="s">
        <v>1037</v>
      </c>
      <c r="S778" t="s">
        <v>1236</v>
      </c>
      <c r="T778" t="str">
        <f>PROPER(SalesData[[#This Row],[Customer Name]])</f>
        <v>Amelia Johnson</v>
      </c>
      <c r="U778" t="s">
        <v>1414</v>
      </c>
      <c r="V778" t="s">
        <v>1423</v>
      </c>
    </row>
    <row r="779" spans="1:22" x14ac:dyDescent="0.25">
      <c r="A779" t="s">
        <v>2205</v>
      </c>
      <c r="B779" s="5">
        <v>45578</v>
      </c>
      <c r="C779" s="2" t="str">
        <f>TEXT(SalesData[[#This Row],[Order Date]],"mmm")</f>
        <v>Oct</v>
      </c>
      <c r="D779" s="7">
        <f>MONTH(SalesData[[#This Row],[Order Date]])</f>
        <v>10</v>
      </c>
      <c r="E779" s="7">
        <f>YEAR(SalesData[[#This Row],[Order Date]])</f>
        <v>2024</v>
      </c>
      <c r="F779" t="s">
        <v>164</v>
      </c>
      <c r="G779" t="str">
        <f>PROPER(SalesData[[#This Row],[Product Name]])</f>
        <v>Reusable Bamboo Utensil Set</v>
      </c>
      <c r="H779" t="s">
        <v>1014</v>
      </c>
      <c r="I779" t="str">
        <f>UPPER(SalesData[[#This Row],[Product Category]])</f>
        <v>KITCHENWARE</v>
      </c>
      <c r="J779">
        <v>10</v>
      </c>
      <c r="K779">
        <v>15</v>
      </c>
      <c r="L779" s="15">
        <f>IF(SalesData[[#This Row],[Unit Price]]="",
    AVERAGEIFS(SalesData[Unit Price],
               SalesData[Product Name],SalesData[[#This Row],[Product Name]]),
    SalesData[[#This Row],[Unit Price]])</f>
        <v>15</v>
      </c>
      <c r="M779" s="15">
        <v>3.73</v>
      </c>
      <c r="N779" s="15">
        <f>SalesData[[#This Row],[Quantity Sold]] * SalesData[[#This Row],[Cleaned Unit Price]]</f>
        <v>150</v>
      </c>
      <c r="O779" s="15">
        <f>SalesData[[#This Row],[Quantity Sold]] * SalesData[[#This Row],[Unit Cost]]</f>
        <v>37.299999999999997</v>
      </c>
      <c r="P779" s="15">
        <f>SalesData[[#This Row],[Revenue]] - SalesData[[#This Row],[Cost]]</f>
        <v>112.7</v>
      </c>
      <c r="Q779" s="13">
        <f>IF(SalesData[[#This Row],[Revenue]]=0,0,SalesData[[#This Row],[Profit]]/SalesData[[#This Row],[Revenue]])</f>
        <v>0.7513333333333333</v>
      </c>
      <c r="R779" t="s">
        <v>1035</v>
      </c>
      <c r="S779" t="s">
        <v>1234</v>
      </c>
      <c r="T779" t="str">
        <f>PROPER(SalesData[[#This Row],[Customer Name]])</f>
        <v>Olivia Martinez</v>
      </c>
      <c r="U779" t="s">
        <v>1415</v>
      </c>
      <c r="V779" t="s">
        <v>1425</v>
      </c>
    </row>
    <row r="780" spans="1:22" x14ac:dyDescent="0.25">
      <c r="A780" t="s">
        <v>2206</v>
      </c>
      <c r="B780" s="5">
        <v>45578</v>
      </c>
      <c r="C780" s="2" t="str">
        <f>TEXT(SalesData[[#This Row],[Order Date]],"mmm")</f>
        <v>Oct</v>
      </c>
      <c r="D780" s="7">
        <f>MONTH(SalesData[[#This Row],[Order Date]])</f>
        <v>10</v>
      </c>
      <c r="E780" s="7">
        <f>YEAR(SalesData[[#This Row],[Order Date]])</f>
        <v>2024</v>
      </c>
      <c r="F780" t="s">
        <v>368</v>
      </c>
      <c r="G780" t="str">
        <f>PROPER(SalesData[[#This Row],[Product Name]])</f>
        <v>Solar Led Lantern</v>
      </c>
      <c r="H780" t="s">
        <v>1012</v>
      </c>
      <c r="I780" t="str">
        <f>UPPER(SalesData[[#This Row],[Product Category]])</f>
        <v>LIGHTING</v>
      </c>
      <c r="J780">
        <v>6</v>
      </c>
      <c r="K780">
        <v>40</v>
      </c>
      <c r="L780" s="15">
        <f>IF(SalesData[[#This Row],[Unit Price]]="",
    AVERAGEIFS(SalesData[Unit Price],
               SalesData[Product Name],SalesData[[#This Row],[Product Name]]),
    SalesData[[#This Row],[Unit Price]])</f>
        <v>40</v>
      </c>
      <c r="M780" s="15">
        <v>10.78</v>
      </c>
      <c r="N780" s="15">
        <f>SalesData[[#This Row],[Quantity Sold]] * SalesData[[#This Row],[Cleaned Unit Price]]</f>
        <v>240</v>
      </c>
      <c r="O780" s="15">
        <f>SalesData[[#This Row],[Quantity Sold]] * SalesData[[#This Row],[Unit Cost]]</f>
        <v>64.679999999999993</v>
      </c>
      <c r="P780" s="15">
        <f>SalesData[[#This Row],[Revenue]] - SalesData[[#This Row],[Cost]]</f>
        <v>175.32</v>
      </c>
      <c r="Q780" s="13">
        <f>IF(SalesData[[#This Row],[Revenue]]=0,0,SalesData[[#This Row],[Profit]]/SalesData[[#This Row],[Revenue]])</f>
        <v>0.73049999999999993</v>
      </c>
      <c r="R780" t="s">
        <v>1081</v>
      </c>
      <c r="S780" t="s">
        <v>1280</v>
      </c>
      <c r="T780" t="str">
        <f>PROPER(SalesData[[#This Row],[Customer Name]])</f>
        <v>James Brown</v>
      </c>
      <c r="U780" t="s">
        <v>1416</v>
      </c>
      <c r="V780" t="s">
        <v>1426</v>
      </c>
    </row>
    <row r="781" spans="1:22" x14ac:dyDescent="0.25">
      <c r="A781" t="s">
        <v>2207</v>
      </c>
      <c r="B781" s="5">
        <v>45578</v>
      </c>
      <c r="C781" s="2" t="str">
        <f>TEXT(SalesData[[#This Row],[Order Date]],"mmm")</f>
        <v>Oct</v>
      </c>
      <c r="D781" s="7">
        <f>MONTH(SalesData[[#This Row],[Order Date]])</f>
        <v>10</v>
      </c>
      <c r="E781" s="7">
        <f>YEAR(SalesData[[#This Row],[Order Date]])</f>
        <v>2024</v>
      </c>
      <c r="F781" t="s">
        <v>376</v>
      </c>
      <c r="G781" t="str">
        <f>PROPER(SalesData[[#This Row],[Product Name]])</f>
        <v>Reusable Bamboo Utensil Set</v>
      </c>
      <c r="H781" t="s">
        <v>1014</v>
      </c>
      <c r="I781" t="str">
        <f>UPPER(SalesData[[#This Row],[Product Category]])</f>
        <v>KITCHENWARE</v>
      </c>
      <c r="J781">
        <v>9</v>
      </c>
      <c r="K781">
        <v>15</v>
      </c>
      <c r="L781" s="15">
        <f>IF(SalesData[[#This Row],[Unit Price]]="",
    AVERAGEIFS(SalesData[Unit Price],
               SalesData[Product Name],SalesData[[#This Row],[Product Name]]),
    SalesData[[#This Row],[Unit Price]])</f>
        <v>15</v>
      </c>
      <c r="M781" s="15">
        <v>4.62</v>
      </c>
      <c r="N781" s="15">
        <f>SalesData[[#This Row],[Quantity Sold]] * SalesData[[#This Row],[Cleaned Unit Price]]</f>
        <v>135</v>
      </c>
      <c r="O781" s="15">
        <f>SalesData[[#This Row],[Quantity Sold]] * SalesData[[#This Row],[Unit Cost]]</f>
        <v>41.58</v>
      </c>
      <c r="P781" s="15">
        <f>SalesData[[#This Row],[Revenue]] - SalesData[[#This Row],[Cost]]</f>
        <v>93.42</v>
      </c>
      <c r="Q781" s="13">
        <f>IF(SalesData[[#This Row],[Revenue]]=0,0,SalesData[[#This Row],[Profit]]/SalesData[[#This Row],[Revenue]])</f>
        <v>0.69200000000000006</v>
      </c>
      <c r="R781" t="s">
        <v>1063</v>
      </c>
      <c r="S781" t="s">
        <v>1262</v>
      </c>
      <c r="T781" t="str">
        <f>PROPER(SalesData[[#This Row],[Customer Name]])</f>
        <v>Aiden Martinez</v>
      </c>
      <c r="U781" t="s">
        <v>1416</v>
      </c>
      <c r="V781" t="s">
        <v>1424</v>
      </c>
    </row>
    <row r="782" spans="1:22" x14ac:dyDescent="0.25">
      <c r="A782" t="s">
        <v>2208</v>
      </c>
      <c r="B782" s="5">
        <v>45578</v>
      </c>
      <c r="C782" s="2" t="str">
        <f>TEXT(SalesData[[#This Row],[Order Date]],"mmm")</f>
        <v>Oct</v>
      </c>
      <c r="D782" s="7">
        <f>MONTH(SalesData[[#This Row],[Order Date]])</f>
        <v>10</v>
      </c>
      <c r="E782" s="7">
        <f>YEAR(SalesData[[#This Row],[Order Date]])</f>
        <v>2024</v>
      </c>
      <c r="F782" t="s">
        <v>820</v>
      </c>
      <c r="G782" t="str">
        <f>PROPER(SalesData[[#This Row],[Product Name]])</f>
        <v>Solar Led Lantern</v>
      </c>
      <c r="H782" t="s">
        <v>1012</v>
      </c>
      <c r="I782" t="str">
        <f>UPPER(SalesData[[#This Row],[Product Category]])</f>
        <v>LIGHTING</v>
      </c>
      <c r="J782">
        <v>10</v>
      </c>
      <c r="K782">
        <v>40</v>
      </c>
      <c r="L782" s="15">
        <f>IF(SalesData[[#This Row],[Unit Price]]="",
    AVERAGEIFS(SalesData[Unit Price],
               SalesData[Product Name],SalesData[[#This Row],[Product Name]]),
    SalesData[[#This Row],[Unit Price]])</f>
        <v>40</v>
      </c>
      <c r="M782" s="15">
        <v>10.4</v>
      </c>
      <c r="N782" s="15">
        <f>SalesData[[#This Row],[Quantity Sold]] * SalesData[[#This Row],[Cleaned Unit Price]]</f>
        <v>400</v>
      </c>
      <c r="O782" s="15">
        <f>SalesData[[#This Row],[Quantity Sold]] * SalesData[[#This Row],[Unit Cost]]</f>
        <v>104</v>
      </c>
      <c r="P782" s="15">
        <f>SalesData[[#This Row],[Revenue]] - SalesData[[#This Row],[Cost]]</f>
        <v>296</v>
      </c>
      <c r="Q782" s="13">
        <f>IF(SalesData[[#This Row],[Revenue]]=0,0,SalesData[[#This Row],[Profit]]/SalesData[[#This Row],[Revenue]])</f>
        <v>0.74</v>
      </c>
      <c r="R782" t="s">
        <v>1030</v>
      </c>
      <c r="S782" t="s">
        <v>1229</v>
      </c>
      <c r="T782" t="str">
        <f>PROPER(SalesData[[#This Row],[Customer Name]])</f>
        <v>Olivia Garcia</v>
      </c>
      <c r="U782" t="s">
        <v>1415</v>
      </c>
      <c r="V782" t="s">
        <v>1419</v>
      </c>
    </row>
    <row r="783" spans="1:22" x14ac:dyDescent="0.25">
      <c r="A783" t="s">
        <v>2209</v>
      </c>
      <c r="B783" s="5">
        <v>45579</v>
      </c>
      <c r="C783" s="2" t="str">
        <f>TEXT(SalesData[[#This Row],[Order Date]],"mmm")</f>
        <v>Oct</v>
      </c>
      <c r="D783" s="7">
        <f>MONTH(SalesData[[#This Row],[Order Date]])</f>
        <v>10</v>
      </c>
      <c r="E783" s="7">
        <f>YEAR(SalesData[[#This Row],[Order Date]])</f>
        <v>2024</v>
      </c>
      <c r="F783" t="s">
        <v>328</v>
      </c>
      <c r="G783" t="str">
        <f>PROPER(SalesData[[#This Row],[Product Name]])</f>
        <v>Compostable Plant Pots</v>
      </c>
      <c r="H783" t="s">
        <v>1011</v>
      </c>
      <c r="I783" t="str">
        <f>UPPER(SalesData[[#This Row],[Product Category]])</f>
        <v>GARDENING</v>
      </c>
      <c r="J783">
        <v>6</v>
      </c>
      <c r="K783">
        <v>12</v>
      </c>
      <c r="L783" s="15">
        <f>IF(SalesData[[#This Row],[Unit Price]]="",
    AVERAGEIFS(SalesData[Unit Price],
               SalesData[Product Name],SalesData[[#This Row],[Product Name]]),
    SalesData[[#This Row],[Unit Price]])</f>
        <v>12</v>
      </c>
      <c r="M783" s="15">
        <v>4.6100000000000003</v>
      </c>
      <c r="N783" s="15">
        <f>SalesData[[#This Row],[Quantity Sold]] * SalesData[[#This Row],[Cleaned Unit Price]]</f>
        <v>72</v>
      </c>
      <c r="O783" s="15">
        <f>SalesData[[#This Row],[Quantity Sold]] * SalesData[[#This Row],[Unit Cost]]</f>
        <v>27.660000000000004</v>
      </c>
      <c r="P783" s="15">
        <f>SalesData[[#This Row],[Revenue]] - SalesData[[#This Row],[Cost]]</f>
        <v>44.339999999999996</v>
      </c>
      <c r="Q783" s="13">
        <f>IF(SalesData[[#This Row],[Revenue]]=0,0,SalesData[[#This Row],[Profit]]/SalesData[[#This Row],[Revenue]])</f>
        <v>0.61583333333333323</v>
      </c>
      <c r="R783" t="s">
        <v>1041</v>
      </c>
      <c r="S783" t="s">
        <v>1240</v>
      </c>
      <c r="T783" t="str">
        <f>PROPER(SalesData[[#This Row],[Customer Name]])</f>
        <v>Noah Williams</v>
      </c>
      <c r="U783" t="s">
        <v>1414</v>
      </c>
      <c r="V783" t="s">
        <v>1425</v>
      </c>
    </row>
    <row r="784" spans="1:22" x14ac:dyDescent="0.25">
      <c r="A784" t="s">
        <v>2210</v>
      </c>
      <c r="B784" s="5">
        <v>45580</v>
      </c>
      <c r="C784" s="2" t="str">
        <f>TEXT(SalesData[[#This Row],[Order Date]],"mmm")</f>
        <v>Oct</v>
      </c>
      <c r="D784" s="7">
        <f>MONTH(SalesData[[#This Row],[Order Date]])</f>
        <v>10</v>
      </c>
      <c r="E784" s="7">
        <f>YEAR(SalesData[[#This Row],[Order Date]])</f>
        <v>2024</v>
      </c>
      <c r="F784" t="s">
        <v>420</v>
      </c>
      <c r="G784" t="str">
        <f>PROPER(SalesData[[#This Row],[Product Name]])</f>
        <v>Reusable Bamboo Utensil Set</v>
      </c>
      <c r="H784" t="s">
        <v>1014</v>
      </c>
      <c r="I784" t="str">
        <f>UPPER(SalesData[[#This Row],[Product Category]])</f>
        <v>KITCHENWARE</v>
      </c>
      <c r="J784">
        <v>5</v>
      </c>
      <c r="K784">
        <v>15</v>
      </c>
      <c r="L784" s="15">
        <f>IF(SalesData[[#This Row],[Unit Price]]="",
    AVERAGEIFS(SalesData[Unit Price],
               SalesData[Product Name],SalesData[[#This Row],[Product Name]]),
    SalesData[[#This Row],[Unit Price]])</f>
        <v>15</v>
      </c>
      <c r="M784" s="15">
        <v>5.78</v>
      </c>
      <c r="N784" s="15">
        <f>SalesData[[#This Row],[Quantity Sold]] * SalesData[[#This Row],[Cleaned Unit Price]]</f>
        <v>75</v>
      </c>
      <c r="O784" s="15">
        <f>SalesData[[#This Row],[Quantity Sold]] * SalesData[[#This Row],[Unit Cost]]</f>
        <v>28.900000000000002</v>
      </c>
      <c r="P784" s="15">
        <f>SalesData[[#This Row],[Revenue]] - SalesData[[#This Row],[Cost]]</f>
        <v>46.099999999999994</v>
      </c>
      <c r="Q784" s="13">
        <f>IF(SalesData[[#This Row],[Revenue]]=0,0,SalesData[[#This Row],[Profit]]/SalesData[[#This Row],[Revenue]])</f>
        <v>0.61466666666666658</v>
      </c>
      <c r="R784" t="s">
        <v>1189</v>
      </c>
      <c r="S784" t="s">
        <v>1388</v>
      </c>
      <c r="T784" t="str">
        <f>PROPER(SalesData[[#This Row],[Customer Name]])</f>
        <v>Liam Garcia</v>
      </c>
      <c r="U784" t="s">
        <v>1416</v>
      </c>
      <c r="V784" t="s">
        <v>1418</v>
      </c>
    </row>
    <row r="785" spans="1:22" x14ac:dyDescent="0.25">
      <c r="A785" t="s">
        <v>2211</v>
      </c>
      <c r="B785" s="5">
        <v>45580</v>
      </c>
      <c r="C785" s="2" t="str">
        <f>TEXT(SalesData[[#This Row],[Order Date]],"mmm")</f>
        <v>Oct</v>
      </c>
      <c r="D785" s="7">
        <f>MONTH(SalesData[[#This Row],[Order Date]])</f>
        <v>10</v>
      </c>
      <c r="E785" s="7">
        <f>YEAR(SalesData[[#This Row],[Order Date]])</f>
        <v>2024</v>
      </c>
      <c r="F785" t="s">
        <v>799</v>
      </c>
      <c r="G785" t="str">
        <f>PROPER(SalesData[[#This Row],[Product Name]])</f>
        <v>Eco Canvas Tote Bag</v>
      </c>
      <c r="H785" t="s">
        <v>1013</v>
      </c>
      <c r="I785" t="str">
        <f>UPPER(SalesData[[#This Row],[Product Category]])</f>
        <v>BAGS</v>
      </c>
      <c r="J785">
        <v>6</v>
      </c>
      <c r="K785">
        <v>25</v>
      </c>
      <c r="L785" s="15">
        <f>IF(SalesData[[#This Row],[Unit Price]]="",
    AVERAGEIFS(SalesData[Unit Price],
               SalesData[Product Name],SalesData[[#This Row],[Product Name]]),
    SalesData[[#This Row],[Unit Price]])</f>
        <v>25</v>
      </c>
      <c r="M785" s="15">
        <v>7.31</v>
      </c>
      <c r="N785" s="15">
        <f>SalesData[[#This Row],[Quantity Sold]] * SalesData[[#This Row],[Cleaned Unit Price]]</f>
        <v>150</v>
      </c>
      <c r="O785" s="15">
        <f>SalesData[[#This Row],[Quantity Sold]] * SalesData[[#This Row],[Unit Cost]]</f>
        <v>43.86</v>
      </c>
      <c r="P785" s="15">
        <f>SalesData[[#This Row],[Revenue]] - SalesData[[#This Row],[Cost]]</f>
        <v>106.14</v>
      </c>
      <c r="Q785" s="13">
        <f>IF(SalesData[[#This Row],[Revenue]]=0,0,SalesData[[#This Row],[Profit]]/SalesData[[#This Row],[Revenue]])</f>
        <v>0.70760000000000001</v>
      </c>
      <c r="R785" t="s">
        <v>1123</v>
      </c>
      <c r="S785" t="s">
        <v>1322</v>
      </c>
      <c r="T785" t="str">
        <f>PROPER(SalesData[[#This Row],[Customer Name]])</f>
        <v>Logan Rodriguez</v>
      </c>
      <c r="U785" t="s">
        <v>1414</v>
      </c>
      <c r="V785" t="s">
        <v>1420</v>
      </c>
    </row>
    <row r="786" spans="1:22" x14ac:dyDescent="0.25">
      <c r="A786" t="s">
        <v>2212</v>
      </c>
      <c r="B786" s="5">
        <v>45580</v>
      </c>
      <c r="C786" s="2" t="str">
        <f>TEXT(SalesData[[#This Row],[Order Date]],"mmm")</f>
        <v>Oct</v>
      </c>
      <c r="D786" s="7">
        <f>MONTH(SalesData[[#This Row],[Order Date]])</f>
        <v>10</v>
      </c>
      <c r="E786" s="7">
        <f>YEAR(SalesData[[#This Row],[Order Date]])</f>
        <v>2024</v>
      </c>
      <c r="F786" t="s">
        <v>911</v>
      </c>
      <c r="G786" t="str">
        <f>PROPER(SalesData[[#This Row],[Product Name]])</f>
        <v>Eco Canvas Tote Bag</v>
      </c>
      <c r="H786" t="s">
        <v>1013</v>
      </c>
      <c r="I786" t="str">
        <f>UPPER(SalesData[[#This Row],[Product Category]])</f>
        <v>BAGS</v>
      </c>
      <c r="J786">
        <v>4</v>
      </c>
      <c r="K786">
        <v>25</v>
      </c>
      <c r="L786" s="15">
        <f>IF(SalesData[[#This Row],[Unit Price]]="",
    AVERAGEIFS(SalesData[Unit Price],
               SalesData[Product Name],SalesData[[#This Row],[Product Name]]),
    SalesData[[#This Row],[Unit Price]])</f>
        <v>25</v>
      </c>
      <c r="M786" s="15">
        <v>5.44</v>
      </c>
      <c r="N786" s="15">
        <f>SalesData[[#This Row],[Quantity Sold]] * SalesData[[#This Row],[Cleaned Unit Price]]</f>
        <v>100</v>
      </c>
      <c r="O786" s="15">
        <f>SalesData[[#This Row],[Quantity Sold]] * SalesData[[#This Row],[Unit Cost]]</f>
        <v>21.76</v>
      </c>
      <c r="P786" s="15">
        <f>SalesData[[#This Row],[Revenue]] - SalesData[[#This Row],[Cost]]</f>
        <v>78.239999999999995</v>
      </c>
      <c r="Q786" s="13">
        <f>IF(SalesData[[#This Row],[Revenue]]=0,0,SalesData[[#This Row],[Profit]]/SalesData[[#This Row],[Revenue]])</f>
        <v>0.78239999999999998</v>
      </c>
      <c r="R786" t="s">
        <v>1214</v>
      </c>
      <c r="S786" t="s">
        <v>1413</v>
      </c>
      <c r="T786" t="str">
        <f>PROPER(SalesData[[#This Row],[Customer Name]])</f>
        <v>Noah Garcia</v>
      </c>
      <c r="U786" t="s">
        <v>1414</v>
      </c>
      <c r="V786" t="s">
        <v>1423</v>
      </c>
    </row>
    <row r="787" spans="1:22" x14ac:dyDescent="0.25">
      <c r="A787" t="s">
        <v>2213</v>
      </c>
      <c r="B787" s="5">
        <v>45581</v>
      </c>
      <c r="C787" s="2" t="str">
        <f>TEXT(SalesData[[#This Row],[Order Date]],"mmm")</f>
        <v>Oct</v>
      </c>
      <c r="D787" s="7">
        <f>MONTH(SalesData[[#This Row],[Order Date]])</f>
        <v>10</v>
      </c>
      <c r="E787" s="7">
        <f>YEAR(SalesData[[#This Row],[Order Date]])</f>
        <v>2024</v>
      </c>
      <c r="F787" t="s">
        <v>250</v>
      </c>
      <c r="G787" t="str">
        <f>PROPER(SalesData[[#This Row],[Product Name]])</f>
        <v>Solar Led Lantern</v>
      </c>
      <c r="H787" t="s">
        <v>1012</v>
      </c>
      <c r="I787" t="str">
        <f>UPPER(SalesData[[#This Row],[Product Category]])</f>
        <v>LIGHTING</v>
      </c>
      <c r="J787">
        <v>1</v>
      </c>
      <c r="K787">
        <v>40</v>
      </c>
      <c r="L787" s="15">
        <f>IF(SalesData[[#This Row],[Unit Price]]="",
    AVERAGEIFS(SalesData[Unit Price],
               SalesData[Product Name],SalesData[[#This Row],[Product Name]]),
    SalesData[[#This Row],[Unit Price]])</f>
        <v>40</v>
      </c>
      <c r="M787" s="15">
        <v>15.04</v>
      </c>
      <c r="N787" s="15">
        <f>SalesData[[#This Row],[Quantity Sold]] * SalesData[[#This Row],[Cleaned Unit Price]]</f>
        <v>40</v>
      </c>
      <c r="O787" s="15">
        <f>SalesData[[#This Row],[Quantity Sold]] * SalesData[[#This Row],[Unit Cost]]</f>
        <v>15.04</v>
      </c>
      <c r="P787" s="15">
        <f>SalesData[[#This Row],[Revenue]] - SalesData[[#This Row],[Cost]]</f>
        <v>24.96</v>
      </c>
      <c r="Q787" s="13">
        <f>IF(SalesData[[#This Row],[Revenue]]=0,0,SalesData[[#This Row],[Profit]]/SalesData[[#This Row],[Revenue]])</f>
        <v>0.624</v>
      </c>
      <c r="R787" t="s">
        <v>1158</v>
      </c>
      <c r="S787" t="s">
        <v>1357</v>
      </c>
      <c r="T787" t="str">
        <f>PROPER(SalesData[[#This Row],[Customer Name]])</f>
        <v>James Brown</v>
      </c>
      <c r="U787" t="s">
        <v>1416</v>
      </c>
      <c r="V787" t="s">
        <v>1419</v>
      </c>
    </row>
    <row r="788" spans="1:22" x14ac:dyDescent="0.25">
      <c r="A788" t="s">
        <v>2214</v>
      </c>
      <c r="B788" s="5">
        <v>45581</v>
      </c>
      <c r="C788" s="2" t="str">
        <f>TEXT(SalesData[[#This Row],[Order Date]],"mmm")</f>
        <v>Oct</v>
      </c>
      <c r="D788" s="7">
        <f>MONTH(SalesData[[#This Row],[Order Date]])</f>
        <v>10</v>
      </c>
      <c r="E788" s="7">
        <f>YEAR(SalesData[[#This Row],[Order Date]])</f>
        <v>2024</v>
      </c>
      <c r="F788" t="s">
        <v>696</v>
      </c>
      <c r="G788" t="str">
        <f>PROPER(SalesData[[#This Row],[Product Name]])</f>
        <v>Reusable Bamboo Utensil Set</v>
      </c>
      <c r="H788" t="s">
        <v>1014</v>
      </c>
      <c r="I788" t="str">
        <f>UPPER(SalesData[[#This Row],[Product Category]])</f>
        <v>KITCHENWARE</v>
      </c>
      <c r="J788">
        <v>9</v>
      </c>
      <c r="K788">
        <v>15</v>
      </c>
      <c r="L788" s="15">
        <f>IF(SalesData[[#This Row],[Unit Price]]="",
    AVERAGEIFS(SalesData[Unit Price],
               SalesData[Product Name],SalesData[[#This Row],[Product Name]]),
    SalesData[[#This Row],[Unit Price]])</f>
        <v>15</v>
      </c>
      <c r="M788" s="15">
        <v>4.9000000000000004</v>
      </c>
      <c r="N788" s="15">
        <f>SalesData[[#This Row],[Quantity Sold]] * SalesData[[#This Row],[Cleaned Unit Price]]</f>
        <v>135</v>
      </c>
      <c r="O788" s="15">
        <f>SalesData[[#This Row],[Quantity Sold]] * SalesData[[#This Row],[Unit Cost]]</f>
        <v>44.1</v>
      </c>
      <c r="P788" s="15">
        <f>SalesData[[#This Row],[Revenue]] - SalesData[[#This Row],[Cost]]</f>
        <v>90.9</v>
      </c>
      <c r="Q788" s="13">
        <f>IF(SalesData[[#This Row],[Revenue]]=0,0,SalesData[[#This Row],[Profit]]/SalesData[[#This Row],[Revenue]])</f>
        <v>0.67333333333333334</v>
      </c>
      <c r="R788" t="s">
        <v>1147</v>
      </c>
      <c r="S788" t="s">
        <v>1346</v>
      </c>
      <c r="T788" t="str">
        <f>PROPER(SalesData[[#This Row],[Customer Name]])</f>
        <v>Ava Jones</v>
      </c>
      <c r="U788" t="s">
        <v>1416</v>
      </c>
      <c r="V788" t="s">
        <v>1426</v>
      </c>
    </row>
    <row r="789" spans="1:22" x14ac:dyDescent="0.25">
      <c r="A789" t="s">
        <v>2215</v>
      </c>
      <c r="B789" s="5">
        <v>45581</v>
      </c>
      <c r="C789" s="2" t="str">
        <f>TEXT(SalesData[[#This Row],[Order Date]],"mmm")</f>
        <v>Oct</v>
      </c>
      <c r="D789" s="7">
        <f>MONTH(SalesData[[#This Row],[Order Date]])</f>
        <v>10</v>
      </c>
      <c r="E789" s="7">
        <f>YEAR(SalesData[[#This Row],[Order Date]])</f>
        <v>2024</v>
      </c>
      <c r="F789" t="s">
        <v>931</v>
      </c>
      <c r="G789" t="str">
        <f>PROPER(SalesData[[#This Row],[Product Name]])</f>
        <v>Solar Led Lantern</v>
      </c>
      <c r="H789" t="s">
        <v>1012</v>
      </c>
      <c r="I789" t="str">
        <f>UPPER(SalesData[[#This Row],[Product Category]])</f>
        <v>LIGHTING</v>
      </c>
      <c r="J789">
        <v>6</v>
      </c>
      <c r="K789">
        <v>40</v>
      </c>
      <c r="L789" s="15">
        <f>IF(SalesData[[#This Row],[Unit Price]]="",
    AVERAGEIFS(SalesData[Unit Price],
               SalesData[Product Name],SalesData[[#This Row],[Product Name]]),
    SalesData[[#This Row],[Unit Price]])</f>
        <v>40</v>
      </c>
      <c r="M789" s="15">
        <v>11.76</v>
      </c>
      <c r="N789" s="15">
        <f>SalesData[[#This Row],[Quantity Sold]] * SalesData[[#This Row],[Cleaned Unit Price]]</f>
        <v>240</v>
      </c>
      <c r="O789" s="15">
        <f>SalesData[[#This Row],[Quantity Sold]] * SalesData[[#This Row],[Unit Cost]]</f>
        <v>70.56</v>
      </c>
      <c r="P789" s="15">
        <f>SalesData[[#This Row],[Revenue]] - SalesData[[#This Row],[Cost]]</f>
        <v>169.44</v>
      </c>
      <c r="Q789" s="13">
        <f>IF(SalesData[[#This Row],[Revenue]]=0,0,SalesData[[#This Row],[Profit]]/SalesData[[#This Row],[Revenue]])</f>
        <v>0.70599999999999996</v>
      </c>
      <c r="R789" t="s">
        <v>1164</v>
      </c>
      <c r="S789" t="s">
        <v>1363</v>
      </c>
      <c r="T789" t="str">
        <f>PROPER(SalesData[[#This Row],[Customer Name]])</f>
        <v>Amelia Jones</v>
      </c>
      <c r="U789" t="s">
        <v>1414</v>
      </c>
      <c r="V789" t="s">
        <v>1427</v>
      </c>
    </row>
    <row r="790" spans="1:22" x14ac:dyDescent="0.25">
      <c r="A790" t="s">
        <v>2216</v>
      </c>
      <c r="B790" s="5">
        <v>45581</v>
      </c>
      <c r="C790" s="2" t="str">
        <f>TEXT(SalesData[[#This Row],[Order Date]],"mmm")</f>
        <v>Oct</v>
      </c>
      <c r="D790" s="7">
        <f>MONTH(SalesData[[#This Row],[Order Date]])</f>
        <v>10</v>
      </c>
      <c r="E790" s="7">
        <f>YEAR(SalesData[[#This Row],[Order Date]])</f>
        <v>2024</v>
      </c>
      <c r="F790" t="s">
        <v>950</v>
      </c>
      <c r="G790" t="str">
        <f>PROPER(SalesData[[#This Row],[Product Name]])</f>
        <v>Compostable Plant Pots</v>
      </c>
      <c r="H790" t="s">
        <v>1011</v>
      </c>
      <c r="I790" t="str">
        <f>UPPER(SalesData[[#This Row],[Product Category]])</f>
        <v>GARDENING</v>
      </c>
      <c r="J790">
        <v>5</v>
      </c>
      <c r="K790">
        <v>12</v>
      </c>
      <c r="L790" s="15">
        <f>IF(SalesData[[#This Row],[Unit Price]]="",
    AVERAGEIFS(SalesData[Unit Price],
               SalesData[Product Name],SalesData[[#This Row],[Product Name]]),
    SalesData[[#This Row],[Unit Price]])</f>
        <v>12</v>
      </c>
      <c r="M790" s="15">
        <v>4.68</v>
      </c>
      <c r="N790" s="15">
        <f>SalesData[[#This Row],[Quantity Sold]] * SalesData[[#This Row],[Cleaned Unit Price]]</f>
        <v>60</v>
      </c>
      <c r="O790" s="15">
        <f>SalesData[[#This Row],[Quantity Sold]] * SalesData[[#This Row],[Unit Cost]]</f>
        <v>23.4</v>
      </c>
      <c r="P790" s="15">
        <f>SalesData[[#This Row],[Revenue]] - SalesData[[#This Row],[Cost]]</f>
        <v>36.6</v>
      </c>
      <c r="Q790" s="13">
        <f>IF(SalesData[[#This Row],[Revenue]]=0,0,SalesData[[#This Row],[Profit]]/SalesData[[#This Row],[Revenue]])</f>
        <v>0.61</v>
      </c>
      <c r="R790" t="s">
        <v>1144</v>
      </c>
      <c r="S790" t="s">
        <v>1343</v>
      </c>
      <c r="T790" t="str">
        <f>PROPER(SalesData[[#This Row],[Customer Name]])</f>
        <v>Ava Davis</v>
      </c>
      <c r="U790" t="s">
        <v>1416</v>
      </c>
      <c r="V790" t="s">
        <v>1426</v>
      </c>
    </row>
    <row r="791" spans="1:22" x14ac:dyDescent="0.25">
      <c r="A791" t="s">
        <v>2217</v>
      </c>
      <c r="B791" s="5">
        <v>45582</v>
      </c>
      <c r="C791" s="2" t="str">
        <f>TEXT(SalesData[[#This Row],[Order Date]],"mmm")</f>
        <v>Oct</v>
      </c>
      <c r="D791" s="7">
        <f>MONTH(SalesData[[#This Row],[Order Date]])</f>
        <v>10</v>
      </c>
      <c r="E791" s="7">
        <f>YEAR(SalesData[[#This Row],[Order Date]])</f>
        <v>2024</v>
      </c>
      <c r="F791" t="s">
        <v>58</v>
      </c>
      <c r="G791" t="str">
        <f>PROPER(SalesData[[#This Row],[Product Name]])</f>
        <v>Reusable Bamboo Utensil Set</v>
      </c>
      <c r="H791" t="s">
        <v>1014</v>
      </c>
      <c r="I791" t="str">
        <f>UPPER(SalesData[[#This Row],[Product Category]])</f>
        <v>KITCHENWARE</v>
      </c>
      <c r="J791">
        <v>7</v>
      </c>
      <c r="K791">
        <v>15</v>
      </c>
      <c r="L791" s="15">
        <f>IF(SalesData[[#This Row],[Unit Price]]="",
    AVERAGEIFS(SalesData[Unit Price],
               SalesData[Product Name],SalesData[[#This Row],[Product Name]]),
    SalesData[[#This Row],[Unit Price]])</f>
        <v>15</v>
      </c>
      <c r="M791" s="15">
        <v>4.3899999999999997</v>
      </c>
      <c r="N791" s="15">
        <f>SalesData[[#This Row],[Quantity Sold]] * SalesData[[#This Row],[Cleaned Unit Price]]</f>
        <v>105</v>
      </c>
      <c r="O791" s="15">
        <f>SalesData[[#This Row],[Quantity Sold]] * SalesData[[#This Row],[Unit Cost]]</f>
        <v>30.729999999999997</v>
      </c>
      <c r="P791" s="15">
        <f>SalesData[[#This Row],[Revenue]] - SalesData[[#This Row],[Cost]]</f>
        <v>74.27000000000001</v>
      </c>
      <c r="Q791" s="13">
        <f>IF(SalesData[[#This Row],[Revenue]]=0,0,SalesData[[#This Row],[Profit]]/SalesData[[#This Row],[Revenue]])</f>
        <v>0.70733333333333348</v>
      </c>
      <c r="R791" t="s">
        <v>1056</v>
      </c>
      <c r="S791" t="s">
        <v>1255</v>
      </c>
      <c r="T791" t="str">
        <f>PROPER(SalesData[[#This Row],[Customer Name]])</f>
        <v>Noah Martinez</v>
      </c>
      <c r="U791" t="s">
        <v>1414</v>
      </c>
      <c r="V791" t="s">
        <v>1421</v>
      </c>
    </row>
    <row r="792" spans="1:22" x14ac:dyDescent="0.25">
      <c r="A792" t="s">
        <v>2218</v>
      </c>
      <c r="B792" s="5">
        <v>45582</v>
      </c>
      <c r="C792" s="2" t="str">
        <f>TEXT(SalesData[[#This Row],[Order Date]],"mmm")</f>
        <v>Oct</v>
      </c>
      <c r="D792" s="7">
        <f>MONTH(SalesData[[#This Row],[Order Date]])</f>
        <v>10</v>
      </c>
      <c r="E792" s="7">
        <f>YEAR(SalesData[[#This Row],[Order Date]])</f>
        <v>2024</v>
      </c>
      <c r="F792" t="s">
        <v>78</v>
      </c>
      <c r="G792" t="str">
        <f>PROPER(SalesData[[#This Row],[Product Name]])</f>
        <v>Compostable Plant Pots</v>
      </c>
      <c r="H792" t="s">
        <v>1011</v>
      </c>
      <c r="I792" t="str">
        <f>UPPER(SalesData[[#This Row],[Product Category]])</f>
        <v>GARDENING</v>
      </c>
      <c r="J792">
        <v>7</v>
      </c>
      <c r="K792">
        <v>12</v>
      </c>
      <c r="L792" s="15">
        <f>IF(SalesData[[#This Row],[Unit Price]]="",
    AVERAGEIFS(SalesData[Unit Price],
               SalesData[Product Name],SalesData[[#This Row],[Product Name]]),
    SalesData[[#This Row],[Unit Price]])</f>
        <v>12</v>
      </c>
      <c r="M792" s="15">
        <v>4.01</v>
      </c>
      <c r="N792" s="15">
        <f>SalesData[[#This Row],[Quantity Sold]] * SalesData[[#This Row],[Cleaned Unit Price]]</f>
        <v>84</v>
      </c>
      <c r="O792" s="15">
        <f>SalesData[[#This Row],[Quantity Sold]] * SalesData[[#This Row],[Unit Cost]]</f>
        <v>28.07</v>
      </c>
      <c r="P792" s="15">
        <f>SalesData[[#This Row],[Revenue]] - SalesData[[#This Row],[Cost]]</f>
        <v>55.93</v>
      </c>
      <c r="Q792" s="13">
        <f>IF(SalesData[[#This Row],[Revenue]]=0,0,SalesData[[#This Row],[Profit]]/SalesData[[#This Row],[Revenue]])</f>
        <v>0.66583333333333328</v>
      </c>
      <c r="R792" t="s">
        <v>1047</v>
      </c>
      <c r="S792" t="s">
        <v>1246</v>
      </c>
      <c r="T792" t="str">
        <f>PROPER(SalesData[[#This Row],[Customer Name]])</f>
        <v>Mia Johnson</v>
      </c>
      <c r="U792" t="s">
        <v>1414</v>
      </c>
      <c r="V792" t="s">
        <v>1423</v>
      </c>
    </row>
    <row r="793" spans="1:22" x14ac:dyDescent="0.25">
      <c r="A793" t="s">
        <v>2219</v>
      </c>
      <c r="B793" s="5">
        <v>45582</v>
      </c>
      <c r="C793" s="2" t="str">
        <f>TEXT(SalesData[[#This Row],[Order Date]],"mmm")</f>
        <v>Oct</v>
      </c>
      <c r="D793" s="7">
        <f>MONTH(SalesData[[#This Row],[Order Date]])</f>
        <v>10</v>
      </c>
      <c r="E793" s="7">
        <f>YEAR(SalesData[[#This Row],[Order Date]])</f>
        <v>2024</v>
      </c>
      <c r="F793" t="s">
        <v>260</v>
      </c>
      <c r="G793" t="str">
        <f>PROPER(SalesData[[#This Row],[Product Name]])</f>
        <v>Reusable Bamboo Utensil Set</v>
      </c>
      <c r="H793" t="s">
        <v>1014</v>
      </c>
      <c r="I793" t="str">
        <f>UPPER(SalesData[[#This Row],[Product Category]])</f>
        <v>KITCHENWARE</v>
      </c>
      <c r="J793">
        <v>6</v>
      </c>
      <c r="K793">
        <v>15</v>
      </c>
      <c r="L793" s="15">
        <f>IF(SalesData[[#This Row],[Unit Price]]="",
    AVERAGEIFS(SalesData[Unit Price],
               SalesData[Product Name],SalesData[[#This Row],[Product Name]]),
    SalesData[[#This Row],[Unit Price]])</f>
        <v>15</v>
      </c>
      <c r="M793" s="15">
        <v>3.88</v>
      </c>
      <c r="N793" s="15">
        <f>SalesData[[#This Row],[Quantity Sold]] * SalesData[[#This Row],[Cleaned Unit Price]]</f>
        <v>90</v>
      </c>
      <c r="O793" s="15">
        <f>SalesData[[#This Row],[Quantity Sold]] * SalesData[[#This Row],[Unit Cost]]</f>
        <v>23.28</v>
      </c>
      <c r="P793" s="15">
        <f>SalesData[[#This Row],[Revenue]] - SalesData[[#This Row],[Cost]]</f>
        <v>66.72</v>
      </c>
      <c r="Q793" s="13">
        <f>IF(SalesData[[#This Row],[Revenue]]=0,0,SalesData[[#This Row],[Profit]]/SalesData[[#This Row],[Revenue]])</f>
        <v>0.74133333333333329</v>
      </c>
      <c r="R793" t="s">
        <v>1082</v>
      </c>
      <c r="S793" t="s">
        <v>1281</v>
      </c>
      <c r="T793" t="str">
        <f>PROPER(SalesData[[#This Row],[Customer Name]])</f>
        <v>Mia Brown</v>
      </c>
      <c r="U793" t="s">
        <v>1416</v>
      </c>
      <c r="V793" t="s">
        <v>1425</v>
      </c>
    </row>
    <row r="794" spans="1:22" x14ac:dyDescent="0.25">
      <c r="A794" t="s">
        <v>2220</v>
      </c>
      <c r="B794" s="5">
        <v>45582</v>
      </c>
      <c r="C794" s="2" t="str">
        <f>TEXT(SalesData[[#This Row],[Order Date]],"mmm")</f>
        <v>Oct</v>
      </c>
      <c r="D794" s="7">
        <f>MONTH(SalesData[[#This Row],[Order Date]])</f>
        <v>10</v>
      </c>
      <c r="E794" s="7">
        <f>YEAR(SalesData[[#This Row],[Order Date]])</f>
        <v>2024</v>
      </c>
      <c r="F794" t="s">
        <v>347</v>
      </c>
      <c r="G794" t="str">
        <f>PROPER(SalesData[[#This Row],[Product Name]])</f>
        <v>Eco Canvas Tote Bag</v>
      </c>
      <c r="H794" t="s">
        <v>1013</v>
      </c>
      <c r="I794" t="str">
        <f>UPPER(SalesData[[#This Row],[Product Category]])</f>
        <v>BAGS</v>
      </c>
      <c r="J794">
        <v>6</v>
      </c>
      <c r="K794">
        <v>25</v>
      </c>
      <c r="L794" s="15">
        <f>IF(SalesData[[#This Row],[Unit Price]]="",
    AVERAGEIFS(SalesData[Unit Price],
               SalesData[Product Name],SalesData[[#This Row],[Product Name]]),
    SalesData[[#This Row],[Unit Price]])</f>
        <v>25</v>
      </c>
      <c r="M794" s="15">
        <v>6.57</v>
      </c>
      <c r="N794" s="15">
        <f>SalesData[[#This Row],[Quantity Sold]] * SalesData[[#This Row],[Cleaned Unit Price]]</f>
        <v>150</v>
      </c>
      <c r="O794" s="15">
        <f>SalesData[[#This Row],[Quantity Sold]] * SalesData[[#This Row],[Unit Cost]]</f>
        <v>39.42</v>
      </c>
      <c r="P794" s="15">
        <f>SalesData[[#This Row],[Revenue]] - SalesData[[#This Row],[Cost]]</f>
        <v>110.58</v>
      </c>
      <c r="Q794" s="13">
        <f>IF(SalesData[[#This Row],[Revenue]]=0,0,SalesData[[#This Row],[Profit]]/SalesData[[#This Row],[Revenue]])</f>
        <v>0.73719999999999997</v>
      </c>
      <c r="R794" t="s">
        <v>1085</v>
      </c>
      <c r="S794" t="s">
        <v>1284</v>
      </c>
      <c r="T794" t="str">
        <f>PROPER(SalesData[[#This Row],[Customer Name]])</f>
        <v>Harper Garcia</v>
      </c>
      <c r="U794" t="s">
        <v>1416</v>
      </c>
      <c r="V794" t="s">
        <v>1424</v>
      </c>
    </row>
    <row r="795" spans="1:22" x14ac:dyDescent="0.25">
      <c r="A795" t="s">
        <v>2221</v>
      </c>
      <c r="B795" s="5">
        <v>45582</v>
      </c>
      <c r="C795" s="2" t="str">
        <f>TEXT(SalesData[[#This Row],[Order Date]],"mmm")</f>
        <v>Oct</v>
      </c>
      <c r="D795" s="7">
        <f>MONTH(SalesData[[#This Row],[Order Date]])</f>
        <v>10</v>
      </c>
      <c r="E795" s="7">
        <f>YEAR(SalesData[[#This Row],[Order Date]])</f>
        <v>2024</v>
      </c>
      <c r="F795" t="s">
        <v>365</v>
      </c>
      <c r="G795" t="str">
        <f>PROPER(SalesData[[#This Row],[Product Name]])</f>
        <v>Biodegradable Cleaning Cloth</v>
      </c>
      <c r="H795" t="s">
        <v>1015</v>
      </c>
      <c r="I795" t="str">
        <f>UPPER(SalesData[[#This Row],[Product Category]])</f>
        <v>CLEANING</v>
      </c>
      <c r="J795">
        <v>7</v>
      </c>
      <c r="K795">
        <v>10</v>
      </c>
      <c r="L795" s="15">
        <f>IF(SalesData[[#This Row],[Unit Price]]="",
    AVERAGEIFS(SalesData[Unit Price],
               SalesData[Product Name],SalesData[[#This Row],[Product Name]]),
    SalesData[[#This Row],[Unit Price]])</f>
        <v>10</v>
      </c>
      <c r="M795" s="15">
        <v>3.92</v>
      </c>
      <c r="N795" s="15">
        <f>SalesData[[#This Row],[Quantity Sold]] * SalesData[[#This Row],[Cleaned Unit Price]]</f>
        <v>70</v>
      </c>
      <c r="O795" s="15">
        <f>SalesData[[#This Row],[Quantity Sold]] * SalesData[[#This Row],[Unit Cost]]</f>
        <v>27.439999999999998</v>
      </c>
      <c r="P795" s="15">
        <f>SalesData[[#This Row],[Revenue]] - SalesData[[#This Row],[Cost]]</f>
        <v>42.56</v>
      </c>
      <c r="Q795" s="13">
        <f>IF(SalesData[[#This Row],[Revenue]]=0,0,SalesData[[#This Row],[Profit]]/SalesData[[#This Row],[Revenue]])</f>
        <v>0.60799999999999998</v>
      </c>
      <c r="R795" t="s">
        <v>1057</v>
      </c>
      <c r="S795" t="s">
        <v>1256</v>
      </c>
      <c r="T795" t="str">
        <f>PROPER(SalesData[[#This Row],[Customer Name]])</f>
        <v>Isabella Garcia</v>
      </c>
      <c r="U795" t="s">
        <v>1415</v>
      </c>
      <c r="V795" t="s">
        <v>1419</v>
      </c>
    </row>
    <row r="796" spans="1:22" x14ac:dyDescent="0.25">
      <c r="A796" t="s">
        <v>2222</v>
      </c>
      <c r="B796" s="5">
        <v>45582</v>
      </c>
      <c r="C796" s="2" t="str">
        <f>TEXT(SalesData[[#This Row],[Order Date]],"mmm")</f>
        <v>Oct</v>
      </c>
      <c r="D796" s="7">
        <f>MONTH(SalesData[[#This Row],[Order Date]])</f>
        <v>10</v>
      </c>
      <c r="E796" s="7">
        <f>YEAR(SalesData[[#This Row],[Order Date]])</f>
        <v>2024</v>
      </c>
      <c r="F796" t="s">
        <v>394</v>
      </c>
      <c r="G796" t="str">
        <f>PROPER(SalesData[[#This Row],[Product Name]])</f>
        <v>Biodegradable Cleaning Cloth</v>
      </c>
      <c r="H796" t="s">
        <v>1015</v>
      </c>
      <c r="I796" t="str">
        <f>UPPER(SalesData[[#This Row],[Product Category]])</f>
        <v>CLEANING</v>
      </c>
      <c r="J796">
        <v>4</v>
      </c>
      <c r="K796">
        <v>10</v>
      </c>
      <c r="L796" s="15">
        <f>IF(SalesData[[#This Row],[Unit Price]]="",
    AVERAGEIFS(SalesData[Unit Price],
               SalesData[Product Name],SalesData[[#This Row],[Product Name]]),
    SalesData[[#This Row],[Unit Price]])</f>
        <v>10</v>
      </c>
      <c r="M796" s="15">
        <v>2.33</v>
      </c>
      <c r="N796" s="15">
        <f>SalesData[[#This Row],[Quantity Sold]] * SalesData[[#This Row],[Cleaned Unit Price]]</f>
        <v>40</v>
      </c>
      <c r="O796" s="15">
        <f>SalesData[[#This Row],[Quantity Sold]] * SalesData[[#This Row],[Unit Cost]]</f>
        <v>9.32</v>
      </c>
      <c r="P796" s="15">
        <f>SalesData[[#This Row],[Revenue]] - SalesData[[#This Row],[Cost]]</f>
        <v>30.68</v>
      </c>
      <c r="Q796" s="13">
        <f>IF(SalesData[[#This Row],[Revenue]]=0,0,SalesData[[#This Row],[Profit]]/SalesData[[#This Row],[Revenue]])</f>
        <v>0.76700000000000002</v>
      </c>
      <c r="R796" t="s">
        <v>1165</v>
      </c>
      <c r="S796" t="s">
        <v>1364</v>
      </c>
      <c r="T796" t="str">
        <f>PROPER(SalesData[[#This Row],[Customer Name]])</f>
        <v>Elijah Davis</v>
      </c>
      <c r="U796" t="s">
        <v>1414</v>
      </c>
      <c r="V796" t="s">
        <v>1420</v>
      </c>
    </row>
    <row r="797" spans="1:22" x14ac:dyDescent="0.25">
      <c r="A797" t="s">
        <v>2223</v>
      </c>
      <c r="B797" s="5">
        <v>45582</v>
      </c>
      <c r="C797" s="2" t="str">
        <f>TEXT(SalesData[[#This Row],[Order Date]],"mmm")</f>
        <v>Oct</v>
      </c>
      <c r="D797" s="7">
        <f>MONTH(SalesData[[#This Row],[Order Date]])</f>
        <v>10</v>
      </c>
      <c r="E797" s="7">
        <f>YEAR(SalesData[[#This Row],[Order Date]])</f>
        <v>2024</v>
      </c>
      <c r="F797" t="s">
        <v>412</v>
      </c>
      <c r="G797" t="str">
        <f>PROPER(SalesData[[#This Row],[Product Name]])</f>
        <v>Biodegradable Cleaning Cloth</v>
      </c>
      <c r="H797" t="s">
        <v>1015</v>
      </c>
      <c r="I797" t="str">
        <f>UPPER(SalesData[[#This Row],[Product Category]])</f>
        <v>CLEANING</v>
      </c>
      <c r="J797">
        <v>2</v>
      </c>
      <c r="K797">
        <v>10</v>
      </c>
      <c r="L797" s="15">
        <f>IF(SalesData[[#This Row],[Unit Price]]="",
    AVERAGEIFS(SalesData[Unit Price],
               SalesData[Product Name],SalesData[[#This Row],[Product Name]]),
    SalesData[[#This Row],[Unit Price]])</f>
        <v>10</v>
      </c>
      <c r="M797" s="15">
        <v>3.79</v>
      </c>
      <c r="N797" s="15">
        <f>SalesData[[#This Row],[Quantity Sold]] * SalesData[[#This Row],[Cleaned Unit Price]]</f>
        <v>20</v>
      </c>
      <c r="O797" s="15">
        <f>SalesData[[#This Row],[Quantity Sold]] * SalesData[[#This Row],[Unit Cost]]</f>
        <v>7.58</v>
      </c>
      <c r="P797" s="15">
        <f>SalesData[[#This Row],[Revenue]] - SalesData[[#This Row],[Cost]]</f>
        <v>12.42</v>
      </c>
      <c r="Q797" s="13">
        <f>IF(SalesData[[#This Row],[Revenue]]=0,0,SalesData[[#This Row],[Profit]]/SalesData[[#This Row],[Revenue]])</f>
        <v>0.621</v>
      </c>
      <c r="R797" t="s">
        <v>1187</v>
      </c>
      <c r="S797" t="s">
        <v>1386</v>
      </c>
      <c r="T797" t="str">
        <f>PROPER(SalesData[[#This Row],[Customer Name]])</f>
        <v>Liam Jones</v>
      </c>
      <c r="U797" t="s">
        <v>1414</v>
      </c>
      <c r="V797" t="s">
        <v>1427</v>
      </c>
    </row>
    <row r="798" spans="1:22" x14ac:dyDescent="0.25">
      <c r="A798" t="s">
        <v>2224</v>
      </c>
      <c r="B798" s="5">
        <v>45583</v>
      </c>
      <c r="C798" s="2" t="str">
        <f>TEXT(SalesData[[#This Row],[Order Date]],"mmm")</f>
        <v>Oct</v>
      </c>
      <c r="D798" s="7">
        <f>MONTH(SalesData[[#This Row],[Order Date]])</f>
        <v>10</v>
      </c>
      <c r="E798" s="7">
        <f>YEAR(SalesData[[#This Row],[Order Date]])</f>
        <v>2024</v>
      </c>
      <c r="F798" t="s">
        <v>530</v>
      </c>
      <c r="G798" t="str">
        <f>PROPER(SalesData[[#This Row],[Product Name]])</f>
        <v>Compostable Plant Pots</v>
      </c>
      <c r="H798" t="s">
        <v>1011</v>
      </c>
      <c r="I798" t="str">
        <f>UPPER(SalesData[[#This Row],[Product Category]])</f>
        <v>GARDENING</v>
      </c>
      <c r="J798">
        <v>4</v>
      </c>
      <c r="K798">
        <v>12</v>
      </c>
      <c r="L798" s="15">
        <f>IF(SalesData[[#This Row],[Unit Price]]="",
    AVERAGEIFS(SalesData[Unit Price],
               SalesData[Product Name],SalesData[[#This Row],[Product Name]]),
    SalesData[[#This Row],[Unit Price]])</f>
        <v>12</v>
      </c>
      <c r="M798" s="15">
        <v>4.72</v>
      </c>
      <c r="N798" s="15">
        <f>SalesData[[#This Row],[Quantity Sold]] * SalesData[[#This Row],[Cleaned Unit Price]]</f>
        <v>48</v>
      </c>
      <c r="O798" s="15">
        <f>SalesData[[#This Row],[Quantity Sold]] * SalesData[[#This Row],[Unit Cost]]</f>
        <v>18.88</v>
      </c>
      <c r="P798" s="15">
        <f>SalesData[[#This Row],[Revenue]] - SalesData[[#This Row],[Cost]]</f>
        <v>29.12</v>
      </c>
      <c r="Q798" s="13">
        <f>IF(SalesData[[#This Row],[Revenue]]=0,0,SalesData[[#This Row],[Profit]]/SalesData[[#This Row],[Revenue]])</f>
        <v>0.60666666666666669</v>
      </c>
      <c r="R798" t="s">
        <v>1048</v>
      </c>
      <c r="S798" t="s">
        <v>1247</v>
      </c>
      <c r="T798" t="str">
        <f>PROPER(SalesData[[#This Row],[Customer Name]])</f>
        <v>Mason Davis</v>
      </c>
      <c r="U798" t="s">
        <v>1414</v>
      </c>
      <c r="V798" t="s">
        <v>1424</v>
      </c>
    </row>
    <row r="799" spans="1:22" x14ac:dyDescent="0.25">
      <c r="A799" t="s">
        <v>2225</v>
      </c>
      <c r="B799" s="5">
        <v>45583</v>
      </c>
      <c r="C799" s="2" t="str">
        <f>TEXT(SalesData[[#This Row],[Order Date]],"mmm")</f>
        <v>Oct</v>
      </c>
      <c r="D799" s="7">
        <f>MONTH(SalesData[[#This Row],[Order Date]])</f>
        <v>10</v>
      </c>
      <c r="E799" s="7">
        <f>YEAR(SalesData[[#This Row],[Order Date]])</f>
        <v>2024</v>
      </c>
      <c r="F799" t="s">
        <v>970</v>
      </c>
      <c r="G799" t="str">
        <f>PROPER(SalesData[[#This Row],[Product Name]])</f>
        <v>Reusable Bamboo Utensil Set</v>
      </c>
      <c r="H799" t="s">
        <v>1014</v>
      </c>
      <c r="I799" t="str">
        <f>UPPER(SalesData[[#This Row],[Product Category]])</f>
        <v>KITCHENWARE</v>
      </c>
      <c r="J799">
        <v>1</v>
      </c>
      <c r="K799">
        <v>15</v>
      </c>
      <c r="L799" s="15">
        <f>IF(SalesData[[#This Row],[Unit Price]]="",
    AVERAGEIFS(SalesData[Unit Price],
               SalesData[Product Name],SalesData[[#This Row],[Product Name]]),
    SalesData[[#This Row],[Unit Price]])</f>
        <v>15</v>
      </c>
      <c r="M799" s="15">
        <v>4.58</v>
      </c>
      <c r="N799" s="15">
        <f>SalesData[[#This Row],[Quantity Sold]] * SalesData[[#This Row],[Cleaned Unit Price]]</f>
        <v>15</v>
      </c>
      <c r="O799" s="15">
        <f>SalesData[[#This Row],[Quantity Sold]] * SalesData[[#This Row],[Unit Cost]]</f>
        <v>4.58</v>
      </c>
      <c r="P799" s="15">
        <f>SalesData[[#This Row],[Revenue]] - SalesData[[#This Row],[Cost]]</f>
        <v>10.42</v>
      </c>
      <c r="Q799" s="13">
        <f>IF(SalesData[[#This Row],[Revenue]]=0,0,SalesData[[#This Row],[Profit]]/SalesData[[#This Row],[Revenue]])</f>
        <v>0.69466666666666665</v>
      </c>
      <c r="R799" t="s">
        <v>1048</v>
      </c>
      <c r="S799" t="s">
        <v>1247</v>
      </c>
      <c r="T799" t="str">
        <f>PROPER(SalesData[[#This Row],[Customer Name]])</f>
        <v>Mason Davis</v>
      </c>
      <c r="U799" t="s">
        <v>1414</v>
      </c>
      <c r="V799" t="s">
        <v>1425</v>
      </c>
    </row>
    <row r="800" spans="1:22" x14ac:dyDescent="0.25">
      <c r="A800" t="s">
        <v>2226</v>
      </c>
      <c r="B800" s="5">
        <v>45584</v>
      </c>
      <c r="C800" s="2" t="str">
        <f>TEXT(SalesData[[#This Row],[Order Date]],"mmm")</f>
        <v>Oct</v>
      </c>
      <c r="D800" s="7">
        <f>MONTH(SalesData[[#This Row],[Order Date]])</f>
        <v>10</v>
      </c>
      <c r="E800" s="7">
        <f>YEAR(SalesData[[#This Row],[Order Date]])</f>
        <v>2024</v>
      </c>
      <c r="F800" t="s">
        <v>196</v>
      </c>
      <c r="G800" t="str">
        <f>PROPER(SalesData[[#This Row],[Product Name]])</f>
        <v>Eco Canvas Tote Bag</v>
      </c>
      <c r="H800" t="s">
        <v>1013</v>
      </c>
      <c r="I800" t="str">
        <f>UPPER(SalesData[[#This Row],[Product Category]])</f>
        <v>BAGS</v>
      </c>
      <c r="J800">
        <v>3</v>
      </c>
      <c r="K800">
        <v>25</v>
      </c>
      <c r="L800" s="15">
        <f>IF(SalesData[[#This Row],[Unit Price]]="",
    AVERAGEIFS(SalesData[Unit Price],
               SalesData[Product Name],SalesData[[#This Row],[Product Name]]),
    SalesData[[#This Row],[Unit Price]])</f>
        <v>25</v>
      </c>
      <c r="M800" s="15">
        <v>8.26</v>
      </c>
      <c r="N800" s="15">
        <f>SalesData[[#This Row],[Quantity Sold]] * SalesData[[#This Row],[Cleaned Unit Price]]</f>
        <v>75</v>
      </c>
      <c r="O800" s="15">
        <f>SalesData[[#This Row],[Quantity Sold]] * SalesData[[#This Row],[Unit Cost]]</f>
        <v>24.78</v>
      </c>
      <c r="P800" s="15">
        <f>SalesData[[#This Row],[Revenue]] - SalesData[[#This Row],[Cost]]</f>
        <v>50.22</v>
      </c>
      <c r="Q800" s="13">
        <f>IF(SalesData[[#This Row],[Revenue]]=0,0,SalesData[[#This Row],[Profit]]/SalesData[[#This Row],[Revenue]])</f>
        <v>0.66959999999999997</v>
      </c>
      <c r="R800" t="s">
        <v>1020</v>
      </c>
      <c r="S800" t="s">
        <v>1219</v>
      </c>
      <c r="T800" t="str">
        <f>PROPER(SalesData[[#This Row],[Customer Name]])</f>
        <v>Noah Garcia</v>
      </c>
      <c r="U800" t="s">
        <v>1414</v>
      </c>
      <c r="V800" t="s">
        <v>1427</v>
      </c>
    </row>
    <row r="801" spans="1:22" x14ac:dyDescent="0.25">
      <c r="A801" t="s">
        <v>2227</v>
      </c>
      <c r="B801" s="5">
        <v>45584</v>
      </c>
      <c r="C801" s="2" t="str">
        <f>TEXT(SalesData[[#This Row],[Order Date]],"mmm")</f>
        <v>Oct</v>
      </c>
      <c r="D801" s="7">
        <f>MONTH(SalesData[[#This Row],[Order Date]])</f>
        <v>10</v>
      </c>
      <c r="E801" s="7">
        <f>YEAR(SalesData[[#This Row],[Order Date]])</f>
        <v>2024</v>
      </c>
      <c r="F801" t="s">
        <v>285</v>
      </c>
      <c r="G801" t="str">
        <f>PROPER(SalesData[[#This Row],[Product Name]])</f>
        <v>Reusable Bamboo Utensil Set</v>
      </c>
      <c r="H801" t="s">
        <v>1014</v>
      </c>
      <c r="I801" t="str">
        <f>UPPER(SalesData[[#This Row],[Product Category]])</f>
        <v>KITCHENWARE</v>
      </c>
      <c r="J801">
        <v>9</v>
      </c>
      <c r="L801" s="15">
        <f>IF(SalesData[[#This Row],[Unit Price]]="",
    AVERAGEIFS(SalesData[Unit Price],
               SalesData[Product Name],SalesData[[#This Row],[Product Name]]),
    SalesData[[#This Row],[Unit Price]])</f>
        <v>15</v>
      </c>
      <c r="M801" s="15">
        <v>4.99</v>
      </c>
      <c r="N801" s="15">
        <f>SalesData[[#This Row],[Quantity Sold]] * SalesData[[#This Row],[Cleaned Unit Price]]</f>
        <v>135</v>
      </c>
      <c r="O801" s="15">
        <f>SalesData[[#This Row],[Quantity Sold]] * SalesData[[#This Row],[Unit Cost]]</f>
        <v>44.910000000000004</v>
      </c>
      <c r="P801" s="15">
        <f>SalesData[[#This Row],[Revenue]] - SalesData[[#This Row],[Cost]]</f>
        <v>90.09</v>
      </c>
      <c r="Q801" s="13">
        <f>IF(SalesData[[#This Row],[Revenue]]=0,0,SalesData[[#This Row],[Profit]]/SalesData[[#This Row],[Revenue]])</f>
        <v>0.66733333333333333</v>
      </c>
      <c r="R801" t="s">
        <v>1096</v>
      </c>
      <c r="S801" t="s">
        <v>1295</v>
      </c>
      <c r="T801" t="str">
        <f>PROPER(SalesData[[#This Row],[Customer Name]])</f>
        <v>Mason Davis</v>
      </c>
      <c r="U801" t="s">
        <v>1414</v>
      </c>
      <c r="V801" t="s">
        <v>1427</v>
      </c>
    </row>
    <row r="802" spans="1:22" x14ac:dyDescent="0.25">
      <c r="A802" t="s">
        <v>2228</v>
      </c>
      <c r="B802" s="5">
        <v>45584</v>
      </c>
      <c r="C802" s="2" t="str">
        <f>TEXT(SalesData[[#This Row],[Order Date]],"mmm")</f>
        <v>Oct</v>
      </c>
      <c r="D802" s="7">
        <f>MONTH(SalesData[[#This Row],[Order Date]])</f>
        <v>10</v>
      </c>
      <c r="E802" s="7">
        <f>YEAR(SalesData[[#This Row],[Order Date]])</f>
        <v>2024</v>
      </c>
      <c r="F802" t="s">
        <v>468</v>
      </c>
      <c r="G802" t="str">
        <f>PROPER(SalesData[[#This Row],[Product Name]])</f>
        <v>Compostable Plant Pots</v>
      </c>
      <c r="H802" t="s">
        <v>1011</v>
      </c>
      <c r="I802" t="str">
        <f>UPPER(SalesData[[#This Row],[Product Category]])</f>
        <v>GARDENING</v>
      </c>
      <c r="J802">
        <v>9</v>
      </c>
      <c r="K802">
        <v>12</v>
      </c>
      <c r="L802" s="15">
        <f>IF(SalesData[[#This Row],[Unit Price]]="",
    AVERAGEIFS(SalesData[Unit Price],
               SalesData[Product Name],SalesData[[#This Row],[Product Name]]),
    SalesData[[#This Row],[Unit Price]])</f>
        <v>12</v>
      </c>
      <c r="M802" s="15">
        <v>4.3499999999999996</v>
      </c>
      <c r="N802" s="15">
        <f>SalesData[[#This Row],[Quantity Sold]] * SalesData[[#This Row],[Cleaned Unit Price]]</f>
        <v>108</v>
      </c>
      <c r="O802" s="15">
        <f>SalesData[[#This Row],[Quantity Sold]] * SalesData[[#This Row],[Unit Cost]]</f>
        <v>39.15</v>
      </c>
      <c r="P802" s="15">
        <f>SalesData[[#This Row],[Revenue]] - SalesData[[#This Row],[Cost]]</f>
        <v>68.849999999999994</v>
      </c>
      <c r="Q802" s="13">
        <f>IF(SalesData[[#This Row],[Revenue]]=0,0,SalesData[[#This Row],[Profit]]/SalesData[[#This Row],[Revenue]])</f>
        <v>0.63749999999999996</v>
      </c>
      <c r="R802" t="s">
        <v>1197</v>
      </c>
      <c r="S802" t="s">
        <v>1396</v>
      </c>
      <c r="T802" t="str">
        <f>PROPER(SalesData[[#This Row],[Customer Name]])</f>
        <v>Logan Smith</v>
      </c>
      <c r="U802" t="s">
        <v>1414</v>
      </c>
      <c r="V802" t="s">
        <v>1422</v>
      </c>
    </row>
    <row r="803" spans="1:22" x14ac:dyDescent="0.25">
      <c r="A803" t="s">
        <v>2229</v>
      </c>
      <c r="B803" s="5">
        <v>45584</v>
      </c>
      <c r="C803" s="2" t="str">
        <f>TEXT(SalesData[[#This Row],[Order Date]],"mmm")</f>
        <v>Oct</v>
      </c>
      <c r="D803" s="7">
        <f>MONTH(SalesData[[#This Row],[Order Date]])</f>
        <v>10</v>
      </c>
      <c r="E803" s="7">
        <f>YEAR(SalesData[[#This Row],[Order Date]])</f>
        <v>2024</v>
      </c>
      <c r="F803" t="s">
        <v>477</v>
      </c>
      <c r="G803" t="str">
        <f>PROPER(SalesData[[#This Row],[Product Name]])</f>
        <v>Solar Led Lantern</v>
      </c>
      <c r="H803" t="s">
        <v>1012</v>
      </c>
      <c r="I803" t="str">
        <f>UPPER(SalesData[[#This Row],[Product Category]])</f>
        <v>LIGHTING</v>
      </c>
      <c r="J803">
        <v>1</v>
      </c>
      <c r="K803">
        <v>40</v>
      </c>
      <c r="L803" s="15">
        <f>IF(SalesData[[#This Row],[Unit Price]]="",
    AVERAGEIFS(SalesData[Unit Price],
               SalesData[Product Name],SalesData[[#This Row],[Product Name]]),
    SalesData[[#This Row],[Unit Price]])</f>
        <v>40</v>
      </c>
      <c r="M803" s="15">
        <v>13.06</v>
      </c>
      <c r="N803" s="15">
        <f>SalesData[[#This Row],[Quantity Sold]] * SalesData[[#This Row],[Cleaned Unit Price]]</f>
        <v>40</v>
      </c>
      <c r="O803" s="15">
        <f>SalesData[[#This Row],[Quantity Sold]] * SalesData[[#This Row],[Unit Cost]]</f>
        <v>13.06</v>
      </c>
      <c r="P803" s="15">
        <f>SalesData[[#This Row],[Revenue]] - SalesData[[#This Row],[Cost]]</f>
        <v>26.939999999999998</v>
      </c>
      <c r="Q803" s="13">
        <f>IF(SalesData[[#This Row],[Revenue]]=0,0,SalesData[[#This Row],[Profit]]/SalesData[[#This Row],[Revenue]])</f>
        <v>0.67349999999999999</v>
      </c>
      <c r="R803" t="s">
        <v>1101</v>
      </c>
      <c r="S803" t="s">
        <v>1300</v>
      </c>
      <c r="T803" t="str">
        <f>PROPER(SalesData[[#This Row],[Customer Name]])</f>
        <v>James Miller</v>
      </c>
      <c r="U803" t="s">
        <v>1414</v>
      </c>
      <c r="V803" t="s">
        <v>1419</v>
      </c>
    </row>
    <row r="804" spans="1:22" x14ac:dyDescent="0.25">
      <c r="A804" t="s">
        <v>2230</v>
      </c>
      <c r="B804" s="5">
        <v>45584</v>
      </c>
      <c r="C804" s="2" t="str">
        <f>TEXT(SalesData[[#This Row],[Order Date]],"mmm")</f>
        <v>Oct</v>
      </c>
      <c r="D804" s="7">
        <f>MONTH(SalesData[[#This Row],[Order Date]])</f>
        <v>10</v>
      </c>
      <c r="E804" s="7">
        <f>YEAR(SalesData[[#This Row],[Order Date]])</f>
        <v>2024</v>
      </c>
      <c r="F804" t="s">
        <v>502</v>
      </c>
      <c r="G804" t="str">
        <f>PROPER(SalesData[[#This Row],[Product Name]])</f>
        <v>Reusable Bamboo Utensil Set</v>
      </c>
      <c r="H804" t="s">
        <v>1014</v>
      </c>
      <c r="I804" t="str">
        <f>UPPER(SalesData[[#This Row],[Product Category]])</f>
        <v>KITCHENWARE</v>
      </c>
      <c r="J804">
        <v>10</v>
      </c>
      <c r="K804">
        <v>15</v>
      </c>
      <c r="L804" s="15">
        <f>IF(SalesData[[#This Row],[Unit Price]]="",
    AVERAGEIFS(SalesData[Unit Price],
               SalesData[Product Name],SalesData[[#This Row],[Product Name]]),
    SalesData[[#This Row],[Unit Price]])</f>
        <v>15</v>
      </c>
      <c r="M804" s="15">
        <v>5.31</v>
      </c>
      <c r="N804" s="15">
        <f>SalesData[[#This Row],[Quantity Sold]] * SalesData[[#This Row],[Cleaned Unit Price]]</f>
        <v>150</v>
      </c>
      <c r="O804" s="15">
        <f>SalesData[[#This Row],[Quantity Sold]] * SalesData[[#This Row],[Unit Cost]]</f>
        <v>53.099999999999994</v>
      </c>
      <c r="P804" s="15">
        <f>SalesData[[#This Row],[Revenue]] - SalesData[[#This Row],[Cost]]</f>
        <v>96.9</v>
      </c>
      <c r="Q804" s="13">
        <f>IF(SalesData[[#This Row],[Revenue]]=0,0,SalesData[[#This Row],[Profit]]/SalesData[[#This Row],[Revenue]])</f>
        <v>0.64600000000000002</v>
      </c>
      <c r="R804" t="s">
        <v>1203</v>
      </c>
      <c r="S804" t="s">
        <v>1402</v>
      </c>
      <c r="T804" t="str">
        <f>PROPER(SalesData[[#This Row],[Customer Name]])</f>
        <v>Evelyn Martinez</v>
      </c>
      <c r="U804" t="s">
        <v>1416</v>
      </c>
      <c r="V804" t="s">
        <v>1427</v>
      </c>
    </row>
    <row r="805" spans="1:22" x14ac:dyDescent="0.25">
      <c r="A805" t="s">
        <v>2231</v>
      </c>
      <c r="B805" s="5">
        <v>45584</v>
      </c>
      <c r="C805" s="2" t="str">
        <f>TEXT(SalesData[[#This Row],[Order Date]],"mmm")</f>
        <v>Oct</v>
      </c>
      <c r="D805" s="7">
        <f>MONTH(SalesData[[#This Row],[Order Date]])</f>
        <v>10</v>
      </c>
      <c r="E805" s="7">
        <f>YEAR(SalesData[[#This Row],[Order Date]])</f>
        <v>2024</v>
      </c>
      <c r="F805" t="s">
        <v>652</v>
      </c>
      <c r="G805" t="str">
        <f>PROPER(SalesData[[#This Row],[Product Name]])</f>
        <v>Reusable Bamboo Utensil Set</v>
      </c>
      <c r="H805" t="s">
        <v>1014</v>
      </c>
      <c r="I805" t="str">
        <f>UPPER(SalesData[[#This Row],[Product Category]])</f>
        <v>KITCHENWARE</v>
      </c>
      <c r="J805">
        <v>5</v>
      </c>
      <c r="K805">
        <v>15</v>
      </c>
      <c r="L805" s="15">
        <f>IF(SalesData[[#This Row],[Unit Price]]="",
    AVERAGEIFS(SalesData[Unit Price],
               SalesData[Product Name],SalesData[[#This Row],[Product Name]]),
    SalesData[[#This Row],[Unit Price]])</f>
        <v>15</v>
      </c>
      <c r="M805" s="15">
        <v>4.21</v>
      </c>
      <c r="N805" s="15">
        <f>SalesData[[#This Row],[Quantity Sold]] * SalesData[[#This Row],[Cleaned Unit Price]]</f>
        <v>75</v>
      </c>
      <c r="O805" s="15">
        <f>SalesData[[#This Row],[Quantity Sold]] * SalesData[[#This Row],[Unit Cost]]</f>
        <v>21.05</v>
      </c>
      <c r="P805" s="15">
        <f>SalesData[[#This Row],[Revenue]] - SalesData[[#This Row],[Cost]]</f>
        <v>53.95</v>
      </c>
      <c r="Q805" s="13">
        <f>IF(SalesData[[#This Row],[Revenue]]=0,0,SalesData[[#This Row],[Profit]]/SalesData[[#This Row],[Revenue]])</f>
        <v>0.71933333333333338</v>
      </c>
      <c r="R805" t="s">
        <v>1027</v>
      </c>
      <c r="S805" t="s">
        <v>1226</v>
      </c>
      <c r="T805" t="str">
        <f>PROPER(SalesData[[#This Row],[Customer Name]])</f>
        <v>Lucas Rodriguez</v>
      </c>
      <c r="U805" t="s">
        <v>1414</v>
      </c>
      <c r="V805" t="s">
        <v>1422</v>
      </c>
    </row>
    <row r="806" spans="1:22" x14ac:dyDescent="0.25">
      <c r="A806" t="s">
        <v>2232</v>
      </c>
      <c r="B806" s="5">
        <v>45584</v>
      </c>
      <c r="C806" s="2" t="str">
        <f>TEXT(SalesData[[#This Row],[Order Date]],"mmm")</f>
        <v>Oct</v>
      </c>
      <c r="D806" s="7">
        <f>MONTH(SalesData[[#This Row],[Order Date]])</f>
        <v>10</v>
      </c>
      <c r="E806" s="7">
        <f>YEAR(SalesData[[#This Row],[Order Date]])</f>
        <v>2024</v>
      </c>
      <c r="F806" t="s">
        <v>704</v>
      </c>
      <c r="G806" t="str">
        <f>PROPER(SalesData[[#This Row],[Product Name]])</f>
        <v>Biodegradable Cleaning Cloth</v>
      </c>
      <c r="H806" t="s">
        <v>1015</v>
      </c>
      <c r="I806" t="str">
        <f>UPPER(SalesData[[#This Row],[Product Category]])</f>
        <v>CLEANING</v>
      </c>
      <c r="J806">
        <v>6</v>
      </c>
      <c r="K806">
        <v>10</v>
      </c>
      <c r="L806" s="15">
        <f>IF(SalesData[[#This Row],[Unit Price]]="",
    AVERAGEIFS(SalesData[Unit Price],
               SalesData[Product Name],SalesData[[#This Row],[Product Name]]),
    SalesData[[#This Row],[Unit Price]])</f>
        <v>10</v>
      </c>
      <c r="M806" s="15">
        <v>2.83</v>
      </c>
      <c r="N806" s="15">
        <f>SalesData[[#This Row],[Quantity Sold]] * SalesData[[#This Row],[Cleaned Unit Price]]</f>
        <v>60</v>
      </c>
      <c r="O806" s="15">
        <f>SalesData[[#This Row],[Quantity Sold]] * SalesData[[#This Row],[Unit Cost]]</f>
        <v>16.98</v>
      </c>
      <c r="P806" s="15">
        <f>SalesData[[#This Row],[Revenue]] - SalesData[[#This Row],[Cost]]</f>
        <v>43.019999999999996</v>
      </c>
      <c r="Q806" s="13">
        <f>IF(SalesData[[#This Row],[Revenue]]=0,0,SalesData[[#This Row],[Profit]]/SalesData[[#This Row],[Revenue]])</f>
        <v>0.71699999999999997</v>
      </c>
      <c r="R806" t="s">
        <v>1036</v>
      </c>
      <c r="S806" t="s">
        <v>1235</v>
      </c>
      <c r="T806" t="str">
        <f>PROPER(SalesData[[#This Row],[Customer Name]])</f>
        <v>Amelia Johnson</v>
      </c>
      <c r="U806" t="s">
        <v>1414</v>
      </c>
      <c r="V806" t="s">
        <v>1418</v>
      </c>
    </row>
    <row r="807" spans="1:22" x14ac:dyDescent="0.25">
      <c r="A807" t="s">
        <v>2233</v>
      </c>
      <c r="B807" s="5">
        <v>45585</v>
      </c>
      <c r="C807" s="2" t="str">
        <f>TEXT(SalesData[[#This Row],[Order Date]],"mmm")</f>
        <v>Oct</v>
      </c>
      <c r="D807" s="7">
        <f>MONTH(SalesData[[#This Row],[Order Date]])</f>
        <v>10</v>
      </c>
      <c r="E807" s="7">
        <f>YEAR(SalesData[[#This Row],[Order Date]])</f>
        <v>2024</v>
      </c>
      <c r="F807" t="s">
        <v>760</v>
      </c>
      <c r="G807" t="str">
        <f>PROPER(SalesData[[#This Row],[Product Name]])</f>
        <v>Eco Canvas Tote Bag</v>
      </c>
      <c r="H807" t="s">
        <v>1013</v>
      </c>
      <c r="I807" t="str">
        <f>UPPER(SalesData[[#This Row],[Product Category]])</f>
        <v>BAGS</v>
      </c>
      <c r="J807">
        <v>2</v>
      </c>
      <c r="K807">
        <v>25</v>
      </c>
      <c r="L807" s="15">
        <f>IF(SalesData[[#This Row],[Unit Price]]="",
    AVERAGEIFS(SalesData[Unit Price],
               SalesData[Product Name],SalesData[[#This Row],[Product Name]]),
    SalesData[[#This Row],[Unit Price]])</f>
        <v>25</v>
      </c>
      <c r="M807" s="15">
        <v>6.21</v>
      </c>
      <c r="N807" s="15">
        <f>SalesData[[#This Row],[Quantity Sold]] * SalesData[[#This Row],[Cleaned Unit Price]]</f>
        <v>50</v>
      </c>
      <c r="O807" s="15">
        <f>SalesData[[#This Row],[Quantity Sold]] * SalesData[[#This Row],[Unit Cost]]</f>
        <v>12.42</v>
      </c>
      <c r="P807" s="15">
        <f>SalesData[[#This Row],[Revenue]] - SalesData[[#This Row],[Cost]]</f>
        <v>37.58</v>
      </c>
      <c r="Q807" s="13">
        <f>IF(SalesData[[#This Row],[Revenue]]=0,0,SalesData[[#This Row],[Profit]]/SalesData[[#This Row],[Revenue]])</f>
        <v>0.75159999999999993</v>
      </c>
      <c r="R807" t="s">
        <v>1169</v>
      </c>
      <c r="S807" t="s">
        <v>1368</v>
      </c>
      <c r="T807" t="str">
        <f>PROPER(SalesData[[#This Row],[Customer Name]])</f>
        <v>Aiden Jones</v>
      </c>
      <c r="U807" t="s">
        <v>1414</v>
      </c>
      <c r="V807" t="s">
        <v>1418</v>
      </c>
    </row>
    <row r="808" spans="1:22" x14ac:dyDescent="0.25">
      <c r="A808" t="s">
        <v>2234</v>
      </c>
      <c r="B808" s="5">
        <v>45585</v>
      </c>
      <c r="C808" s="2" t="str">
        <f>TEXT(SalesData[[#This Row],[Order Date]],"mmm")</f>
        <v>Oct</v>
      </c>
      <c r="D808" s="7">
        <f>MONTH(SalesData[[#This Row],[Order Date]])</f>
        <v>10</v>
      </c>
      <c r="E808" s="7">
        <f>YEAR(SalesData[[#This Row],[Order Date]])</f>
        <v>2024</v>
      </c>
      <c r="F808" t="s">
        <v>935</v>
      </c>
      <c r="G808" t="str">
        <f>PROPER(SalesData[[#This Row],[Product Name]])</f>
        <v>Reusable Bamboo Utensil Set</v>
      </c>
      <c r="H808" t="s">
        <v>1014</v>
      </c>
      <c r="I808" t="str">
        <f>UPPER(SalesData[[#This Row],[Product Category]])</f>
        <v>KITCHENWARE</v>
      </c>
      <c r="J808">
        <v>4</v>
      </c>
      <c r="L808" s="15">
        <f>IF(SalesData[[#This Row],[Unit Price]]="",
    AVERAGEIFS(SalesData[Unit Price],
               SalesData[Product Name],SalesData[[#This Row],[Product Name]]),
    SalesData[[#This Row],[Unit Price]])</f>
        <v>15</v>
      </c>
      <c r="M808" s="15">
        <v>5.58</v>
      </c>
      <c r="N808" s="15">
        <f>SalesData[[#This Row],[Quantity Sold]] * SalesData[[#This Row],[Cleaned Unit Price]]</f>
        <v>60</v>
      </c>
      <c r="O808" s="15">
        <f>SalesData[[#This Row],[Quantity Sold]] * SalesData[[#This Row],[Unit Cost]]</f>
        <v>22.32</v>
      </c>
      <c r="P808" s="15">
        <f>SalesData[[#This Row],[Revenue]] - SalesData[[#This Row],[Cost]]</f>
        <v>37.68</v>
      </c>
      <c r="Q808" s="13">
        <f>IF(SalesData[[#This Row],[Revenue]]=0,0,SalesData[[#This Row],[Profit]]/SalesData[[#This Row],[Revenue]])</f>
        <v>0.628</v>
      </c>
      <c r="R808" t="s">
        <v>1138</v>
      </c>
      <c r="S808" t="s">
        <v>1337</v>
      </c>
      <c r="T808" t="str">
        <f>PROPER(SalesData[[#This Row],[Customer Name]])</f>
        <v>Noah Williams</v>
      </c>
      <c r="U808" t="s">
        <v>1414</v>
      </c>
      <c r="V808" t="s">
        <v>1422</v>
      </c>
    </row>
    <row r="809" spans="1:22" x14ac:dyDescent="0.25">
      <c r="A809" t="s">
        <v>2235</v>
      </c>
      <c r="B809" s="5">
        <v>45586</v>
      </c>
      <c r="C809" s="2" t="str">
        <f>TEXT(SalesData[[#This Row],[Order Date]],"mmm")</f>
        <v>Oct</v>
      </c>
      <c r="D809" s="7">
        <f>MONTH(SalesData[[#This Row],[Order Date]])</f>
        <v>10</v>
      </c>
      <c r="E809" s="7">
        <f>YEAR(SalesData[[#This Row],[Order Date]])</f>
        <v>2024</v>
      </c>
      <c r="F809" t="s">
        <v>13</v>
      </c>
      <c r="G809" t="str">
        <f>PROPER(SalesData[[#This Row],[Product Name]])</f>
        <v>Solar Led Lantern</v>
      </c>
      <c r="H809" t="s">
        <v>1012</v>
      </c>
      <c r="I809" t="str">
        <f>UPPER(SalesData[[#This Row],[Product Category]])</f>
        <v>LIGHTING</v>
      </c>
      <c r="J809">
        <v>4</v>
      </c>
      <c r="K809">
        <v>40</v>
      </c>
      <c r="L809" s="15">
        <f>IF(SalesData[[#This Row],[Unit Price]]="",
    AVERAGEIFS(SalesData[Unit Price],
               SalesData[Product Name],SalesData[[#This Row],[Product Name]]),
    SalesData[[#This Row],[Unit Price]])</f>
        <v>40</v>
      </c>
      <c r="M809" s="15">
        <v>8.16</v>
      </c>
      <c r="N809" s="15">
        <f>SalesData[[#This Row],[Quantity Sold]] * SalesData[[#This Row],[Cleaned Unit Price]]</f>
        <v>160</v>
      </c>
      <c r="O809" s="15">
        <f>SalesData[[#This Row],[Quantity Sold]] * SalesData[[#This Row],[Unit Cost]]</f>
        <v>32.64</v>
      </c>
      <c r="P809" s="15">
        <f>SalesData[[#This Row],[Revenue]] - SalesData[[#This Row],[Cost]]</f>
        <v>127.36</v>
      </c>
      <c r="Q809" s="13">
        <f>IF(SalesData[[#This Row],[Revenue]]=0,0,SalesData[[#This Row],[Profit]]/SalesData[[#This Row],[Revenue]])</f>
        <v>0.79600000000000004</v>
      </c>
      <c r="R809" t="s">
        <v>1018</v>
      </c>
      <c r="S809" t="s">
        <v>1217</v>
      </c>
      <c r="T809" t="str">
        <f>PROPER(SalesData[[#This Row],[Customer Name]])</f>
        <v>Olivia Davis</v>
      </c>
      <c r="U809" t="s">
        <v>1415</v>
      </c>
      <c r="V809" t="s">
        <v>1420</v>
      </c>
    </row>
    <row r="810" spans="1:22" x14ac:dyDescent="0.25">
      <c r="A810" t="s">
        <v>2236</v>
      </c>
      <c r="B810" s="5">
        <v>45586</v>
      </c>
      <c r="C810" s="2" t="str">
        <f>TEXT(SalesData[[#This Row],[Order Date]],"mmm")</f>
        <v>Oct</v>
      </c>
      <c r="D810" s="7">
        <f>MONTH(SalesData[[#This Row],[Order Date]])</f>
        <v>10</v>
      </c>
      <c r="E810" s="7">
        <f>YEAR(SalesData[[#This Row],[Order Date]])</f>
        <v>2024</v>
      </c>
      <c r="F810" t="s">
        <v>101</v>
      </c>
      <c r="G810" t="str">
        <f>PROPER(SalesData[[#This Row],[Product Name]])</f>
        <v>Reusable Bamboo Utensil Set</v>
      </c>
      <c r="H810" t="s">
        <v>1014</v>
      </c>
      <c r="I810" t="str">
        <f>UPPER(SalesData[[#This Row],[Product Category]])</f>
        <v>KITCHENWARE</v>
      </c>
      <c r="J810">
        <v>7</v>
      </c>
      <c r="K810">
        <v>15</v>
      </c>
      <c r="L810" s="15">
        <f>IF(SalesData[[#This Row],[Unit Price]]="",
    AVERAGEIFS(SalesData[Unit Price],
               SalesData[Product Name],SalesData[[#This Row],[Product Name]]),
    SalesData[[#This Row],[Unit Price]])</f>
        <v>15</v>
      </c>
      <c r="M810" s="15">
        <v>4.8899999999999997</v>
      </c>
      <c r="N810" s="15">
        <f>SalesData[[#This Row],[Quantity Sold]] * SalesData[[#This Row],[Cleaned Unit Price]]</f>
        <v>105</v>
      </c>
      <c r="O810" s="15">
        <f>SalesData[[#This Row],[Quantity Sold]] * SalesData[[#This Row],[Unit Cost]]</f>
        <v>34.229999999999997</v>
      </c>
      <c r="P810" s="15">
        <f>SalesData[[#This Row],[Revenue]] - SalesData[[#This Row],[Cost]]</f>
        <v>70.77000000000001</v>
      </c>
      <c r="Q810" s="13">
        <f>IF(SalesData[[#This Row],[Revenue]]=0,0,SalesData[[#This Row],[Profit]]/SalesData[[#This Row],[Revenue]])</f>
        <v>0.67400000000000004</v>
      </c>
      <c r="R810" t="s">
        <v>1085</v>
      </c>
      <c r="S810" t="s">
        <v>1284</v>
      </c>
      <c r="T810" t="str">
        <f>PROPER(SalesData[[#This Row],[Customer Name]])</f>
        <v>Harper Garcia</v>
      </c>
      <c r="U810" t="s">
        <v>1414</v>
      </c>
      <c r="V810" t="s">
        <v>1426</v>
      </c>
    </row>
    <row r="811" spans="1:22" x14ac:dyDescent="0.25">
      <c r="A811" t="s">
        <v>2237</v>
      </c>
      <c r="B811" s="5">
        <v>45586</v>
      </c>
      <c r="C811" s="2" t="str">
        <f>TEXT(SalesData[[#This Row],[Order Date]],"mmm")</f>
        <v>Oct</v>
      </c>
      <c r="D811" s="7">
        <f>MONTH(SalesData[[#This Row],[Order Date]])</f>
        <v>10</v>
      </c>
      <c r="E811" s="7">
        <f>YEAR(SalesData[[#This Row],[Order Date]])</f>
        <v>2024</v>
      </c>
      <c r="F811" t="s">
        <v>514</v>
      </c>
      <c r="G811" t="str">
        <f>PROPER(SalesData[[#This Row],[Product Name]])</f>
        <v>Solar Led Lantern</v>
      </c>
      <c r="H811" t="s">
        <v>1012</v>
      </c>
      <c r="I811" t="str">
        <f>UPPER(SalesData[[#This Row],[Product Category]])</f>
        <v>LIGHTING</v>
      </c>
      <c r="J811">
        <v>5</v>
      </c>
      <c r="K811">
        <v>40</v>
      </c>
      <c r="L811" s="15">
        <f>IF(SalesData[[#This Row],[Unit Price]]="",
    AVERAGEIFS(SalesData[Unit Price],
               SalesData[Product Name],SalesData[[#This Row],[Product Name]]),
    SalesData[[#This Row],[Unit Price]])</f>
        <v>40</v>
      </c>
      <c r="M811" s="15">
        <v>13.34</v>
      </c>
      <c r="N811" s="15">
        <f>SalesData[[#This Row],[Quantity Sold]] * SalesData[[#This Row],[Cleaned Unit Price]]</f>
        <v>200</v>
      </c>
      <c r="O811" s="15">
        <f>SalesData[[#This Row],[Quantity Sold]] * SalesData[[#This Row],[Unit Cost]]</f>
        <v>66.7</v>
      </c>
      <c r="P811" s="15">
        <f>SalesData[[#This Row],[Revenue]] - SalesData[[#This Row],[Cost]]</f>
        <v>133.30000000000001</v>
      </c>
      <c r="Q811" s="13">
        <f>IF(SalesData[[#This Row],[Revenue]]=0,0,SalesData[[#This Row],[Profit]]/SalesData[[#This Row],[Revenue]])</f>
        <v>0.66650000000000009</v>
      </c>
      <c r="R811" t="s">
        <v>1153</v>
      </c>
      <c r="S811" t="s">
        <v>1352</v>
      </c>
      <c r="T811" t="str">
        <f>PROPER(SalesData[[#This Row],[Customer Name]])</f>
        <v>Logan Johnson</v>
      </c>
      <c r="U811" t="s">
        <v>1414</v>
      </c>
      <c r="V811" t="s">
        <v>1420</v>
      </c>
    </row>
    <row r="812" spans="1:22" x14ac:dyDescent="0.25">
      <c r="A812" t="s">
        <v>2238</v>
      </c>
      <c r="B812" s="5">
        <v>45586</v>
      </c>
      <c r="C812" s="2" t="str">
        <f>TEXT(SalesData[[#This Row],[Order Date]],"mmm")</f>
        <v>Oct</v>
      </c>
      <c r="D812" s="7">
        <f>MONTH(SalesData[[#This Row],[Order Date]])</f>
        <v>10</v>
      </c>
      <c r="E812" s="7">
        <f>YEAR(SalesData[[#This Row],[Order Date]])</f>
        <v>2024</v>
      </c>
      <c r="F812" t="s">
        <v>519</v>
      </c>
      <c r="G812" t="str">
        <f>PROPER(SalesData[[#This Row],[Product Name]])</f>
        <v>Solar Led Lantern</v>
      </c>
      <c r="H812" t="s">
        <v>1012</v>
      </c>
      <c r="I812" t="str">
        <f>UPPER(SalesData[[#This Row],[Product Category]])</f>
        <v>LIGHTING</v>
      </c>
      <c r="J812">
        <v>8</v>
      </c>
      <c r="K812">
        <v>40</v>
      </c>
      <c r="L812" s="15">
        <f>IF(SalesData[[#This Row],[Unit Price]]="",
    AVERAGEIFS(SalesData[Unit Price],
               SalesData[Product Name],SalesData[[#This Row],[Product Name]]),
    SalesData[[#This Row],[Unit Price]])</f>
        <v>40</v>
      </c>
      <c r="M812" s="15">
        <v>14.63</v>
      </c>
      <c r="N812" s="15">
        <f>SalesData[[#This Row],[Quantity Sold]] * SalesData[[#This Row],[Cleaned Unit Price]]</f>
        <v>320</v>
      </c>
      <c r="O812" s="15">
        <f>SalesData[[#This Row],[Quantity Sold]] * SalesData[[#This Row],[Unit Cost]]</f>
        <v>117.04</v>
      </c>
      <c r="P812" s="15">
        <f>SalesData[[#This Row],[Revenue]] - SalesData[[#This Row],[Cost]]</f>
        <v>202.95999999999998</v>
      </c>
      <c r="Q812" s="13">
        <f>IF(SalesData[[#This Row],[Revenue]]=0,0,SalesData[[#This Row],[Profit]]/SalesData[[#This Row],[Revenue]])</f>
        <v>0.63424999999999998</v>
      </c>
      <c r="R812" t="s">
        <v>1095</v>
      </c>
      <c r="S812" t="s">
        <v>1294</v>
      </c>
      <c r="T812" t="str">
        <f>PROPER(SalesData[[#This Row],[Customer Name]])</f>
        <v>Evelyn Miller</v>
      </c>
      <c r="U812" t="s">
        <v>1414</v>
      </c>
      <c r="V812" t="s">
        <v>1419</v>
      </c>
    </row>
    <row r="813" spans="1:22" x14ac:dyDescent="0.25">
      <c r="A813" t="s">
        <v>2239</v>
      </c>
      <c r="B813" s="5">
        <v>45586</v>
      </c>
      <c r="C813" s="2" t="str">
        <f>TEXT(SalesData[[#This Row],[Order Date]],"mmm")</f>
        <v>Oct</v>
      </c>
      <c r="D813" s="7">
        <f>MONTH(SalesData[[#This Row],[Order Date]])</f>
        <v>10</v>
      </c>
      <c r="E813" s="7">
        <f>YEAR(SalesData[[#This Row],[Order Date]])</f>
        <v>2024</v>
      </c>
      <c r="F813" t="s">
        <v>938</v>
      </c>
      <c r="G813" t="str">
        <f>PROPER(SalesData[[#This Row],[Product Name]])</f>
        <v>Solar Led Lantern</v>
      </c>
      <c r="H813" t="s">
        <v>1012</v>
      </c>
      <c r="I813" t="str">
        <f>UPPER(SalesData[[#This Row],[Product Category]])</f>
        <v>LIGHTING</v>
      </c>
      <c r="J813">
        <v>2</v>
      </c>
      <c r="K813">
        <v>40</v>
      </c>
      <c r="L813" s="15">
        <f>IF(SalesData[[#This Row],[Unit Price]]="",
    AVERAGEIFS(SalesData[Unit Price],
               SalesData[Product Name],SalesData[[#This Row],[Product Name]]),
    SalesData[[#This Row],[Unit Price]])</f>
        <v>40</v>
      </c>
      <c r="M813" s="15">
        <v>12.12</v>
      </c>
      <c r="N813" s="15">
        <f>SalesData[[#This Row],[Quantity Sold]] * SalesData[[#This Row],[Cleaned Unit Price]]</f>
        <v>80</v>
      </c>
      <c r="O813" s="15">
        <f>SalesData[[#This Row],[Quantity Sold]] * SalesData[[#This Row],[Unit Cost]]</f>
        <v>24.24</v>
      </c>
      <c r="P813" s="15">
        <f>SalesData[[#This Row],[Revenue]] - SalesData[[#This Row],[Cost]]</f>
        <v>55.760000000000005</v>
      </c>
      <c r="Q813" s="13">
        <f>IF(SalesData[[#This Row],[Revenue]]=0,0,SalesData[[#This Row],[Profit]]/SalesData[[#This Row],[Revenue]])</f>
        <v>0.69700000000000006</v>
      </c>
      <c r="R813" t="s">
        <v>1099</v>
      </c>
      <c r="S813" t="s">
        <v>1298</v>
      </c>
      <c r="T813" t="str">
        <f>PROPER(SalesData[[#This Row],[Customer Name]])</f>
        <v>Mason Miller</v>
      </c>
      <c r="U813" t="s">
        <v>1414</v>
      </c>
      <c r="V813" t="s">
        <v>1427</v>
      </c>
    </row>
    <row r="814" spans="1:22" x14ac:dyDescent="0.25">
      <c r="A814" t="s">
        <v>2240</v>
      </c>
      <c r="B814" s="5">
        <v>45587</v>
      </c>
      <c r="C814" s="2" t="str">
        <f>TEXT(SalesData[[#This Row],[Order Date]],"mmm")</f>
        <v>Oct</v>
      </c>
      <c r="D814" s="7">
        <f>MONTH(SalesData[[#This Row],[Order Date]])</f>
        <v>10</v>
      </c>
      <c r="E814" s="7">
        <f>YEAR(SalesData[[#This Row],[Order Date]])</f>
        <v>2024</v>
      </c>
      <c r="F814" t="s">
        <v>998</v>
      </c>
      <c r="G814" t="str">
        <f>PROPER(SalesData[[#This Row],[Product Name]])</f>
        <v>Biodegradable Cleaning Cloth</v>
      </c>
      <c r="H814" t="s">
        <v>1015</v>
      </c>
      <c r="I814" t="str">
        <f>UPPER(SalesData[[#This Row],[Product Category]])</f>
        <v>CLEANING</v>
      </c>
      <c r="J814">
        <v>8</v>
      </c>
      <c r="L814" s="15">
        <f>IF(SalesData[[#This Row],[Unit Price]]="",
    AVERAGEIFS(SalesData[Unit Price],
               SalesData[Product Name],SalesData[[#This Row],[Product Name]]),
    SalesData[[#This Row],[Unit Price]])</f>
        <v>10</v>
      </c>
      <c r="M814" s="15">
        <v>3.74</v>
      </c>
      <c r="N814" s="15">
        <f>SalesData[[#This Row],[Quantity Sold]] * SalesData[[#This Row],[Cleaned Unit Price]]</f>
        <v>80</v>
      </c>
      <c r="O814" s="15">
        <f>SalesData[[#This Row],[Quantity Sold]] * SalesData[[#This Row],[Unit Cost]]</f>
        <v>29.92</v>
      </c>
      <c r="P814" s="15">
        <f>SalesData[[#This Row],[Revenue]] - SalesData[[#This Row],[Cost]]</f>
        <v>50.08</v>
      </c>
      <c r="Q814" s="13">
        <f>IF(SalesData[[#This Row],[Revenue]]=0,0,SalesData[[#This Row],[Profit]]/SalesData[[#This Row],[Revenue]])</f>
        <v>0.626</v>
      </c>
      <c r="R814" t="s">
        <v>1208</v>
      </c>
      <c r="S814" t="s">
        <v>1407</v>
      </c>
      <c r="T814" t="str">
        <f>PROPER(SalesData[[#This Row],[Customer Name]])</f>
        <v>Evelyn Martinez</v>
      </c>
      <c r="U814" t="s">
        <v>1414</v>
      </c>
      <c r="V814" t="s">
        <v>1422</v>
      </c>
    </row>
    <row r="815" spans="1:22" x14ac:dyDescent="0.25">
      <c r="A815" t="s">
        <v>2241</v>
      </c>
      <c r="B815" s="5">
        <v>45588</v>
      </c>
      <c r="C815" s="2" t="str">
        <f>TEXT(SalesData[[#This Row],[Order Date]],"mmm")</f>
        <v>Oct</v>
      </c>
      <c r="D815" s="7">
        <f>MONTH(SalesData[[#This Row],[Order Date]])</f>
        <v>10</v>
      </c>
      <c r="E815" s="7">
        <f>YEAR(SalesData[[#This Row],[Order Date]])</f>
        <v>2024</v>
      </c>
      <c r="F815" t="s">
        <v>45</v>
      </c>
      <c r="G815" t="str">
        <f>PROPER(SalesData[[#This Row],[Product Name]])</f>
        <v>Solar Led Lantern</v>
      </c>
      <c r="H815" t="s">
        <v>1012</v>
      </c>
      <c r="I815" t="str">
        <f>UPPER(SalesData[[#This Row],[Product Category]])</f>
        <v>LIGHTING</v>
      </c>
      <c r="J815">
        <v>9</v>
      </c>
      <c r="K815">
        <v>40</v>
      </c>
      <c r="L815" s="15">
        <f>IF(SalesData[[#This Row],[Unit Price]]="",
    AVERAGEIFS(SalesData[Unit Price],
               SalesData[Product Name],SalesData[[#This Row],[Product Name]]),
    SalesData[[#This Row],[Unit Price]])</f>
        <v>40</v>
      </c>
      <c r="M815" s="15">
        <v>9.27</v>
      </c>
      <c r="N815" s="15">
        <f>SalesData[[#This Row],[Quantity Sold]] * SalesData[[#This Row],[Cleaned Unit Price]]</f>
        <v>360</v>
      </c>
      <c r="O815" s="15">
        <f>SalesData[[#This Row],[Quantity Sold]] * SalesData[[#This Row],[Unit Cost]]</f>
        <v>83.429999999999993</v>
      </c>
      <c r="P815" s="15">
        <f>SalesData[[#This Row],[Revenue]] - SalesData[[#This Row],[Cost]]</f>
        <v>276.57</v>
      </c>
      <c r="Q815" s="13">
        <f>IF(SalesData[[#This Row],[Revenue]]=0,0,SalesData[[#This Row],[Profit]]/SalesData[[#This Row],[Revenue]])</f>
        <v>0.76824999999999999</v>
      </c>
      <c r="R815" t="s">
        <v>1044</v>
      </c>
      <c r="S815" t="s">
        <v>1243</v>
      </c>
      <c r="T815" t="str">
        <f>PROPER(SalesData[[#This Row],[Customer Name]])</f>
        <v>Sophia Brown</v>
      </c>
      <c r="U815" t="s">
        <v>1417</v>
      </c>
      <c r="V815" t="s">
        <v>1424</v>
      </c>
    </row>
    <row r="816" spans="1:22" x14ac:dyDescent="0.25">
      <c r="A816" t="s">
        <v>2242</v>
      </c>
      <c r="B816" s="5">
        <v>45588</v>
      </c>
      <c r="C816" s="2" t="str">
        <f>TEXT(SalesData[[#This Row],[Order Date]],"mmm")</f>
        <v>Oct</v>
      </c>
      <c r="D816" s="7">
        <f>MONTH(SalesData[[#This Row],[Order Date]])</f>
        <v>10</v>
      </c>
      <c r="E816" s="7">
        <f>YEAR(SalesData[[#This Row],[Order Date]])</f>
        <v>2024</v>
      </c>
      <c r="F816" t="s">
        <v>270</v>
      </c>
      <c r="G816" t="str">
        <f>PROPER(SalesData[[#This Row],[Product Name]])</f>
        <v>Compostable Plant Pots</v>
      </c>
      <c r="H816" t="s">
        <v>1011</v>
      </c>
      <c r="I816" t="str">
        <f>UPPER(SalesData[[#This Row],[Product Category]])</f>
        <v>GARDENING</v>
      </c>
      <c r="J816">
        <v>3</v>
      </c>
      <c r="K816">
        <v>12</v>
      </c>
      <c r="L816" s="15">
        <f>IF(SalesData[[#This Row],[Unit Price]]="",
    AVERAGEIFS(SalesData[Unit Price],
               SalesData[Product Name],SalesData[[#This Row],[Product Name]]),
    SalesData[[#This Row],[Unit Price]])</f>
        <v>12</v>
      </c>
      <c r="M816" s="15">
        <v>4.5999999999999996</v>
      </c>
      <c r="N816" s="15">
        <f>SalesData[[#This Row],[Quantity Sold]] * SalesData[[#This Row],[Cleaned Unit Price]]</f>
        <v>36</v>
      </c>
      <c r="O816" s="15">
        <f>SalesData[[#This Row],[Quantity Sold]] * SalesData[[#This Row],[Unit Cost]]</f>
        <v>13.799999999999999</v>
      </c>
      <c r="P816" s="15">
        <f>SalesData[[#This Row],[Revenue]] - SalesData[[#This Row],[Cost]]</f>
        <v>22.200000000000003</v>
      </c>
      <c r="Q816" s="13">
        <f>IF(SalesData[[#This Row],[Revenue]]=0,0,SalesData[[#This Row],[Profit]]/SalesData[[#This Row],[Revenue]])</f>
        <v>0.6166666666666667</v>
      </c>
      <c r="R816" t="s">
        <v>1133</v>
      </c>
      <c r="S816" t="s">
        <v>1332</v>
      </c>
      <c r="T816" t="str">
        <f>PROPER(SalesData[[#This Row],[Customer Name]])</f>
        <v>Charlotte Garcia</v>
      </c>
      <c r="U816" t="s">
        <v>1414</v>
      </c>
      <c r="V816" t="s">
        <v>1419</v>
      </c>
    </row>
    <row r="817" spans="1:22" x14ac:dyDescent="0.25">
      <c r="A817" t="s">
        <v>2243</v>
      </c>
      <c r="B817" s="5">
        <v>45588</v>
      </c>
      <c r="C817" s="2" t="str">
        <f>TEXT(SalesData[[#This Row],[Order Date]],"mmm")</f>
        <v>Oct</v>
      </c>
      <c r="D817" s="7">
        <f>MONTH(SalesData[[#This Row],[Order Date]])</f>
        <v>10</v>
      </c>
      <c r="E817" s="7">
        <f>YEAR(SalesData[[#This Row],[Order Date]])</f>
        <v>2024</v>
      </c>
      <c r="F817" t="s">
        <v>552</v>
      </c>
      <c r="G817" t="str">
        <f>PROPER(SalesData[[#This Row],[Product Name]])</f>
        <v>Compostable Plant Pots</v>
      </c>
      <c r="H817" t="s">
        <v>1011</v>
      </c>
      <c r="I817" t="str">
        <f>UPPER(SalesData[[#This Row],[Product Category]])</f>
        <v>GARDENING</v>
      </c>
      <c r="J817">
        <v>2</v>
      </c>
      <c r="K817">
        <v>12</v>
      </c>
      <c r="L817" s="15">
        <f>IF(SalesData[[#This Row],[Unit Price]]="",
    AVERAGEIFS(SalesData[Unit Price],
               SalesData[Product Name],SalesData[[#This Row],[Product Name]]),
    SalesData[[#This Row],[Unit Price]])</f>
        <v>12</v>
      </c>
      <c r="M817" s="15">
        <v>2.86</v>
      </c>
      <c r="N817" s="15">
        <f>SalesData[[#This Row],[Quantity Sold]] * SalesData[[#This Row],[Cleaned Unit Price]]</f>
        <v>24</v>
      </c>
      <c r="O817" s="15">
        <f>SalesData[[#This Row],[Quantity Sold]] * SalesData[[#This Row],[Unit Cost]]</f>
        <v>5.72</v>
      </c>
      <c r="P817" s="15">
        <f>SalesData[[#This Row],[Revenue]] - SalesData[[#This Row],[Cost]]</f>
        <v>18.28</v>
      </c>
      <c r="Q817" s="13">
        <f>IF(SalesData[[#This Row],[Revenue]]=0,0,SalesData[[#This Row],[Profit]]/SalesData[[#This Row],[Revenue]])</f>
        <v>0.76166666666666671</v>
      </c>
      <c r="R817" t="s">
        <v>1133</v>
      </c>
      <c r="S817" t="s">
        <v>1332</v>
      </c>
      <c r="T817" t="str">
        <f>PROPER(SalesData[[#This Row],[Customer Name]])</f>
        <v>Charlotte Garcia</v>
      </c>
      <c r="U817" t="s">
        <v>1414</v>
      </c>
      <c r="V817" t="s">
        <v>1425</v>
      </c>
    </row>
    <row r="818" spans="1:22" x14ac:dyDescent="0.25">
      <c r="A818" t="s">
        <v>2244</v>
      </c>
      <c r="B818" s="5">
        <v>45588</v>
      </c>
      <c r="C818" s="2" t="str">
        <f>TEXT(SalesData[[#This Row],[Order Date]],"mmm")</f>
        <v>Oct</v>
      </c>
      <c r="D818" s="7">
        <f>MONTH(SalesData[[#This Row],[Order Date]])</f>
        <v>10</v>
      </c>
      <c r="E818" s="7">
        <f>YEAR(SalesData[[#This Row],[Order Date]])</f>
        <v>2024</v>
      </c>
      <c r="F818" t="s">
        <v>815</v>
      </c>
      <c r="G818" t="str">
        <f>PROPER(SalesData[[#This Row],[Product Name]])</f>
        <v>Biodegradable Cleaning Cloth</v>
      </c>
      <c r="H818" t="s">
        <v>1015</v>
      </c>
      <c r="I818" t="str">
        <f>UPPER(SalesData[[#This Row],[Product Category]])</f>
        <v>CLEANING</v>
      </c>
      <c r="J818">
        <v>10</v>
      </c>
      <c r="L818" s="15">
        <f>IF(SalesData[[#This Row],[Unit Price]]="",
    AVERAGEIFS(SalesData[Unit Price],
               SalesData[Product Name],SalesData[[#This Row],[Product Name]]),
    SalesData[[#This Row],[Unit Price]])</f>
        <v>10</v>
      </c>
      <c r="M818" s="15">
        <v>3.01</v>
      </c>
      <c r="N818" s="15">
        <f>SalesData[[#This Row],[Quantity Sold]] * SalesData[[#This Row],[Cleaned Unit Price]]</f>
        <v>100</v>
      </c>
      <c r="O818" s="15">
        <f>SalesData[[#This Row],[Quantity Sold]] * SalesData[[#This Row],[Unit Cost]]</f>
        <v>30.099999999999998</v>
      </c>
      <c r="P818" s="15">
        <f>SalesData[[#This Row],[Revenue]] - SalesData[[#This Row],[Cost]]</f>
        <v>69.900000000000006</v>
      </c>
      <c r="Q818" s="13">
        <f>IF(SalesData[[#This Row],[Revenue]]=0,0,SalesData[[#This Row],[Profit]]/SalesData[[#This Row],[Revenue]])</f>
        <v>0.69900000000000007</v>
      </c>
      <c r="R818" t="s">
        <v>1139</v>
      </c>
      <c r="S818" t="s">
        <v>1338</v>
      </c>
      <c r="T818" t="str">
        <f>PROPER(SalesData[[#This Row],[Customer Name]])</f>
        <v>Oliver Miller</v>
      </c>
      <c r="U818" t="s">
        <v>1414</v>
      </c>
      <c r="V818" t="s">
        <v>1421</v>
      </c>
    </row>
    <row r="819" spans="1:22" x14ac:dyDescent="0.25">
      <c r="A819" t="s">
        <v>2245</v>
      </c>
      <c r="B819" s="5">
        <v>45588</v>
      </c>
      <c r="C819" s="2" t="str">
        <f>TEXT(SalesData[[#This Row],[Order Date]],"mmm")</f>
        <v>Oct</v>
      </c>
      <c r="D819" s="7">
        <f>MONTH(SalesData[[#This Row],[Order Date]])</f>
        <v>10</v>
      </c>
      <c r="E819" s="7">
        <f>YEAR(SalesData[[#This Row],[Order Date]])</f>
        <v>2024</v>
      </c>
      <c r="F819" t="s">
        <v>1004</v>
      </c>
      <c r="G819" t="str">
        <f>PROPER(SalesData[[#This Row],[Product Name]])</f>
        <v>Eco Canvas Tote Bag</v>
      </c>
      <c r="H819" t="s">
        <v>1013</v>
      </c>
      <c r="I819" t="str">
        <f>UPPER(SalesData[[#This Row],[Product Category]])</f>
        <v>BAGS</v>
      </c>
      <c r="J819">
        <v>4</v>
      </c>
      <c r="K819">
        <v>25</v>
      </c>
      <c r="L819" s="15">
        <f>IF(SalesData[[#This Row],[Unit Price]]="",
    AVERAGEIFS(SalesData[Unit Price],
               SalesData[Product Name],SalesData[[#This Row],[Product Name]]),
    SalesData[[#This Row],[Unit Price]])</f>
        <v>25</v>
      </c>
      <c r="M819" s="15">
        <v>5.63</v>
      </c>
      <c r="N819" s="15">
        <f>SalesData[[#This Row],[Quantity Sold]] * SalesData[[#This Row],[Cleaned Unit Price]]</f>
        <v>100</v>
      </c>
      <c r="O819" s="15">
        <f>SalesData[[#This Row],[Quantity Sold]] * SalesData[[#This Row],[Unit Cost]]</f>
        <v>22.52</v>
      </c>
      <c r="P819" s="15">
        <f>SalesData[[#This Row],[Revenue]] - SalesData[[#This Row],[Cost]]</f>
        <v>77.48</v>
      </c>
      <c r="Q819" s="13">
        <f>IF(SalesData[[#This Row],[Revenue]]=0,0,SalesData[[#This Row],[Profit]]/SalesData[[#This Row],[Revenue]])</f>
        <v>0.77480000000000004</v>
      </c>
      <c r="R819" t="s">
        <v>1075</v>
      </c>
      <c r="S819" t="s">
        <v>1274</v>
      </c>
      <c r="T819" t="str">
        <f>PROPER(SalesData[[#This Row],[Customer Name]])</f>
        <v>Oliver Johnson</v>
      </c>
      <c r="U819" t="s">
        <v>1416</v>
      </c>
      <c r="V819" t="s">
        <v>1421</v>
      </c>
    </row>
    <row r="820" spans="1:22" x14ac:dyDescent="0.25">
      <c r="A820" t="s">
        <v>2246</v>
      </c>
      <c r="B820" s="5">
        <v>45589</v>
      </c>
      <c r="C820" s="2" t="str">
        <f>TEXT(SalesData[[#This Row],[Order Date]],"mmm")</f>
        <v>Oct</v>
      </c>
      <c r="D820" s="7">
        <f>MONTH(SalesData[[#This Row],[Order Date]])</f>
        <v>10</v>
      </c>
      <c r="E820" s="7">
        <f>YEAR(SalesData[[#This Row],[Order Date]])</f>
        <v>2024</v>
      </c>
      <c r="F820" t="s">
        <v>77</v>
      </c>
      <c r="G820" t="str">
        <f>PROPER(SalesData[[#This Row],[Product Name]])</f>
        <v>Compostable Plant Pots</v>
      </c>
      <c r="H820" t="s">
        <v>1011</v>
      </c>
      <c r="I820" t="str">
        <f>UPPER(SalesData[[#This Row],[Product Category]])</f>
        <v>GARDENING</v>
      </c>
      <c r="J820">
        <v>2</v>
      </c>
      <c r="K820">
        <v>12</v>
      </c>
      <c r="L820" s="15">
        <f>IF(SalesData[[#This Row],[Unit Price]]="",
    AVERAGEIFS(SalesData[Unit Price],
               SalesData[Product Name],SalesData[[#This Row],[Product Name]]),
    SalesData[[#This Row],[Unit Price]])</f>
        <v>12</v>
      </c>
      <c r="M820" s="15">
        <v>2.46</v>
      </c>
      <c r="N820" s="15">
        <f>SalesData[[#This Row],[Quantity Sold]] * SalesData[[#This Row],[Cleaned Unit Price]]</f>
        <v>24</v>
      </c>
      <c r="O820" s="15">
        <f>SalesData[[#This Row],[Quantity Sold]] * SalesData[[#This Row],[Unit Cost]]</f>
        <v>4.92</v>
      </c>
      <c r="P820" s="15">
        <f>SalesData[[#This Row],[Revenue]] - SalesData[[#This Row],[Cost]]</f>
        <v>19.079999999999998</v>
      </c>
      <c r="Q820" s="13">
        <f>IF(SalesData[[#This Row],[Revenue]]=0,0,SalesData[[#This Row],[Profit]]/SalesData[[#This Row],[Revenue]])</f>
        <v>0.79499999999999993</v>
      </c>
      <c r="R820" t="s">
        <v>1071</v>
      </c>
      <c r="S820" t="s">
        <v>1270</v>
      </c>
      <c r="T820" t="str">
        <f>PROPER(SalesData[[#This Row],[Customer Name]])</f>
        <v>Olivia Johnson</v>
      </c>
      <c r="U820" t="s">
        <v>1414</v>
      </c>
      <c r="V820" t="s">
        <v>1420</v>
      </c>
    </row>
    <row r="821" spans="1:22" x14ac:dyDescent="0.25">
      <c r="A821" t="s">
        <v>2247</v>
      </c>
      <c r="B821" s="5">
        <v>45589</v>
      </c>
      <c r="C821" s="2" t="str">
        <f>TEXT(SalesData[[#This Row],[Order Date]],"mmm")</f>
        <v>Oct</v>
      </c>
      <c r="D821" s="7">
        <f>MONTH(SalesData[[#This Row],[Order Date]])</f>
        <v>10</v>
      </c>
      <c r="E821" s="7">
        <f>YEAR(SalesData[[#This Row],[Order Date]])</f>
        <v>2024</v>
      </c>
      <c r="F821" t="s">
        <v>915</v>
      </c>
      <c r="G821" t="str">
        <f>PROPER(SalesData[[#This Row],[Product Name]])</f>
        <v>Biodegradable Cleaning Cloth</v>
      </c>
      <c r="H821" t="s">
        <v>1015</v>
      </c>
      <c r="I821" t="str">
        <f>UPPER(SalesData[[#This Row],[Product Category]])</f>
        <v>CLEANING</v>
      </c>
      <c r="J821">
        <v>10</v>
      </c>
      <c r="K821">
        <v>10</v>
      </c>
      <c r="L821" s="15">
        <f>IF(SalesData[[#This Row],[Unit Price]]="",
    AVERAGEIFS(SalesData[Unit Price],
               SalesData[Product Name],SalesData[[#This Row],[Product Name]]),
    SalesData[[#This Row],[Unit Price]])</f>
        <v>10</v>
      </c>
      <c r="M821" s="15">
        <v>3.42</v>
      </c>
      <c r="N821" s="15">
        <f>SalesData[[#This Row],[Quantity Sold]] * SalesData[[#This Row],[Cleaned Unit Price]]</f>
        <v>100</v>
      </c>
      <c r="O821" s="15">
        <f>SalesData[[#This Row],[Quantity Sold]] * SalesData[[#This Row],[Unit Cost]]</f>
        <v>34.200000000000003</v>
      </c>
      <c r="P821" s="15">
        <f>SalesData[[#This Row],[Revenue]] - SalesData[[#This Row],[Cost]]</f>
        <v>65.8</v>
      </c>
      <c r="Q821" s="13">
        <f>IF(SalesData[[#This Row],[Revenue]]=0,0,SalesData[[#This Row],[Profit]]/SalesData[[#This Row],[Revenue]])</f>
        <v>0.65799999999999992</v>
      </c>
      <c r="R821" t="s">
        <v>1179</v>
      </c>
      <c r="S821" t="s">
        <v>1378</v>
      </c>
      <c r="T821" t="str">
        <f>PROPER(SalesData[[#This Row],[Customer Name]])</f>
        <v>Olivia Williams</v>
      </c>
      <c r="U821" t="s">
        <v>1414</v>
      </c>
      <c r="V821" t="s">
        <v>1420</v>
      </c>
    </row>
    <row r="822" spans="1:22" x14ac:dyDescent="0.25">
      <c r="A822" t="s">
        <v>2248</v>
      </c>
      <c r="B822" s="5">
        <v>45590</v>
      </c>
      <c r="C822" s="2" t="str">
        <f>TEXT(SalesData[[#This Row],[Order Date]],"mmm")</f>
        <v>Oct</v>
      </c>
      <c r="D822" s="7">
        <f>MONTH(SalesData[[#This Row],[Order Date]])</f>
        <v>10</v>
      </c>
      <c r="E822" s="7">
        <f>YEAR(SalesData[[#This Row],[Order Date]])</f>
        <v>2024</v>
      </c>
      <c r="F822" t="s">
        <v>381</v>
      </c>
      <c r="G822" t="str">
        <f>PROPER(SalesData[[#This Row],[Product Name]])</f>
        <v>Biodegradable Cleaning Cloth</v>
      </c>
      <c r="H822" t="s">
        <v>1015</v>
      </c>
      <c r="I822" t="str">
        <f>UPPER(SalesData[[#This Row],[Product Category]])</f>
        <v>CLEANING</v>
      </c>
      <c r="J822">
        <v>1</v>
      </c>
      <c r="K822">
        <v>10</v>
      </c>
      <c r="L822" s="15">
        <f>IF(SalesData[[#This Row],[Unit Price]]="",
    AVERAGEIFS(SalesData[Unit Price],
               SalesData[Product Name],SalesData[[#This Row],[Product Name]]),
    SalesData[[#This Row],[Unit Price]])</f>
        <v>10</v>
      </c>
      <c r="M822" s="15">
        <v>3.95</v>
      </c>
      <c r="N822" s="15">
        <f>SalesData[[#This Row],[Quantity Sold]] * SalesData[[#This Row],[Cleaned Unit Price]]</f>
        <v>10</v>
      </c>
      <c r="O822" s="15">
        <f>SalesData[[#This Row],[Quantity Sold]] * SalesData[[#This Row],[Unit Cost]]</f>
        <v>3.95</v>
      </c>
      <c r="P822" s="15">
        <f>SalesData[[#This Row],[Revenue]] - SalesData[[#This Row],[Cost]]</f>
        <v>6.05</v>
      </c>
      <c r="Q822" s="13">
        <f>IF(SalesData[[#This Row],[Revenue]]=0,0,SalesData[[#This Row],[Profit]]/SalesData[[#This Row],[Revenue]])</f>
        <v>0.60499999999999998</v>
      </c>
      <c r="R822" t="s">
        <v>1079</v>
      </c>
      <c r="S822" t="s">
        <v>1278</v>
      </c>
      <c r="T822" t="str">
        <f>PROPER(SalesData[[#This Row],[Customer Name]])</f>
        <v>Harper Smith</v>
      </c>
      <c r="U822" t="s">
        <v>1416</v>
      </c>
      <c r="V822" t="s">
        <v>1422</v>
      </c>
    </row>
    <row r="823" spans="1:22" x14ac:dyDescent="0.25">
      <c r="A823" t="s">
        <v>2249</v>
      </c>
      <c r="B823" s="5">
        <v>45590</v>
      </c>
      <c r="C823" s="2" t="str">
        <f>TEXT(SalesData[[#This Row],[Order Date]],"mmm")</f>
        <v>Oct</v>
      </c>
      <c r="D823" s="7">
        <f>MONTH(SalesData[[#This Row],[Order Date]])</f>
        <v>10</v>
      </c>
      <c r="E823" s="7">
        <f>YEAR(SalesData[[#This Row],[Order Date]])</f>
        <v>2024</v>
      </c>
      <c r="F823" t="s">
        <v>849</v>
      </c>
      <c r="G823" t="str">
        <f>PROPER(SalesData[[#This Row],[Product Name]])</f>
        <v>Eco Canvas Tote Bag</v>
      </c>
      <c r="H823" t="s">
        <v>1013</v>
      </c>
      <c r="I823" t="str">
        <f>UPPER(SalesData[[#This Row],[Product Category]])</f>
        <v>BAGS</v>
      </c>
      <c r="J823">
        <v>9</v>
      </c>
      <c r="K823">
        <v>25</v>
      </c>
      <c r="L823" s="15">
        <f>IF(SalesData[[#This Row],[Unit Price]]="",
    AVERAGEIFS(SalesData[Unit Price],
               SalesData[Product Name],SalesData[[#This Row],[Product Name]]),
    SalesData[[#This Row],[Unit Price]])</f>
        <v>25</v>
      </c>
      <c r="M823" s="15">
        <v>9.23</v>
      </c>
      <c r="N823" s="15">
        <f>SalesData[[#This Row],[Quantity Sold]] * SalesData[[#This Row],[Cleaned Unit Price]]</f>
        <v>225</v>
      </c>
      <c r="O823" s="15">
        <f>SalesData[[#This Row],[Quantity Sold]] * SalesData[[#This Row],[Unit Cost]]</f>
        <v>83.070000000000007</v>
      </c>
      <c r="P823" s="15">
        <f>SalesData[[#This Row],[Revenue]] - SalesData[[#This Row],[Cost]]</f>
        <v>141.93</v>
      </c>
      <c r="Q823" s="13">
        <f>IF(SalesData[[#This Row],[Revenue]]=0,0,SalesData[[#This Row],[Profit]]/SalesData[[#This Row],[Revenue]])</f>
        <v>0.63080000000000003</v>
      </c>
      <c r="R823" t="s">
        <v>1162</v>
      </c>
      <c r="S823" t="s">
        <v>1361</v>
      </c>
      <c r="T823" t="str">
        <f>PROPER(SalesData[[#This Row],[Customer Name]])</f>
        <v>Olivia Garcia</v>
      </c>
      <c r="U823" t="s">
        <v>1414</v>
      </c>
      <c r="V823" t="s">
        <v>1419</v>
      </c>
    </row>
    <row r="824" spans="1:22" x14ac:dyDescent="0.25">
      <c r="A824" t="s">
        <v>2250</v>
      </c>
      <c r="B824" s="5">
        <v>45591</v>
      </c>
      <c r="C824" s="2" t="str">
        <f>TEXT(SalesData[[#This Row],[Order Date]],"mmm")</f>
        <v>Oct</v>
      </c>
      <c r="D824" s="7">
        <f>MONTH(SalesData[[#This Row],[Order Date]])</f>
        <v>10</v>
      </c>
      <c r="E824" s="7">
        <f>YEAR(SalesData[[#This Row],[Order Date]])</f>
        <v>2024</v>
      </c>
      <c r="F824" t="s">
        <v>153</v>
      </c>
      <c r="G824" t="str">
        <f>PROPER(SalesData[[#This Row],[Product Name]])</f>
        <v>Solar Led Lantern</v>
      </c>
      <c r="H824" t="s">
        <v>1012</v>
      </c>
      <c r="I824" t="str">
        <f>UPPER(SalesData[[#This Row],[Product Category]])</f>
        <v>LIGHTING</v>
      </c>
      <c r="J824">
        <v>2</v>
      </c>
      <c r="K824">
        <v>40</v>
      </c>
      <c r="L824" s="15">
        <f>IF(SalesData[[#This Row],[Unit Price]]="",
    AVERAGEIFS(SalesData[Unit Price],
               SalesData[Product Name],SalesData[[#This Row],[Product Name]]),
    SalesData[[#This Row],[Unit Price]])</f>
        <v>40</v>
      </c>
      <c r="M824" s="15">
        <v>11.27</v>
      </c>
      <c r="N824" s="15">
        <f>SalesData[[#This Row],[Quantity Sold]] * SalesData[[#This Row],[Cleaned Unit Price]]</f>
        <v>80</v>
      </c>
      <c r="O824" s="15">
        <f>SalesData[[#This Row],[Quantity Sold]] * SalesData[[#This Row],[Unit Cost]]</f>
        <v>22.54</v>
      </c>
      <c r="P824" s="15">
        <f>SalesData[[#This Row],[Revenue]] - SalesData[[#This Row],[Cost]]</f>
        <v>57.46</v>
      </c>
      <c r="Q824" s="13">
        <f>IF(SalesData[[#This Row],[Revenue]]=0,0,SalesData[[#This Row],[Profit]]/SalesData[[#This Row],[Revenue]])</f>
        <v>0.71825000000000006</v>
      </c>
      <c r="R824" t="s">
        <v>1122</v>
      </c>
      <c r="S824" t="s">
        <v>1321</v>
      </c>
      <c r="T824" t="str">
        <f>PROPER(SalesData[[#This Row],[Customer Name]])</f>
        <v>Harper Rodriguez</v>
      </c>
      <c r="U824" t="s">
        <v>1414</v>
      </c>
      <c r="V824" t="s">
        <v>1425</v>
      </c>
    </row>
    <row r="825" spans="1:22" x14ac:dyDescent="0.25">
      <c r="A825" t="s">
        <v>2251</v>
      </c>
      <c r="B825" s="5">
        <v>45591</v>
      </c>
      <c r="C825" s="2" t="str">
        <f>TEXT(SalesData[[#This Row],[Order Date]],"mmm")</f>
        <v>Oct</v>
      </c>
      <c r="D825" s="7">
        <f>MONTH(SalesData[[#This Row],[Order Date]])</f>
        <v>10</v>
      </c>
      <c r="E825" s="7">
        <f>YEAR(SalesData[[#This Row],[Order Date]])</f>
        <v>2024</v>
      </c>
      <c r="F825" t="s">
        <v>165</v>
      </c>
      <c r="G825" t="str">
        <f>PROPER(SalesData[[#This Row],[Product Name]])</f>
        <v>Solar Led Lantern</v>
      </c>
      <c r="H825" t="s">
        <v>1012</v>
      </c>
      <c r="I825" t="str">
        <f>UPPER(SalesData[[#This Row],[Product Category]])</f>
        <v>LIGHTING</v>
      </c>
      <c r="J825">
        <v>4</v>
      </c>
      <c r="K825">
        <v>40</v>
      </c>
      <c r="L825" s="15">
        <f>IF(SalesData[[#This Row],[Unit Price]]="",
    AVERAGEIFS(SalesData[Unit Price],
               SalesData[Product Name],SalesData[[#This Row],[Product Name]]),
    SalesData[[#This Row],[Unit Price]])</f>
        <v>40</v>
      </c>
      <c r="M825" s="15">
        <v>9.61</v>
      </c>
      <c r="N825" s="15">
        <f>SalesData[[#This Row],[Quantity Sold]] * SalesData[[#This Row],[Cleaned Unit Price]]</f>
        <v>160</v>
      </c>
      <c r="O825" s="15">
        <f>SalesData[[#This Row],[Quantity Sold]] * SalesData[[#This Row],[Unit Cost]]</f>
        <v>38.44</v>
      </c>
      <c r="P825" s="15">
        <f>SalesData[[#This Row],[Revenue]] - SalesData[[#This Row],[Cost]]</f>
        <v>121.56</v>
      </c>
      <c r="Q825" s="13">
        <f>IF(SalesData[[#This Row],[Revenue]]=0,0,SalesData[[#This Row],[Profit]]/SalesData[[#This Row],[Revenue]])</f>
        <v>0.75975000000000004</v>
      </c>
      <c r="R825" t="s">
        <v>1125</v>
      </c>
      <c r="S825" t="s">
        <v>1324</v>
      </c>
      <c r="T825" t="str">
        <f>PROPER(SalesData[[#This Row],[Customer Name]])</f>
        <v>Mia Brown</v>
      </c>
      <c r="U825" t="s">
        <v>1414</v>
      </c>
      <c r="V825" t="s">
        <v>1426</v>
      </c>
    </row>
    <row r="826" spans="1:22" x14ac:dyDescent="0.25">
      <c r="A826" t="s">
        <v>2252</v>
      </c>
      <c r="B826" s="5">
        <v>45591</v>
      </c>
      <c r="C826" s="2" t="str">
        <f>TEXT(SalesData[[#This Row],[Order Date]],"mmm")</f>
        <v>Oct</v>
      </c>
      <c r="D826" s="7">
        <f>MONTH(SalesData[[#This Row],[Order Date]])</f>
        <v>10</v>
      </c>
      <c r="E826" s="7">
        <f>YEAR(SalesData[[#This Row],[Order Date]])</f>
        <v>2024</v>
      </c>
      <c r="F826" t="s">
        <v>188</v>
      </c>
      <c r="G826" t="str">
        <f>PROPER(SalesData[[#This Row],[Product Name]])</f>
        <v>Eco Canvas Tote Bag</v>
      </c>
      <c r="H826" t="s">
        <v>1013</v>
      </c>
      <c r="I826" t="str">
        <f>UPPER(SalesData[[#This Row],[Product Category]])</f>
        <v>BAGS</v>
      </c>
      <c r="J826">
        <v>6</v>
      </c>
      <c r="K826">
        <v>25</v>
      </c>
      <c r="L826" s="15">
        <f>IF(SalesData[[#This Row],[Unit Price]]="",
    AVERAGEIFS(SalesData[Unit Price],
               SalesData[Product Name],SalesData[[#This Row],[Product Name]]),
    SalesData[[#This Row],[Unit Price]])</f>
        <v>25</v>
      </c>
      <c r="M826" s="15">
        <v>9.08</v>
      </c>
      <c r="N826" s="15">
        <f>SalesData[[#This Row],[Quantity Sold]] * SalesData[[#This Row],[Cleaned Unit Price]]</f>
        <v>150</v>
      </c>
      <c r="O826" s="15">
        <f>SalesData[[#This Row],[Quantity Sold]] * SalesData[[#This Row],[Unit Cost]]</f>
        <v>54.480000000000004</v>
      </c>
      <c r="P826" s="15">
        <f>SalesData[[#This Row],[Revenue]] - SalesData[[#This Row],[Cost]]</f>
        <v>95.52</v>
      </c>
      <c r="Q826" s="13">
        <f>IF(SalesData[[#This Row],[Revenue]]=0,0,SalesData[[#This Row],[Profit]]/SalesData[[#This Row],[Revenue]])</f>
        <v>0.63679999999999992</v>
      </c>
      <c r="R826" t="s">
        <v>1135</v>
      </c>
      <c r="S826" t="s">
        <v>1334</v>
      </c>
      <c r="T826" t="str">
        <f>PROPER(SalesData[[#This Row],[Customer Name]])</f>
        <v>Noah Rodriguez</v>
      </c>
      <c r="U826" t="s">
        <v>1414</v>
      </c>
      <c r="V826" t="s">
        <v>1422</v>
      </c>
    </row>
    <row r="827" spans="1:22" x14ac:dyDescent="0.25">
      <c r="A827" t="s">
        <v>2253</v>
      </c>
      <c r="B827" s="5">
        <v>45592</v>
      </c>
      <c r="C827" s="2" t="str">
        <f>TEXT(SalesData[[#This Row],[Order Date]],"mmm")</f>
        <v>Oct</v>
      </c>
      <c r="D827" s="7">
        <f>MONTH(SalesData[[#This Row],[Order Date]])</f>
        <v>10</v>
      </c>
      <c r="E827" s="7">
        <f>YEAR(SalesData[[#This Row],[Order Date]])</f>
        <v>2024</v>
      </c>
      <c r="F827" t="s">
        <v>433</v>
      </c>
      <c r="G827" t="str">
        <f>PROPER(SalesData[[#This Row],[Product Name]])</f>
        <v>Biodegradable Cleaning Cloth</v>
      </c>
      <c r="H827" t="s">
        <v>1015</v>
      </c>
      <c r="I827" t="str">
        <f>UPPER(SalesData[[#This Row],[Product Category]])</f>
        <v>CLEANING</v>
      </c>
      <c r="J827">
        <v>10</v>
      </c>
      <c r="K827">
        <v>10</v>
      </c>
      <c r="L827" s="15">
        <f>IF(SalesData[[#This Row],[Unit Price]]="",
    AVERAGEIFS(SalesData[Unit Price],
               SalesData[Product Name],SalesData[[#This Row],[Product Name]]),
    SalesData[[#This Row],[Unit Price]])</f>
        <v>10</v>
      </c>
      <c r="M827" s="15">
        <v>3.48</v>
      </c>
      <c r="N827" s="15">
        <f>SalesData[[#This Row],[Quantity Sold]] * SalesData[[#This Row],[Cleaned Unit Price]]</f>
        <v>100</v>
      </c>
      <c r="O827" s="15">
        <f>SalesData[[#This Row],[Quantity Sold]] * SalesData[[#This Row],[Unit Cost]]</f>
        <v>34.799999999999997</v>
      </c>
      <c r="P827" s="15">
        <f>SalesData[[#This Row],[Revenue]] - SalesData[[#This Row],[Cost]]</f>
        <v>65.2</v>
      </c>
      <c r="Q827" s="13">
        <f>IF(SalesData[[#This Row],[Revenue]]=0,0,SalesData[[#This Row],[Profit]]/SalesData[[#This Row],[Revenue]])</f>
        <v>0.65200000000000002</v>
      </c>
      <c r="R827" t="s">
        <v>1050</v>
      </c>
      <c r="S827" t="s">
        <v>1249</v>
      </c>
      <c r="T827" t="str">
        <f>PROPER(SalesData[[#This Row],[Customer Name]])</f>
        <v>Charlotte Garcia</v>
      </c>
      <c r="U827" t="s">
        <v>1414</v>
      </c>
      <c r="V827" t="s">
        <v>1424</v>
      </c>
    </row>
    <row r="828" spans="1:22" x14ac:dyDescent="0.25">
      <c r="A828" t="s">
        <v>2254</v>
      </c>
      <c r="B828" s="5">
        <v>45592</v>
      </c>
      <c r="C828" s="2" t="str">
        <f>TEXT(SalesData[[#This Row],[Order Date]],"mmm")</f>
        <v>Oct</v>
      </c>
      <c r="D828" s="7">
        <f>MONTH(SalesData[[#This Row],[Order Date]])</f>
        <v>10</v>
      </c>
      <c r="E828" s="7">
        <f>YEAR(SalesData[[#This Row],[Order Date]])</f>
        <v>2024</v>
      </c>
      <c r="F828" t="s">
        <v>472</v>
      </c>
      <c r="G828" t="str">
        <f>PROPER(SalesData[[#This Row],[Product Name]])</f>
        <v>Eco Canvas Tote Bag</v>
      </c>
      <c r="H828" t="s">
        <v>1013</v>
      </c>
      <c r="I828" t="str">
        <f>UPPER(SalesData[[#This Row],[Product Category]])</f>
        <v>BAGS</v>
      </c>
      <c r="J828">
        <v>1</v>
      </c>
      <c r="K828">
        <v>25</v>
      </c>
      <c r="L828" s="15">
        <f>IF(SalesData[[#This Row],[Unit Price]]="",
    AVERAGEIFS(SalesData[Unit Price],
               SalesData[Product Name],SalesData[[#This Row],[Product Name]]),
    SalesData[[#This Row],[Unit Price]])</f>
        <v>25</v>
      </c>
      <c r="M828" s="15">
        <v>6.8</v>
      </c>
      <c r="N828" s="15">
        <f>SalesData[[#This Row],[Quantity Sold]] * SalesData[[#This Row],[Cleaned Unit Price]]</f>
        <v>25</v>
      </c>
      <c r="O828" s="15">
        <f>SalesData[[#This Row],[Quantity Sold]] * SalesData[[#This Row],[Unit Cost]]</f>
        <v>6.8</v>
      </c>
      <c r="P828" s="15">
        <f>SalesData[[#This Row],[Revenue]] - SalesData[[#This Row],[Cost]]</f>
        <v>18.2</v>
      </c>
      <c r="Q828" s="13">
        <f>IF(SalesData[[#This Row],[Revenue]]=0,0,SalesData[[#This Row],[Profit]]/SalesData[[#This Row],[Revenue]])</f>
        <v>0.72799999999999998</v>
      </c>
      <c r="R828" t="s">
        <v>1053</v>
      </c>
      <c r="S828" t="s">
        <v>1252</v>
      </c>
      <c r="T828" t="str">
        <f>PROPER(SalesData[[#This Row],[Customer Name]])</f>
        <v>Evelyn Garcia</v>
      </c>
      <c r="U828" t="s">
        <v>1414</v>
      </c>
      <c r="V828" t="s">
        <v>1426</v>
      </c>
    </row>
    <row r="829" spans="1:22" x14ac:dyDescent="0.25">
      <c r="A829" t="s">
        <v>2255</v>
      </c>
      <c r="B829" s="5">
        <v>45592</v>
      </c>
      <c r="C829" s="2" t="str">
        <f>TEXT(SalesData[[#This Row],[Order Date]],"mmm")</f>
        <v>Oct</v>
      </c>
      <c r="D829" s="7">
        <f>MONTH(SalesData[[#This Row],[Order Date]])</f>
        <v>10</v>
      </c>
      <c r="E829" s="7">
        <f>YEAR(SalesData[[#This Row],[Order Date]])</f>
        <v>2024</v>
      </c>
      <c r="F829" t="s">
        <v>772</v>
      </c>
      <c r="G829" t="str">
        <f>PROPER(SalesData[[#This Row],[Product Name]])</f>
        <v>Eco Canvas Tote Bag</v>
      </c>
      <c r="H829" t="s">
        <v>1013</v>
      </c>
      <c r="I829" t="str">
        <f>UPPER(SalesData[[#This Row],[Product Category]])</f>
        <v>BAGS</v>
      </c>
      <c r="J829">
        <v>10</v>
      </c>
      <c r="K829">
        <v>25</v>
      </c>
      <c r="L829" s="15">
        <f>IF(SalesData[[#This Row],[Unit Price]]="",
    AVERAGEIFS(SalesData[Unit Price],
               SalesData[Product Name],SalesData[[#This Row],[Product Name]]),
    SalesData[[#This Row],[Unit Price]])</f>
        <v>25</v>
      </c>
      <c r="M829" s="15">
        <v>8.74</v>
      </c>
      <c r="N829" s="15">
        <f>SalesData[[#This Row],[Quantity Sold]] * SalesData[[#This Row],[Cleaned Unit Price]]</f>
        <v>250</v>
      </c>
      <c r="O829" s="15">
        <f>SalesData[[#This Row],[Quantity Sold]] * SalesData[[#This Row],[Unit Cost]]</f>
        <v>87.4</v>
      </c>
      <c r="P829" s="15">
        <f>SalesData[[#This Row],[Revenue]] - SalesData[[#This Row],[Cost]]</f>
        <v>162.6</v>
      </c>
      <c r="Q829" s="13">
        <f>IF(SalesData[[#This Row],[Revenue]]=0,0,SalesData[[#This Row],[Profit]]/SalesData[[#This Row],[Revenue]])</f>
        <v>0.65039999999999998</v>
      </c>
      <c r="R829" t="s">
        <v>1019</v>
      </c>
      <c r="S829" t="s">
        <v>1218</v>
      </c>
      <c r="T829" t="str">
        <f>PROPER(SalesData[[#This Row],[Customer Name]])</f>
        <v>Liam Jones</v>
      </c>
      <c r="U829" t="s">
        <v>1414</v>
      </c>
      <c r="V829" t="s">
        <v>1422</v>
      </c>
    </row>
    <row r="830" spans="1:22" x14ac:dyDescent="0.25">
      <c r="A830" t="s">
        <v>2256</v>
      </c>
      <c r="B830" s="5">
        <v>45592</v>
      </c>
      <c r="C830" s="2" t="str">
        <f>TEXT(SalesData[[#This Row],[Order Date]],"mmm")</f>
        <v>Oct</v>
      </c>
      <c r="D830" s="7">
        <f>MONTH(SalesData[[#This Row],[Order Date]])</f>
        <v>10</v>
      </c>
      <c r="E830" s="7">
        <f>YEAR(SalesData[[#This Row],[Order Date]])</f>
        <v>2024</v>
      </c>
      <c r="F830" t="s">
        <v>844</v>
      </c>
      <c r="G830" t="str">
        <f>PROPER(SalesData[[#This Row],[Product Name]])</f>
        <v>Reusable Bamboo Utensil Set</v>
      </c>
      <c r="H830" t="s">
        <v>1014</v>
      </c>
      <c r="I830" t="str">
        <f>UPPER(SalesData[[#This Row],[Product Category]])</f>
        <v>KITCHENWARE</v>
      </c>
      <c r="J830">
        <v>8</v>
      </c>
      <c r="K830">
        <v>15</v>
      </c>
      <c r="L830" s="15">
        <f>IF(SalesData[[#This Row],[Unit Price]]="",
    AVERAGEIFS(SalesData[Unit Price],
               SalesData[Product Name],SalesData[[#This Row],[Product Name]]),
    SalesData[[#This Row],[Unit Price]])</f>
        <v>15</v>
      </c>
      <c r="M830" s="15">
        <v>5.93</v>
      </c>
      <c r="N830" s="15">
        <f>SalesData[[#This Row],[Quantity Sold]] * SalesData[[#This Row],[Cleaned Unit Price]]</f>
        <v>120</v>
      </c>
      <c r="O830" s="15">
        <f>SalesData[[#This Row],[Quantity Sold]] * SalesData[[#This Row],[Unit Cost]]</f>
        <v>47.44</v>
      </c>
      <c r="P830" s="15">
        <f>SalesData[[#This Row],[Revenue]] - SalesData[[#This Row],[Cost]]</f>
        <v>72.56</v>
      </c>
      <c r="Q830" s="13">
        <f>IF(SalesData[[#This Row],[Revenue]]=0,0,SalesData[[#This Row],[Profit]]/SalesData[[#This Row],[Revenue]])</f>
        <v>0.60466666666666669</v>
      </c>
      <c r="R830" t="s">
        <v>1022</v>
      </c>
      <c r="S830" t="s">
        <v>1221</v>
      </c>
      <c r="T830" t="str">
        <f>PROPER(SalesData[[#This Row],[Customer Name]])</f>
        <v>Liam Johnson</v>
      </c>
      <c r="U830" t="s">
        <v>1416</v>
      </c>
      <c r="V830" t="s">
        <v>1427</v>
      </c>
    </row>
    <row r="831" spans="1:22" x14ac:dyDescent="0.25">
      <c r="A831" t="s">
        <v>2257</v>
      </c>
      <c r="B831" s="5">
        <v>45592</v>
      </c>
      <c r="C831" s="2" t="str">
        <f>TEXT(SalesData[[#This Row],[Order Date]],"mmm")</f>
        <v>Oct</v>
      </c>
      <c r="D831" s="7">
        <f>MONTH(SalesData[[#This Row],[Order Date]])</f>
        <v>10</v>
      </c>
      <c r="E831" s="7">
        <f>YEAR(SalesData[[#This Row],[Order Date]])</f>
        <v>2024</v>
      </c>
      <c r="F831" t="s">
        <v>991</v>
      </c>
      <c r="G831" t="str">
        <f>PROPER(SalesData[[#This Row],[Product Name]])</f>
        <v>Solar Led Lantern</v>
      </c>
      <c r="H831" t="s">
        <v>1012</v>
      </c>
      <c r="I831" t="str">
        <f>UPPER(SalesData[[#This Row],[Product Category]])</f>
        <v>LIGHTING</v>
      </c>
      <c r="J831">
        <v>2</v>
      </c>
      <c r="K831">
        <v>40</v>
      </c>
      <c r="L831" s="15">
        <f>IF(SalesData[[#This Row],[Unit Price]]="",
    AVERAGEIFS(SalesData[Unit Price],
               SalesData[Product Name],SalesData[[#This Row],[Product Name]]),
    SalesData[[#This Row],[Unit Price]])</f>
        <v>40</v>
      </c>
      <c r="M831" s="15">
        <v>11.4</v>
      </c>
      <c r="N831" s="15">
        <f>SalesData[[#This Row],[Quantity Sold]] * SalesData[[#This Row],[Cleaned Unit Price]]</f>
        <v>80</v>
      </c>
      <c r="O831" s="15">
        <f>SalesData[[#This Row],[Quantity Sold]] * SalesData[[#This Row],[Unit Cost]]</f>
        <v>22.8</v>
      </c>
      <c r="P831" s="15">
        <f>SalesData[[#This Row],[Revenue]] - SalesData[[#This Row],[Cost]]</f>
        <v>57.2</v>
      </c>
      <c r="Q831" s="13">
        <f>IF(SalesData[[#This Row],[Revenue]]=0,0,SalesData[[#This Row],[Profit]]/SalesData[[#This Row],[Revenue]])</f>
        <v>0.71500000000000008</v>
      </c>
      <c r="R831" t="s">
        <v>1174</v>
      </c>
      <c r="S831" t="s">
        <v>1373</v>
      </c>
      <c r="T831" t="str">
        <f>PROPER(SalesData[[#This Row],[Customer Name]])</f>
        <v>Mason Jones</v>
      </c>
      <c r="U831" t="s">
        <v>1414</v>
      </c>
      <c r="V831" t="s">
        <v>1427</v>
      </c>
    </row>
    <row r="832" spans="1:22" x14ac:dyDescent="0.25">
      <c r="A832" t="s">
        <v>2258</v>
      </c>
      <c r="B832" s="5">
        <v>45593</v>
      </c>
      <c r="C832" s="2" t="str">
        <f>TEXT(SalesData[[#This Row],[Order Date]],"mmm")</f>
        <v>Oct</v>
      </c>
      <c r="D832" s="7">
        <f>MONTH(SalesData[[#This Row],[Order Date]])</f>
        <v>10</v>
      </c>
      <c r="E832" s="7">
        <f>YEAR(SalesData[[#This Row],[Order Date]])</f>
        <v>2024</v>
      </c>
      <c r="F832" t="s">
        <v>128</v>
      </c>
      <c r="G832" t="str">
        <f>PROPER(SalesData[[#This Row],[Product Name]])</f>
        <v>Reusable Bamboo Utensil Set</v>
      </c>
      <c r="H832" t="s">
        <v>1014</v>
      </c>
      <c r="I832" t="str">
        <f>UPPER(SalesData[[#This Row],[Product Category]])</f>
        <v>KITCHENWARE</v>
      </c>
      <c r="J832">
        <v>10</v>
      </c>
      <c r="K832">
        <v>15</v>
      </c>
      <c r="L832" s="15">
        <f>IF(SalesData[[#This Row],[Unit Price]]="",
    AVERAGEIFS(SalesData[Unit Price],
               SalesData[Product Name],SalesData[[#This Row],[Product Name]]),
    SalesData[[#This Row],[Unit Price]])</f>
        <v>15</v>
      </c>
      <c r="M832" s="15">
        <v>3.2</v>
      </c>
      <c r="N832" s="15">
        <f>SalesData[[#This Row],[Quantity Sold]] * SalesData[[#This Row],[Cleaned Unit Price]]</f>
        <v>150</v>
      </c>
      <c r="O832" s="15">
        <f>SalesData[[#This Row],[Quantity Sold]] * SalesData[[#This Row],[Unit Cost]]</f>
        <v>32</v>
      </c>
      <c r="P832" s="15">
        <f>SalesData[[#This Row],[Revenue]] - SalesData[[#This Row],[Cost]]</f>
        <v>118</v>
      </c>
      <c r="Q832" s="13">
        <f>IF(SalesData[[#This Row],[Revenue]]=0,0,SalesData[[#This Row],[Profit]]/SalesData[[#This Row],[Revenue]])</f>
        <v>0.78666666666666663</v>
      </c>
      <c r="R832" t="s">
        <v>1105</v>
      </c>
      <c r="S832" t="s">
        <v>1304</v>
      </c>
      <c r="T832" t="str">
        <f>PROPER(SalesData[[#This Row],[Customer Name]])</f>
        <v>Lucas Smith</v>
      </c>
      <c r="U832" t="s">
        <v>1414</v>
      </c>
      <c r="V832" t="s">
        <v>1419</v>
      </c>
    </row>
    <row r="833" spans="1:22" x14ac:dyDescent="0.25">
      <c r="A833" t="s">
        <v>2259</v>
      </c>
      <c r="B833" s="5">
        <v>45593</v>
      </c>
      <c r="C833" s="2" t="str">
        <f>TEXT(SalesData[[#This Row],[Order Date]],"mmm")</f>
        <v>Oct</v>
      </c>
      <c r="D833" s="7">
        <f>MONTH(SalesData[[#This Row],[Order Date]])</f>
        <v>10</v>
      </c>
      <c r="E833" s="7">
        <f>YEAR(SalesData[[#This Row],[Order Date]])</f>
        <v>2024</v>
      </c>
      <c r="F833" t="s">
        <v>466</v>
      </c>
      <c r="G833" t="str">
        <f>PROPER(SalesData[[#This Row],[Product Name]])</f>
        <v>Biodegradable Cleaning Cloth</v>
      </c>
      <c r="H833" t="s">
        <v>1015</v>
      </c>
      <c r="I833" t="str">
        <f>UPPER(SalesData[[#This Row],[Product Category]])</f>
        <v>CLEANING</v>
      </c>
      <c r="J833">
        <v>7</v>
      </c>
      <c r="K833">
        <v>10</v>
      </c>
      <c r="L833" s="15">
        <f>IF(SalesData[[#This Row],[Unit Price]]="",
    AVERAGEIFS(SalesData[Unit Price],
               SalesData[Product Name],SalesData[[#This Row],[Product Name]]),
    SalesData[[#This Row],[Unit Price]])</f>
        <v>10</v>
      </c>
      <c r="M833" s="15">
        <v>3.47</v>
      </c>
      <c r="N833" s="15">
        <f>SalesData[[#This Row],[Quantity Sold]] * SalesData[[#This Row],[Cleaned Unit Price]]</f>
        <v>70</v>
      </c>
      <c r="O833" s="15">
        <f>SalesData[[#This Row],[Quantity Sold]] * SalesData[[#This Row],[Unit Cost]]</f>
        <v>24.290000000000003</v>
      </c>
      <c r="P833" s="15">
        <f>SalesData[[#This Row],[Revenue]] - SalesData[[#This Row],[Cost]]</f>
        <v>45.709999999999994</v>
      </c>
      <c r="Q833" s="13">
        <f>IF(SalesData[[#This Row],[Revenue]]=0,0,SalesData[[#This Row],[Profit]]/SalesData[[#This Row],[Revenue]])</f>
        <v>0.65299999999999991</v>
      </c>
      <c r="R833" t="s">
        <v>1164</v>
      </c>
      <c r="S833" t="s">
        <v>1363</v>
      </c>
      <c r="T833" t="str">
        <f>PROPER(SalesData[[#This Row],[Customer Name]])</f>
        <v>Amelia Jones</v>
      </c>
      <c r="U833" t="s">
        <v>1414</v>
      </c>
      <c r="V833" t="s">
        <v>1420</v>
      </c>
    </row>
    <row r="834" spans="1:22" x14ac:dyDescent="0.25">
      <c r="A834" t="s">
        <v>2260</v>
      </c>
      <c r="B834" s="5">
        <v>45593</v>
      </c>
      <c r="C834" s="2" t="str">
        <f>TEXT(SalesData[[#This Row],[Order Date]],"mmm")</f>
        <v>Oct</v>
      </c>
      <c r="D834" s="7">
        <f>MONTH(SalesData[[#This Row],[Order Date]])</f>
        <v>10</v>
      </c>
      <c r="E834" s="7">
        <f>YEAR(SalesData[[#This Row],[Order Date]])</f>
        <v>2024</v>
      </c>
      <c r="F834" t="s">
        <v>528</v>
      </c>
      <c r="G834" t="str">
        <f>PROPER(SalesData[[#This Row],[Product Name]])</f>
        <v>Solar Led Lantern</v>
      </c>
      <c r="H834" t="s">
        <v>1012</v>
      </c>
      <c r="I834" t="str">
        <f>UPPER(SalesData[[#This Row],[Product Category]])</f>
        <v>LIGHTING</v>
      </c>
      <c r="J834">
        <v>3</v>
      </c>
      <c r="K834">
        <v>40</v>
      </c>
      <c r="L834" s="15">
        <f>IF(SalesData[[#This Row],[Unit Price]]="",
    AVERAGEIFS(SalesData[Unit Price],
               SalesData[Product Name],SalesData[[#This Row],[Product Name]]),
    SalesData[[#This Row],[Unit Price]])</f>
        <v>40</v>
      </c>
      <c r="M834" s="15">
        <v>8.8800000000000008</v>
      </c>
      <c r="N834" s="15">
        <f>SalesData[[#This Row],[Quantity Sold]] * SalesData[[#This Row],[Cleaned Unit Price]]</f>
        <v>120</v>
      </c>
      <c r="O834" s="15">
        <f>SalesData[[#This Row],[Quantity Sold]] * SalesData[[#This Row],[Unit Cost]]</f>
        <v>26.64</v>
      </c>
      <c r="P834" s="15">
        <f>SalesData[[#This Row],[Revenue]] - SalesData[[#This Row],[Cost]]</f>
        <v>93.36</v>
      </c>
      <c r="Q834" s="13">
        <f>IF(SalesData[[#This Row],[Revenue]]=0,0,SalesData[[#This Row],[Profit]]/SalesData[[#This Row],[Revenue]])</f>
        <v>0.77800000000000002</v>
      </c>
      <c r="R834" t="s">
        <v>1105</v>
      </c>
      <c r="S834" t="s">
        <v>1304</v>
      </c>
      <c r="T834" t="str">
        <f>PROPER(SalesData[[#This Row],[Customer Name]])</f>
        <v>Lucas Smith</v>
      </c>
      <c r="U834" t="s">
        <v>1416</v>
      </c>
      <c r="V834" t="s">
        <v>1422</v>
      </c>
    </row>
    <row r="835" spans="1:22" x14ac:dyDescent="0.25">
      <c r="A835" t="s">
        <v>2261</v>
      </c>
      <c r="B835" s="5">
        <v>45593</v>
      </c>
      <c r="C835" s="2" t="str">
        <f>TEXT(SalesData[[#This Row],[Order Date]],"mmm")</f>
        <v>Oct</v>
      </c>
      <c r="D835" s="7">
        <f>MONTH(SalesData[[#This Row],[Order Date]])</f>
        <v>10</v>
      </c>
      <c r="E835" s="7">
        <f>YEAR(SalesData[[#This Row],[Order Date]])</f>
        <v>2024</v>
      </c>
      <c r="F835" t="s">
        <v>790</v>
      </c>
      <c r="G835" t="str">
        <f>PROPER(SalesData[[#This Row],[Product Name]])</f>
        <v>Reusable Bamboo Utensil Set</v>
      </c>
      <c r="H835" t="s">
        <v>1014</v>
      </c>
      <c r="I835" t="str">
        <f>UPPER(SalesData[[#This Row],[Product Category]])</f>
        <v>KITCHENWARE</v>
      </c>
      <c r="J835">
        <v>10</v>
      </c>
      <c r="K835">
        <v>15</v>
      </c>
      <c r="L835" s="15">
        <f>IF(SalesData[[#This Row],[Unit Price]]="",
    AVERAGEIFS(SalesData[Unit Price],
               SalesData[Product Name],SalesData[[#This Row],[Product Name]]),
    SalesData[[#This Row],[Unit Price]])</f>
        <v>15</v>
      </c>
      <c r="M835" s="15">
        <v>4.0999999999999996</v>
      </c>
      <c r="N835" s="15">
        <f>SalesData[[#This Row],[Quantity Sold]] * SalesData[[#This Row],[Cleaned Unit Price]]</f>
        <v>150</v>
      </c>
      <c r="O835" s="15">
        <f>SalesData[[#This Row],[Quantity Sold]] * SalesData[[#This Row],[Unit Cost]]</f>
        <v>41</v>
      </c>
      <c r="P835" s="15">
        <f>SalesData[[#This Row],[Revenue]] - SalesData[[#This Row],[Cost]]</f>
        <v>109</v>
      </c>
      <c r="Q835" s="13">
        <f>IF(SalesData[[#This Row],[Revenue]]=0,0,SalesData[[#This Row],[Profit]]/SalesData[[#This Row],[Revenue]])</f>
        <v>0.72666666666666668</v>
      </c>
      <c r="R835" t="s">
        <v>1175</v>
      </c>
      <c r="S835" t="s">
        <v>1374</v>
      </c>
      <c r="T835" t="str">
        <f>PROPER(SalesData[[#This Row],[Customer Name]])</f>
        <v>Ava Rodriguez</v>
      </c>
      <c r="U835" t="s">
        <v>1417</v>
      </c>
      <c r="V835" t="s">
        <v>1418</v>
      </c>
    </row>
    <row r="836" spans="1:22" x14ac:dyDescent="0.25">
      <c r="A836" t="s">
        <v>2262</v>
      </c>
      <c r="B836" s="5">
        <v>45594</v>
      </c>
      <c r="C836" s="2" t="str">
        <f>TEXT(SalesData[[#This Row],[Order Date]],"mmm")</f>
        <v>Oct</v>
      </c>
      <c r="D836" s="7">
        <f>MONTH(SalesData[[#This Row],[Order Date]])</f>
        <v>10</v>
      </c>
      <c r="E836" s="7">
        <f>YEAR(SalesData[[#This Row],[Order Date]])</f>
        <v>2024</v>
      </c>
      <c r="F836" t="s">
        <v>109</v>
      </c>
      <c r="G836" t="str">
        <f>PROPER(SalesData[[#This Row],[Product Name]])</f>
        <v>Eco Canvas Tote Bag</v>
      </c>
      <c r="H836" t="s">
        <v>1013</v>
      </c>
      <c r="I836" t="str">
        <f>UPPER(SalesData[[#This Row],[Product Category]])</f>
        <v>BAGS</v>
      </c>
      <c r="J836">
        <v>5</v>
      </c>
      <c r="K836">
        <v>25</v>
      </c>
      <c r="L836" s="15">
        <f>IF(SalesData[[#This Row],[Unit Price]]="",
    AVERAGEIFS(SalesData[Unit Price],
               SalesData[Product Name],SalesData[[#This Row],[Product Name]]),
    SalesData[[#This Row],[Unit Price]])</f>
        <v>25</v>
      </c>
      <c r="M836" s="15">
        <v>9.99</v>
      </c>
      <c r="N836" s="15">
        <f>SalesData[[#This Row],[Quantity Sold]] * SalesData[[#This Row],[Cleaned Unit Price]]</f>
        <v>125</v>
      </c>
      <c r="O836" s="15">
        <f>SalesData[[#This Row],[Quantity Sold]] * SalesData[[#This Row],[Unit Cost]]</f>
        <v>49.95</v>
      </c>
      <c r="P836" s="15">
        <f>SalesData[[#This Row],[Revenue]] - SalesData[[#This Row],[Cost]]</f>
        <v>75.05</v>
      </c>
      <c r="Q836" s="13">
        <f>IF(SalesData[[#This Row],[Revenue]]=0,0,SalesData[[#This Row],[Profit]]/SalesData[[#This Row],[Revenue]])</f>
        <v>0.60039999999999993</v>
      </c>
      <c r="R836" t="s">
        <v>1091</v>
      </c>
      <c r="S836" t="s">
        <v>1290</v>
      </c>
      <c r="T836" t="str">
        <f>PROPER(SalesData[[#This Row],[Customer Name]])</f>
        <v>Elijah Garcia</v>
      </c>
      <c r="U836" t="s">
        <v>1414</v>
      </c>
      <c r="V836" t="s">
        <v>1425</v>
      </c>
    </row>
    <row r="837" spans="1:22" x14ac:dyDescent="0.25">
      <c r="A837" t="s">
        <v>2263</v>
      </c>
      <c r="B837" s="5">
        <v>45594</v>
      </c>
      <c r="C837" s="2" t="str">
        <f>TEXT(SalesData[[#This Row],[Order Date]],"mmm")</f>
        <v>Oct</v>
      </c>
      <c r="D837" s="7">
        <f>MONTH(SalesData[[#This Row],[Order Date]])</f>
        <v>10</v>
      </c>
      <c r="E837" s="7">
        <f>YEAR(SalesData[[#This Row],[Order Date]])</f>
        <v>2024</v>
      </c>
      <c r="F837" t="s">
        <v>127</v>
      </c>
      <c r="G837" t="str">
        <f>PROPER(SalesData[[#This Row],[Product Name]])</f>
        <v>Reusable Bamboo Utensil Set</v>
      </c>
      <c r="H837" t="s">
        <v>1014</v>
      </c>
      <c r="I837" t="str">
        <f>UPPER(SalesData[[#This Row],[Product Category]])</f>
        <v>KITCHENWARE</v>
      </c>
      <c r="J837">
        <v>7</v>
      </c>
      <c r="K837">
        <v>15</v>
      </c>
      <c r="L837" s="15">
        <f>IF(SalesData[[#This Row],[Unit Price]]="",
    AVERAGEIFS(SalesData[Unit Price],
               SalesData[Product Name],SalesData[[#This Row],[Product Name]]),
    SalesData[[#This Row],[Unit Price]])</f>
        <v>15</v>
      </c>
      <c r="M837" s="15">
        <v>5.7</v>
      </c>
      <c r="N837" s="15">
        <f>SalesData[[#This Row],[Quantity Sold]] * SalesData[[#This Row],[Cleaned Unit Price]]</f>
        <v>105</v>
      </c>
      <c r="O837" s="15">
        <f>SalesData[[#This Row],[Quantity Sold]] * SalesData[[#This Row],[Unit Cost]]</f>
        <v>39.9</v>
      </c>
      <c r="P837" s="15">
        <f>SalesData[[#This Row],[Revenue]] - SalesData[[#This Row],[Cost]]</f>
        <v>65.099999999999994</v>
      </c>
      <c r="Q837" s="13">
        <f>IF(SalesData[[#This Row],[Revenue]]=0,0,SalesData[[#This Row],[Profit]]/SalesData[[#This Row],[Revenue]])</f>
        <v>0.62</v>
      </c>
      <c r="R837" t="s">
        <v>1023</v>
      </c>
      <c r="S837" t="s">
        <v>1222</v>
      </c>
      <c r="T837" t="str">
        <f>PROPER(SalesData[[#This Row],[Customer Name]])</f>
        <v>Liam Garcia</v>
      </c>
      <c r="U837" t="s">
        <v>1415</v>
      </c>
      <c r="V837" t="s">
        <v>1426</v>
      </c>
    </row>
    <row r="838" spans="1:22" x14ac:dyDescent="0.25">
      <c r="A838" t="s">
        <v>2264</v>
      </c>
      <c r="B838" s="5">
        <v>45594</v>
      </c>
      <c r="C838" s="2" t="str">
        <f>TEXT(SalesData[[#This Row],[Order Date]],"mmm")</f>
        <v>Oct</v>
      </c>
      <c r="D838" s="7">
        <f>MONTH(SalesData[[#This Row],[Order Date]])</f>
        <v>10</v>
      </c>
      <c r="E838" s="7">
        <f>YEAR(SalesData[[#This Row],[Order Date]])</f>
        <v>2024</v>
      </c>
      <c r="F838" t="s">
        <v>269</v>
      </c>
      <c r="G838" t="str">
        <f>PROPER(SalesData[[#This Row],[Product Name]])</f>
        <v>Compostable Plant Pots</v>
      </c>
      <c r="H838" t="s">
        <v>1011</v>
      </c>
      <c r="I838" t="str">
        <f>UPPER(SalesData[[#This Row],[Product Category]])</f>
        <v>GARDENING</v>
      </c>
      <c r="J838">
        <v>2</v>
      </c>
      <c r="K838">
        <v>12</v>
      </c>
      <c r="L838" s="15">
        <f>IF(SalesData[[#This Row],[Unit Price]]="",
    AVERAGEIFS(SalesData[Unit Price],
               SalesData[Product Name],SalesData[[#This Row],[Product Name]]),
    SalesData[[#This Row],[Unit Price]])</f>
        <v>12</v>
      </c>
      <c r="M838" s="15">
        <v>3.58</v>
      </c>
      <c r="N838" s="15">
        <f>SalesData[[#This Row],[Quantity Sold]] * SalesData[[#This Row],[Cleaned Unit Price]]</f>
        <v>24</v>
      </c>
      <c r="O838" s="15">
        <f>SalesData[[#This Row],[Quantity Sold]] * SalesData[[#This Row],[Unit Cost]]</f>
        <v>7.16</v>
      </c>
      <c r="P838" s="15">
        <f>SalesData[[#This Row],[Revenue]] - SalesData[[#This Row],[Cost]]</f>
        <v>16.84</v>
      </c>
      <c r="Q838" s="13">
        <f>IF(SalesData[[#This Row],[Revenue]]=0,0,SalesData[[#This Row],[Profit]]/SalesData[[#This Row],[Revenue]])</f>
        <v>0.70166666666666666</v>
      </c>
      <c r="R838" t="s">
        <v>1116</v>
      </c>
      <c r="S838" t="s">
        <v>1315</v>
      </c>
      <c r="T838" t="str">
        <f>PROPER(SalesData[[#This Row],[Customer Name]])</f>
        <v>Evelyn Martinez</v>
      </c>
      <c r="U838" t="s">
        <v>1414</v>
      </c>
      <c r="V838" t="s">
        <v>1418</v>
      </c>
    </row>
    <row r="839" spans="1:22" x14ac:dyDescent="0.25">
      <c r="A839" t="s">
        <v>2265</v>
      </c>
      <c r="B839" s="5">
        <v>45594</v>
      </c>
      <c r="C839" s="2" t="str">
        <f>TEXT(SalesData[[#This Row],[Order Date]],"mmm")</f>
        <v>Oct</v>
      </c>
      <c r="D839" s="7">
        <f>MONTH(SalesData[[#This Row],[Order Date]])</f>
        <v>10</v>
      </c>
      <c r="E839" s="7">
        <f>YEAR(SalesData[[#This Row],[Order Date]])</f>
        <v>2024</v>
      </c>
      <c r="F839" t="s">
        <v>287</v>
      </c>
      <c r="G839" t="str">
        <f>PROPER(SalesData[[#This Row],[Product Name]])</f>
        <v>Reusable Bamboo Utensil Set</v>
      </c>
      <c r="H839" t="s">
        <v>1014</v>
      </c>
      <c r="I839" t="str">
        <f>UPPER(SalesData[[#This Row],[Product Category]])</f>
        <v>KITCHENWARE</v>
      </c>
      <c r="J839">
        <v>5</v>
      </c>
      <c r="K839">
        <v>15</v>
      </c>
      <c r="L839" s="15">
        <f>IF(SalesData[[#This Row],[Unit Price]]="",
    AVERAGEIFS(SalesData[Unit Price],
               SalesData[Product Name],SalesData[[#This Row],[Product Name]]),
    SalesData[[#This Row],[Unit Price]])</f>
        <v>15</v>
      </c>
      <c r="M839" s="15">
        <v>4.07</v>
      </c>
      <c r="N839" s="15">
        <f>SalesData[[#This Row],[Quantity Sold]] * SalesData[[#This Row],[Cleaned Unit Price]]</f>
        <v>75</v>
      </c>
      <c r="O839" s="15">
        <f>SalesData[[#This Row],[Quantity Sold]] * SalesData[[#This Row],[Unit Cost]]</f>
        <v>20.350000000000001</v>
      </c>
      <c r="P839" s="15">
        <f>SalesData[[#This Row],[Revenue]] - SalesData[[#This Row],[Cost]]</f>
        <v>54.65</v>
      </c>
      <c r="Q839" s="13">
        <f>IF(SalesData[[#This Row],[Revenue]]=0,0,SalesData[[#This Row],[Profit]]/SalesData[[#This Row],[Revenue]])</f>
        <v>0.72866666666666668</v>
      </c>
      <c r="R839" t="s">
        <v>1167</v>
      </c>
      <c r="S839" t="s">
        <v>1366</v>
      </c>
      <c r="T839" t="str">
        <f>PROPER(SalesData[[#This Row],[Customer Name]])</f>
        <v>Aiden Jones</v>
      </c>
      <c r="U839" t="s">
        <v>1414</v>
      </c>
      <c r="V839" t="s">
        <v>1418</v>
      </c>
    </row>
    <row r="840" spans="1:22" x14ac:dyDescent="0.25">
      <c r="A840" t="s">
        <v>2266</v>
      </c>
      <c r="B840" s="5">
        <v>45594</v>
      </c>
      <c r="C840" s="2" t="str">
        <f>TEXT(SalesData[[#This Row],[Order Date]],"mmm")</f>
        <v>Oct</v>
      </c>
      <c r="D840" s="7">
        <f>MONTH(SalesData[[#This Row],[Order Date]])</f>
        <v>10</v>
      </c>
      <c r="E840" s="7">
        <f>YEAR(SalesData[[#This Row],[Order Date]])</f>
        <v>2024</v>
      </c>
      <c r="F840" t="s">
        <v>969</v>
      </c>
      <c r="G840" t="str">
        <f>PROPER(SalesData[[#This Row],[Product Name]])</f>
        <v>Eco Canvas Tote Bag</v>
      </c>
      <c r="H840" t="s">
        <v>1013</v>
      </c>
      <c r="I840" t="str">
        <f>UPPER(SalesData[[#This Row],[Product Category]])</f>
        <v>BAGS</v>
      </c>
      <c r="J840">
        <v>10</v>
      </c>
      <c r="K840">
        <v>25</v>
      </c>
      <c r="L840" s="15">
        <f>IF(SalesData[[#This Row],[Unit Price]]="",
    AVERAGEIFS(SalesData[Unit Price],
               SalesData[Product Name],SalesData[[#This Row],[Product Name]]),
    SalesData[[#This Row],[Unit Price]])</f>
        <v>25</v>
      </c>
      <c r="M840" s="15">
        <v>9.42</v>
      </c>
      <c r="N840" s="15">
        <f>SalesData[[#This Row],[Quantity Sold]] * SalesData[[#This Row],[Cleaned Unit Price]]</f>
        <v>250</v>
      </c>
      <c r="O840" s="15">
        <f>SalesData[[#This Row],[Quantity Sold]] * SalesData[[#This Row],[Unit Cost]]</f>
        <v>94.2</v>
      </c>
      <c r="P840" s="15">
        <f>SalesData[[#This Row],[Revenue]] - SalesData[[#This Row],[Cost]]</f>
        <v>155.80000000000001</v>
      </c>
      <c r="Q840" s="13">
        <f>IF(SalesData[[#This Row],[Revenue]]=0,0,SalesData[[#This Row],[Profit]]/SalesData[[#This Row],[Revenue]])</f>
        <v>0.62320000000000009</v>
      </c>
      <c r="R840" t="s">
        <v>1034</v>
      </c>
      <c r="S840" t="s">
        <v>1233</v>
      </c>
      <c r="T840" t="str">
        <f>PROPER(SalesData[[#This Row],[Customer Name]])</f>
        <v>Liam Garcia</v>
      </c>
      <c r="U840" t="s">
        <v>1414</v>
      </c>
      <c r="V840" t="s">
        <v>1419</v>
      </c>
    </row>
    <row r="841" spans="1:22" x14ac:dyDescent="0.25">
      <c r="A841" t="s">
        <v>2267</v>
      </c>
      <c r="B841" s="5">
        <v>45596</v>
      </c>
      <c r="C841" s="2" t="str">
        <f>TEXT(SalesData[[#This Row],[Order Date]],"mmm")</f>
        <v>Oct</v>
      </c>
      <c r="D841" s="7">
        <f>MONTH(SalesData[[#This Row],[Order Date]])</f>
        <v>10</v>
      </c>
      <c r="E841" s="7">
        <f>YEAR(SalesData[[#This Row],[Order Date]])</f>
        <v>2024</v>
      </c>
      <c r="F841" t="s">
        <v>134</v>
      </c>
      <c r="G841" t="str">
        <f>PROPER(SalesData[[#This Row],[Product Name]])</f>
        <v>Solar Led Lantern</v>
      </c>
      <c r="H841" t="s">
        <v>1012</v>
      </c>
      <c r="I841" t="str">
        <f>UPPER(SalesData[[#This Row],[Product Category]])</f>
        <v>LIGHTING</v>
      </c>
      <c r="J841">
        <v>1</v>
      </c>
      <c r="K841">
        <v>40</v>
      </c>
      <c r="L841" s="15">
        <f>IF(SalesData[[#This Row],[Unit Price]]="",
    AVERAGEIFS(SalesData[Unit Price],
               SalesData[Product Name],SalesData[[#This Row],[Product Name]]),
    SalesData[[#This Row],[Unit Price]])</f>
        <v>40</v>
      </c>
      <c r="M841" s="15">
        <v>13.18</v>
      </c>
      <c r="N841" s="15">
        <f>SalesData[[#This Row],[Quantity Sold]] * SalesData[[#This Row],[Cleaned Unit Price]]</f>
        <v>40</v>
      </c>
      <c r="O841" s="15">
        <f>SalesData[[#This Row],[Quantity Sold]] * SalesData[[#This Row],[Unit Cost]]</f>
        <v>13.18</v>
      </c>
      <c r="P841" s="15">
        <f>SalesData[[#This Row],[Revenue]] - SalesData[[#This Row],[Cost]]</f>
        <v>26.82</v>
      </c>
      <c r="Q841" s="13">
        <f>IF(SalesData[[#This Row],[Revenue]]=0,0,SalesData[[#This Row],[Profit]]/SalesData[[#This Row],[Revenue]])</f>
        <v>0.67049999999999998</v>
      </c>
      <c r="R841" t="s">
        <v>1111</v>
      </c>
      <c r="S841" t="s">
        <v>1310</v>
      </c>
      <c r="T841" t="str">
        <f>PROPER(SalesData[[#This Row],[Customer Name]])</f>
        <v>Charlotte Garcia</v>
      </c>
      <c r="U841" t="s">
        <v>1416</v>
      </c>
      <c r="V841" t="s">
        <v>1423</v>
      </c>
    </row>
    <row r="842" spans="1:22" x14ac:dyDescent="0.25">
      <c r="A842" t="s">
        <v>2268</v>
      </c>
      <c r="B842" s="5">
        <v>45596</v>
      </c>
      <c r="C842" s="2" t="str">
        <f>TEXT(SalesData[[#This Row],[Order Date]],"mmm")</f>
        <v>Oct</v>
      </c>
      <c r="D842" s="7">
        <f>MONTH(SalesData[[#This Row],[Order Date]])</f>
        <v>10</v>
      </c>
      <c r="E842" s="7">
        <f>YEAR(SalesData[[#This Row],[Order Date]])</f>
        <v>2024</v>
      </c>
      <c r="F842" t="s">
        <v>393</v>
      </c>
      <c r="G842" t="str">
        <f>PROPER(SalesData[[#This Row],[Product Name]])</f>
        <v>Eco Canvas Tote Bag</v>
      </c>
      <c r="H842" t="s">
        <v>1013</v>
      </c>
      <c r="I842" t="str">
        <f>UPPER(SalesData[[#This Row],[Product Category]])</f>
        <v>BAGS</v>
      </c>
      <c r="J842">
        <v>2</v>
      </c>
      <c r="K842">
        <v>25</v>
      </c>
      <c r="L842" s="15">
        <f>IF(SalesData[[#This Row],[Unit Price]]="",
    AVERAGEIFS(SalesData[Unit Price],
               SalesData[Product Name],SalesData[[#This Row],[Product Name]]),
    SalesData[[#This Row],[Unit Price]])</f>
        <v>25</v>
      </c>
      <c r="M842" s="15">
        <v>7.53</v>
      </c>
      <c r="N842" s="15">
        <f>SalesData[[#This Row],[Quantity Sold]] * SalesData[[#This Row],[Cleaned Unit Price]]</f>
        <v>50</v>
      </c>
      <c r="O842" s="15">
        <f>SalesData[[#This Row],[Quantity Sold]] * SalesData[[#This Row],[Unit Cost]]</f>
        <v>15.06</v>
      </c>
      <c r="P842" s="15">
        <f>SalesData[[#This Row],[Revenue]] - SalesData[[#This Row],[Cost]]</f>
        <v>34.94</v>
      </c>
      <c r="Q842" s="13">
        <f>IF(SalesData[[#This Row],[Revenue]]=0,0,SalesData[[#This Row],[Profit]]/SalesData[[#This Row],[Revenue]])</f>
        <v>0.69879999999999998</v>
      </c>
      <c r="R842" t="s">
        <v>1186</v>
      </c>
      <c r="S842" t="s">
        <v>1385</v>
      </c>
      <c r="T842" t="str">
        <f>PROPER(SalesData[[#This Row],[Customer Name]])</f>
        <v>Ava Martinez</v>
      </c>
      <c r="U842" t="s">
        <v>1414</v>
      </c>
      <c r="V842" t="s">
        <v>1422</v>
      </c>
    </row>
    <row r="843" spans="1:22" x14ac:dyDescent="0.25">
      <c r="A843" t="s">
        <v>2269</v>
      </c>
      <c r="B843" s="5">
        <v>45596</v>
      </c>
      <c r="C843" s="2" t="str">
        <f>TEXT(SalesData[[#This Row],[Order Date]],"mmm")</f>
        <v>Oct</v>
      </c>
      <c r="D843" s="7">
        <f>MONTH(SalesData[[#This Row],[Order Date]])</f>
        <v>10</v>
      </c>
      <c r="E843" s="7">
        <f>YEAR(SalesData[[#This Row],[Order Date]])</f>
        <v>2024</v>
      </c>
      <c r="F843" t="s">
        <v>404</v>
      </c>
      <c r="G843" t="str">
        <f>PROPER(SalesData[[#This Row],[Product Name]])</f>
        <v>Compostable Plant Pots</v>
      </c>
      <c r="H843" t="s">
        <v>1011</v>
      </c>
      <c r="I843" t="str">
        <f>UPPER(SalesData[[#This Row],[Product Category]])</f>
        <v>GARDENING</v>
      </c>
      <c r="J843">
        <v>7</v>
      </c>
      <c r="K843">
        <v>12</v>
      </c>
      <c r="L843" s="15">
        <f>IF(SalesData[[#This Row],[Unit Price]]="",
    AVERAGEIFS(SalesData[Unit Price],
               SalesData[Product Name],SalesData[[#This Row],[Product Name]]),
    SalesData[[#This Row],[Unit Price]])</f>
        <v>12</v>
      </c>
      <c r="M843" s="15">
        <v>4.74</v>
      </c>
      <c r="N843" s="15">
        <f>SalesData[[#This Row],[Quantity Sold]] * SalesData[[#This Row],[Cleaned Unit Price]]</f>
        <v>84</v>
      </c>
      <c r="O843" s="15">
        <f>SalesData[[#This Row],[Quantity Sold]] * SalesData[[#This Row],[Unit Cost]]</f>
        <v>33.18</v>
      </c>
      <c r="P843" s="15">
        <f>SalesData[[#This Row],[Revenue]] - SalesData[[#This Row],[Cost]]</f>
        <v>50.82</v>
      </c>
      <c r="Q843" s="13">
        <f>IF(SalesData[[#This Row],[Revenue]]=0,0,SalesData[[#This Row],[Profit]]/SalesData[[#This Row],[Revenue]])</f>
        <v>0.60499999999999998</v>
      </c>
      <c r="R843" t="s">
        <v>1167</v>
      </c>
      <c r="S843" t="s">
        <v>1366</v>
      </c>
      <c r="T843" t="str">
        <f>PROPER(SalesData[[#This Row],[Customer Name]])</f>
        <v>Aiden Jones</v>
      </c>
      <c r="U843" t="s">
        <v>1415</v>
      </c>
      <c r="V843" t="s">
        <v>1425</v>
      </c>
    </row>
    <row r="844" spans="1:22" x14ac:dyDescent="0.25">
      <c r="A844" t="s">
        <v>2270</v>
      </c>
      <c r="B844" s="5">
        <v>45596</v>
      </c>
      <c r="C844" s="2" t="str">
        <f>TEXT(SalesData[[#This Row],[Order Date]],"mmm")</f>
        <v>Oct</v>
      </c>
      <c r="D844" s="7">
        <f>MONTH(SalesData[[#This Row],[Order Date]])</f>
        <v>10</v>
      </c>
      <c r="E844" s="7">
        <f>YEAR(SalesData[[#This Row],[Order Date]])</f>
        <v>2024</v>
      </c>
      <c r="F844" t="s">
        <v>476</v>
      </c>
      <c r="G844" t="str">
        <f>PROPER(SalesData[[#This Row],[Product Name]])</f>
        <v>Compostable Plant Pots</v>
      </c>
      <c r="H844" t="s">
        <v>1011</v>
      </c>
      <c r="I844" t="str">
        <f>UPPER(SalesData[[#This Row],[Product Category]])</f>
        <v>GARDENING</v>
      </c>
      <c r="J844">
        <v>7</v>
      </c>
      <c r="K844">
        <v>12</v>
      </c>
      <c r="L844" s="15">
        <f>IF(SalesData[[#This Row],[Unit Price]]="",
    AVERAGEIFS(SalesData[Unit Price],
               SalesData[Product Name],SalesData[[#This Row],[Product Name]]),
    SalesData[[#This Row],[Unit Price]])</f>
        <v>12</v>
      </c>
      <c r="M844" s="15">
        <v>3.58</v>
      </c>
      <c r="N844" s="15">
        <f>SalesData[[#This Row],[Quantity Sold]] * SalesData[[#This Row],[Cleaned Unit Price]]</f>
        <v>84</v>
      </c>
      <c r="O844" s="15">
        <f>SalesData[[#This Row],[Quantity Sold]] * SalesData[[#This Row],[Unit Cost]]</f>
        <v>25.060000000000002</v>
      </c>
      <c r="P844" s="15">
        <f>SalesData[[#This Row],[Revenue]] - SalesData[[#This Row],[Cost]]</f>
        <v>58.94</v>
      </c>
      <c r="Q844" s="13">
        <f>IF(SalesData[[#This Row],[Revenue]]=0,0,SalesData[[#This Row],[Profit]]/SalesData[[#This Row],[Revenue]])</f>
        <v>0.70166666666666666</v>
      </c>
      <c r="R844" t="s">
        <v>1067</v>
      </c>
      <c r="S844" t="s">
        <v>1266</v>
      </c>
      <c r="T844" t="str">
        <f>PROPER(SalesData[[#This Row],[Customer Name]])</f>
        <v>Charlotte Jones</v>
      </c>
      <c r="U844" t="s">
        <v>1414</v>
      </c>
      <c r="V844" t="s">
        <v>1427</v>
      </c>
    </row>
    <row r="845" spans="1:22" x14ac:dyDescent="0.25">
      <c r="A845" t="s">
        <v>2271</v>
      </c>
      <c r="B845" s="5">
        <v>45597</v>
      </c>
      <c r="C845" s="2" t="str">
        <f>TEXT(SalesData[[#This Row],[Order Date]],"mmm")</f>
        <v>Nov</v>
      </c>
      <c r="D845" s="7">
        <f>MONTH(SalesData[[#This Row],[Order Date]])</f>
        <v>11</v>
      </c>
      <c r="E845" s="7">
        <f>YEAR(SalesData[[#This Row],[Order Date]])</f>
        <v>2024</v>
      </c>
      <c r="F845" t="s">
        <v>105</v>
      </c>
      <c r="G845" t="str">
        <f>PROPER(SalesData[[#This Row],[Product Name]])</f>
        <v>Eco Canvas Tote Bag</v>
      </c>
      <c r="H845" t="s">
        <v>1013</v>
      </c>
      <c r="I845" t="str">
        <f>UPPER(SalesData[[#This Row],[Product Category]])</f>
        <v>BAGS</v>
      </c>
      <c r="J845">
        <v>8</v>
      </c>
      <c r="K845">
        <v>25</v>
      </c>
      <c r="L845" s="15">
        <f>IF(SalesData[[#This Row],[Unit Price]]="",
    AVERAGEIFS(SalesData[Unit Price],
               SalesData[Product Name],SalesData[[#This Row],[Product Name]]),
    SalesData[[#This Row],[Unit Price]])</f>
        <v>25</v>
      </c>
      <c r="M845" s="15">
        <v>5.8</v>
      </c>
      <c r="N845" s="15">
        <f>SalesData[[#This Row],[Quantity Sold]] * SalesData[[#This Row],[Cleaned Unit Price]]</f>
        <v>200</v>
      </c>
      <c r="O845" s="15">
        <f>SalesData[[#This Row],[Quantity Sold]] * SalesData[[#This Row],[Unit Cost]]</f>
        <v>46.4</v>
      </c>
      <c r="P845" s="15">
        <f>SalesData[[#This Row],[Revenue]] - SalesData[[#This Row],[Cost]]</f>
        <v>153.6</v>
      </c>
      <c r="Q845" s="13">
        <f>IF(SalesData[[#This Row],[Revenue]]=0,0,SalesData[[#This Row],[Profit]]/SalesData[[#This Row],[Revenue]])</f>
        <v>0.76800000000000002</v>
      </c>
      <c r="R845" t="s">
        <v>1035</v>
      </c>
      <c r="S845" t="s">
        <v>1234</v>
      </c>
      <c r="T845" t="str">
        <f>PROPER(SalesData[[#This Row],[Customer Name]])</f>
        <v>Olivia Martinez</v>
      </c>
      <c r="U845" t="s">
        <v>1415</v>
      </c>
      <c r="V845" t="s">
        <v>1421</v>
      </c>
    </row>
    <row r="846" spans="1:22" x14ac:dyDescent="0.25">
      <c r="A846" t="s">
        <v>2272</v>
      </c>
      <c r="B846" s="5">
        <v>45597</v>
      </c>
      <c r="C846" s="2" t="str">
        <f>TEXT(SalesData[[#This Row],[Order Date]],"mmm")</f>
        <v>Nov</v>
      </c>
      <c r="D846" s="7">
        <f>MONTH(SalesData[[#This Row],[Order Date]])</f>
        <v>11</v>
      </c>
      <c r="E846" s="7">
        <f>YEAR(SalesData[[#This Row],[Order Date]])</f>
        <v>2024</v>
      </c>
      <c r="F846" t="s">
        <v>699</v>
      </c>
      <c r="G846" t="str">
        <f>PROPER(SalesData[[#This Row],[Product Name]])</f>
        <v>Compostable Plant Pots</v>
      </c>
      <c r="H846" t="s">
        <v>1011</v>
      </c>
      <c r="I846" t="str">
        <f>UPPER(SalesData[[#This Row],[Product Category]])</f>
        <v>GARDENING</v>
      </c>
      <c r="J846">
        <v>2</v>
      </c>
      <c r="K846">
        <v>12</v>
      </c>
      <c r="L846" s="15">
        <f>IF(SalesData[[#This Row],[Unit Price]]="",
    AVERAGEIFS(SalesData[Unit Price],
               SalesData[Product Name],SalesData[[#This Row],[Product Name]]),
    SalesData[[#This Row],[Unit Price]])</f>
        <v>12</v>
      </c>
      <c r="M846" s="15">
        <v>3.34</v>
      </c>
      <c r="N846" s="15">
        <f>SalesData[[#This Row],[Quantity Sold]] * SalesData[[#This Row],[Cleaned Unit Price]]</f>
        <v>24</v>
      </c>
      <c r="O846" s="15">
        <f>SalesData[[#This Row],[Quantity Sold]] * SalesData[[#This Row],[Unit Cost]]</f>
        <v>6.68</v>
      </c>
      <c r="P846" s="15">
        <f>SalesData[[#This Row],[Revenue]] - SalesData[[#This Row],[Cost]]</f>
        <v>17.32</v>
      </c>
      <c r="Q846" s="13">
        <f>IF(SalesData[[#This Row],[Revenue]]=0,0,SalesData[[#This Row],[Profit]]/SalesData[[#This Row],[Revenue]])</f>
        <v>0.72166666666666668</v>
      </c>
      <c r="R846" t="s">
        <v>1208</v>
      </c>
      <c r="S846" t="s">
        <v>1407</v>
      </c>
      <c r="T846" t="str">
        <f>PROPER(SalesData[[#This Row],[Customer Name]])</f>
        <v>Evelyn Martinez</v>
      </c>
      <c r="U846" t="s">
        <v>1414</v>
      </c>
      <c r="V846" t="s">
        <v>1421</v>
      </c>
    </row>
    <row r="847" spans="1:22" x14ac:dyDescent="0.25">
      <c r="A847" t="s">
        <v>2273</v>
      </c>
      <c r="B847" s="5">
        <v>45597</v>
      </c>
      <c r="C847" s="2" t="str">
        <f>TEXT(SalesData[[#This Row],[Order Date]],"mmm")</f>
        <v>Nov</v>
      </c>
      <c r="D847" s="7">
        <f>MONTH(SalesData[[#This Row],[Order Date]])</f>
        <v>11</v>
      </c>
      <c r="E847" s="7">
        <f>YEAR(SalesData[[#This Row],[Order Date]])</f>
        <v>2024</v>
      </c>
      <c r="F847" t="s">
        <v>716</v>
      </c>
      <c r="G847" t="str">
        <f>PROPER(SalesData[[#This Row],[Product Name]])</f>
        <v>Eco Canvas Tote Bag</v>
      </c>
      <c r="H847" t="s">
        <v>1013</v>
      </c>
      <c r="I847" t="str">
        <f>UPPER(SalesData[[#This Row],[Product Category]])</f>
        <v>BAGS</v>
      </c>
      <c r="J847">
        <v>8</v>
      </c>
      <c r="K847">
        <v>25</v>
      </c>
      <c r="L847" s="15">
        <f>IF(SalesData[[#This Row],[Unit Price]]="",
    AVERAGEIFS(SalesData[Unit Price],
               SalesData[Product Name],SalesData[[#This Row],[Product Name]]),
    SalesData[[#This Row],[Unit Price]])</f>
        <v>25</v>
      </c>
      <c r="M847" s="15">
        <v>9.2899999999999991</v>
      </c>
      <c r="N847" s="15">
        <f>SalesData[[#This Row],[Quantity Sold]] * SalesData[[#This Row],[Cleaned Unit Price]]</f>
        <v>200</v>
      </c>
      <c r="O847" s="15">
        <f>SalesData[[#This Row],[Quantity Sold]] * SalesData[[#This Row],[Unit Cost]]</f>
        <v>74.319999999999993</v>
      </c>
      <c r="P847" s="15">
        <f>SalesData[[#This Row],[Revenue]] - SalesData[[#This Row],[Cost]]</f>
        <v>125.68</v>
      </c>
      <c r="Q847" s="13">
        <f>IF(SalesData[[#This Row],[Revenue]]=0,0,SalesData[[#This Row],[Profit]]/SalesData[[#This Row],[Revenue]])</f>
        <v>0.62840000000000007</v>
      </c>
      <c r="R847" t="s">
        <v>1084</v>
      </c>
      <c r="S847" t="s">
        <v>1283</v>
      </c>
      <c r="T847" t="str">
        <f>PROPER(SalesData[[#This Row],[Customer Name]])</f>
        <v>Lucas Brown</v>
      </c>
      <c r="U847" t="s">
        <v>1414</v>
      </c>
      <c r="V847" t="s">
        <v>1427</v>
      </c>
    </row>
    <row r="848" spans="1:22" x14ac:dyDescent="0.25">
      <c r="A848" t="s">
        <v>2274</v>
      </c>
      <c r="B848" s="5">
        <v>45598</v>
      </c>
      <c r="C848" s="2" t="str">
        <f>TEXT(SalesData[[#This Row],[Order Date]],"mmm")</f>
        <v>Nov</v>
      </c>
      <c r="D848" s="7">
        <f>MONTH(SalesData[[#This Row],[Order Date]])</f>
        <v>11</v>
      </c>
      <c r="E848" s="7">
        <f>YEAR(SalesData[[#This Row],[Order Date]])</f>
        <v>2024</v>
      </c>
      <c r="F848" t="s">
        <v>99</v>
      </c>
      <c r="G848" t="str">
        <f>PROPER(SalesData[[#This Row],[Product Name]])</f>
        <v>Reusable Bamboo Utensil Set</v>
      </c>
      <c r="H848" t="s">
        <v>1014</v>
      </c>
      <c r="I848" t="str">
        <f>UPPER(SalesData[[#This Row],[Product Category]])</f>
        <v>KITCHENWARE</v>
      </c>
      <c r="J848">
        <v>8</v>
      </c>
      <c r="K848">
        <v>15</v>
      </c>
      <c r="L848" s="15">
        <f>IF(SalesData[[#This Row],[Unit Price]]="",
    AVERAGEIFS(SalesData[Unit Price],
               SalesData[Product Name],SalesData[[#This Row],[Product Name]]),
    SalesData[[#This Row],[Unit Price]])</f>
        <v>15</v>
      </c>
      <c r="M848" s="15">
        <v>5.94</v>
      </c>
      <c r="N848" s="15">
        <f>SalesData[[#This Row],[Quantity Sold]] * SalesData[[#This Row],[Cleaned Unit Price]]</f>
        <v>120</v>
      </c>
      <c r="O848" s="15">
        <f>SalesData[[#This Row],[Quantity Sold]] * SalesData[[#This Row],[Unit Cost]]</f>
        <v>47.52</v>
      </c>
      <c r="P848" s="15">
        <f>SalesData[[#This Row],[Revenue]] - SalesData[[#This Row],[Cost]]</f>
        <v>72.47999999999999</v>
      </c>
      <c r="Q848" s="13">
        <f>IF(SalesData[[#This Row],[Revenue]]=0,0,SalesData[[#This Row],[Profit]]/SalesData[[#This Row],[Revenue]])</f>
        <v>0.60399999999999987</v>
      </c>
      <c r="R848" t="s">
        <v>1047</v>
      </c>
      <c r="S848" t="s">
        <v>1246</v>
      </c>
      <c r="T848" t="str">
        <f>PROPER(SalesData[[#This Row],[Customer Name]])</f>
        <v>Mia Johnson</v>
      </c>
      <c r="U848" t="s">
        <v>1414</v>
      </c>
      <c r="V848" t="s">
        <v>1424</v>
      </c>
    </row>
    <row r="849" spans="1:22" x14ac:dyDescent="0.25">
      <c r="A849" t="s">
        <v>2275</v>
      </c>
      <c r="B849" s="5">
        <v>45598</v>
      </c>
      <c r="C849" s="2" t="str">
        <f>TEXT(SalesData[[#This Row],[Order Date]],"mmm")</f>
        <v>Nov</v>
      </c>
      <c r="D849" s="7">
        <f>MONTH(SalesData[[#This Row],[Order Date]])</f>
        <v>11</v>
      </c>
      <c r="E849" s="7">
        <f>YEAR(SalesData[[#This Row],[Order Date]])</f>
        <v>2024</v>
      </c>
      <c r="F849" t="s">
        <v>119</v>
      </c>
      <c r="G849" t="str">
        <f>PROPER(SalesData[[#This Row],[Product Name]])</f>
        <v>Biodegradable Cleaning Cloth</v>
      </c>
      <c r="H849" t="s">
        <v>1015</v>
      </c>
      <c r="I849" t="str">
        <f>UPPER(SalesData[[#This Row],[Product Category]])</f>
        <v>CLEANING</v>
      </c>
      <c r="J849">
        <v>10</v>
      </c>
      <c r="K849">
        <v>10</v>
      </c>
      <c r="L849" s="15">
        <f>IF(SalesData[[#This Row],[Unit Price]]="",
    AVERAGEIFS(SalesData[Unit Price],
               SalesData[Product Name],SalesData[[#This Row],[Product Name]]),
    SalesData[[#This Row],[Unit Price]])</f>
        <v>10</v>
      </c>
      <c r="M849" s="15">
        <v>3.09</v>
      </c>
      <c r="N849" s="15">
        <f>SalesData[[#This Row],[Quantity Sold]] * SalesData[[#This Row],[Cleaned Unit Price]]</f>
        <v>100</v>
      </c>
      <c r="O849" s="15">
        <f>SalesData[[#This Row],[Quantity Sold]] * SalesData[[#This Row],[Unit Cost]]</f>
        <v>30.9</v>
      </c>
      <c r="P849" s="15">
        <f>SalesData[[#This Row],[Revenue]] - SalesData[[#This Row],[Cost]]</f>
        <v>69.099999999999994</v>
      </c>
      <c r="Q849" s="13">
        <f>IF(SalesData[[#This Row],[Revenue]]=0,0,SalesData[[#This Row],[Profit]]/SalesData[[#This Row],[Revenue]])</f>
        <v>0.69099999999999995</v>
      </c>
      <c r="R849" t="s">
        <v>1099</v>
      </c>
      <c r="S849" t="s">
        <v>1298</v>
      </c>
      <c r="T849" t="str">
        <f>PROPER(SalesData[[#This Row],[Customer Name]])</f>
        <v>Mason Miller</v>
      </c>
      <c r="U849" t="s">
        <v>1414</v>
      </c>
      <c r="V849" t="s">
        <v>1425</v>
      </c>
    </row>
    <row r="850" spans="1:22" x14ac:dyDescent="0.25">
      <c r="A850" t="s">
        <v>2276</v>
      </c>
      <c r="B850" s="5">
        <v>45598</v>
      </c>
      <c r="C850" s="2" t="str">
        <f>TEXT(SalesData[[#This Row],[Order Date]],"mmm")</f>
        <v>Nov</v>
      </c>
      <c r="D850" s="7">
        <f>MONTH(SalesData[[#This Row],[Order Date]])</f>
        <v>11</v>
      </c>
      <c r="E850" s="7">
        <f>YEAR(SalesData[[#This Row],[Order Date]])</f>
        <v>2024</v>
      </c>
      <c r="F850" t="s">
        <v>414</v>
      </c>
      <c r="G850" t="str">
        <f>PROPER(SalesData[[#This Row],[Product Name]])</f>
        <v>Compostable Plant Pots</v>
      </c>
      <c r="H850" t="s">
        <v>1011</v>
      </c>
      <c r="I850" t="str">
        <f>UPPER(SalesData[[#This Row],[Product Category]])</f>
        <v>GARDENING</v>
      </c>
      <c r="J850">
        <v>10</v>
      </c>
      <c r="L850" s="15">
        <f>IF(SalesData[[#This Row],[Unit Price]]="",
    AVERAGEIFS(SalesData[Unit Price],
               SalesData[Product Name],SalesData[[#This Row],[Product Name]]),
    SalesData[[#This Row],[Unit Price]])</f>
        <v>12</v>
      </c>
      <c r="M850" s="15">
        <v>3.06</v>
      </c>
      <c r="N850" s="15">
        <f>SalesData[[#This Row],[Quantity Sold]] * SalesData[[#This Row],[Cleaned Unit Price]]</f>
        <v>120</v>
      </c>
      <c r="O850" s="15">
        <f>SalesData[[#This Row],[Quantity Sold]] * SalesData[[#This Row],[Unit Cost]]</f>
        <v>30.6</v>
      </c>
      <c r="P850" s="15">
        <f>SalesData[[#This Row],[Revenue]] - SalesData[[#This Row],[Cost]]</f>
        <v>89.4</v>
      </c>
      <c r="Q850" s="13">
        <f>IF(SalesData[[#This Row],[Revenue]]=0,0,SalesData[[#This Row],[Profit]]/SalesData[[#This Row],[Revenue]])</f>
        <v>0.745</v>
      </c>
      <c r="R850" t="s">
        <v>1087</v>
      </c>
      <c r="S850" t="s">
        <v>1286</v>
      </c>
      <c r="T850" t="str">
        <f>PROPER(SalesData[[#This Row],[Customer Name]])</f>
        <v>Liam Smith</v>
      </c>
      <c r="U850" t="s">
        <v>1414</v>
      </c>
      <c r="V850" t="s">
        <v>1419</v>
      </c>
    </row>
    <row r="851" spans="1:22" x14ac:dyDescent="0.25">
      <c r="A851" t="s">
        <v>2277</v>
      </c>
      <c r="B851" s="5">
        <v>45598</v>
      </c>
      <c r="C851" s="2" t="str">
        <f>TEXT(SalesData[[#This Row],[Order Date]],"mmm")</f>
        <v>Nov</v>
      </c>
      <c r="D851" s="7">
        <f>MONTH(SalesData[[#This Row],[Order Date]])</f>
        <v>11</v>
      </c>
      <c r="E851" s="7">
        <f>YEAR(SalesData[[#This Row],[Order Date]])</f>
        <v>2024</v>
      </c>
      <c r="F851" t="s">
        <v>630</v>
      </c>
      <c r="G851" t="str">
        <f>PROPER(SalesData[[#This Row],[Product Name]])</f>
        <v>Eco Canvas Tote Bag</v>
      </c>
      <c r="H851" t="s">
        <v>1013</v>
      </c>
      <c r="I851" t="str">
        <f>UPPER(SalesData[[#This Row],[Product Category]])</f>
        <v>BAGS</v>
      </c>
      <c r="J851">
        <v>1</v>
      </c>
      <c r="K851">
        <v>25</v>
      </c>
      <c r="L851" s="15">
        <f>IF(SalesData[[#This Row],[Unit Price]]="",
    AVERAGEIFS(SalesData[Unit Price],
               SalesData[Product Name],SalesData[[#This Row],[Product Name]]),
    SalesData[[#This Row],[Unit Price]])</f>
        <v>25</v>
      </c>
      <c r="M851" s="15">
        <v>5.0999999999999996</v>
      </c>
      <c r="N851" s="15">
        <f>SalesData[[#This Row],[Quantity Sold]] * SalesData[[#This Row],[Cleaned Unit Price]]</f>
        <v>25</v>
      </c>
      <c r="O851" s="15">
        <f>SalesData[[#This Row],[Quantity Sold]] * SalesData[[#This Row],[Unit Cost]]</f>
        <v>5.0999999999999996</v>
      </c>
      <c r="P851" s="15">
        <f>SalesData[[#This Row],[Revenue]] - SalesData[[#This Row],[Cost]]</f>
        <v>19.899999999999999</v>
      </c>
      <c r="Q851" s="13">
        <f>IF(SalesData[[#This Row],[Revenue]]=0,0,SalesData[[#This Row],[Profit]]/SalesData[[#This Row],[Revenue]])</f>
        <v>0.79599999999999993</v>
      </c>
      <c r="R851" t="s">
        <v>1056</v>
      </c>
      <c r="S851" t="s">
        <v>1255</v>
      </c>
      <c r="T851" t="str">
        <f>PROPER(SalesData[[#This Row],[Customer Name]])</f>
        <v>Noah Martinez</v>
      </c>
      <c r="U851" t="s">
        <v>1414</v>
      </c>
      <c r="V851" t="s">
        <v>1420</v>
      </c>
    </row>
    <row r="852" spans="1:22" x14ac:dyDescent="0.25">
      <c r="A852" t="s">
        <v>2278</v>
      </c>
      <c r="B852" s="5">
        <v>45599</v>
      </c>
      <c r="C852" s="2" t="str">
        <f>TEXT(SalesData[[#This Row],[Order Date]],"mmm")</f>
        <v>Nov</v>
      </c>
      <c r="D852" s="7">
        <f>MONTH(SalesData[[#This Row],[Order Date]])</f>
        <v>11</v>
      </c>
      <c r="E852" s="7">
        <f>YEAR(SalesData[[#This Row],[Order Date]])</f>
        <v>2024</v>
      </c>
      <c r="F852" t="s">
        <v>136</v>
      </c>
      <c r="G852" t="str">
        <f>PROPER(SalesData[[#This Row],[Product Name]])</f>
        <v>Eco Canvas Tote Bag</v>
      </c>
      <c r="H852" t="s">
        <v>1013</v>
      </c>
      <c r="I852" t="str">
        <f>UPPER(SalesData[[#This Row],[Product Category]])</f>
        <v>BAGS</v>
      </c>
      <c r="J852">
        <v>7</v>
      </c>
      <c r="K852">
        <v>25</v>
      </c>
      <c r="L852" s="15">
        <f>IF(SalesData[[#This Row],[Unit Price]]="",
    AVERAGEIFS(SalesData[Unit Price],
               SalesData[Product Name],SalesData[[#This Row],[Product Name]]),
    SalesData[[#This Row],[Unit Price]])</f>
        <v>25</v>
      </c>
      <c r="M852" s="15">
        <v>8.57</v>
      </c>
      <c r="N852" s="15">
        <f>SalesData[[#This Row],[Quantity Sold]] * SalesData[[#This Row],[Cleaned Unit Price]]</f>
        <v>175</v>
      </c>
      <c r="O852" s="15">
        <f>SalesData[[#This Row],[Quantity Sold]] * SalesData[[#This Row],[Unit Cost]]</f>
        <v>59.99</v>
      </c>
      <c r="P852" s="15">
        <f>SalesData[[#This Row],[Revenue]] - SalesData[[#This Row],[Cost]]</f>
        <v>115.00999999999999</v>
      </c>
      <c r="Q852" s="13">
        <f>IF(SalesData[[#This Row],[Revenue]]=0,0,SalesData[[#This Row],[Profit]]/SalesData[[#This Row],[Revenue]])</f>
        <v>0.6571999999999999</v>
      </c>
      <c r="R852" t="s">
        <v>1093</v>
      </c>
      <c r="S852" t="s">
        <v>1292</v>
      </c>
      <c r="T852" t="str">
        <f>PROPER(SalesData[[#This Row],[Customer Name]])</f>
        <v>Ava Miller</v>
      </c>
      <c r="U852" t="s">
        <v>1414</v>
      </c>
      <c r="V852" t="s">
        <v>1420</v>
      </c>
    </row>
    <row r="853" spans="1:22" x14ac:dyDescent="0.25">
      <c r="A853" t="s">
        <v>2279</v>
      </c>
      <c r="B853" s="5">
        <v>45599</v>
      </c>
      <c r="C853" s="2" t="str">
        <f>TEXT(SalesData[[#This Row],[Order Date]],"mmm")</f>
        <v>Nov</v>
      </c>
      <c r="D853" s="7">
        <f>MONTH(SalesData[[#This Row],[Order Date]])</f>
        <v>11</v>
      </c>
      <c r="E853" s="7">
        <f>YEAR(SalesData[[#This Row],[Order Date]])</f>
        <v>2024</v>
      </c>
      <c r="F853" t="s">
        <v>228</v>
      </c>
      <c r="G853" t="str">
        <f>PROPER(SalesData[[#This Row],[Product Name]])</f>
        <v>Solar Led Lantern</v>
      </c>
      <c r="H853" t="s">
        <v>1012</v>
      </c>
      <c r="I853" t="str">
        <f>UPPER(SalesData[[#This Row],[Product Category]])</f>
        <v>LIGHTING</v>
      </c>
      <c r="J853">
        <v>9</v>
      </c>
      <c r="K853">
        <v>40</v>
      </c>
      <c r="L853" s="15">
        <f>IF(SalesData[[#This Row],[Unit Price]]="",
    AVERAGEIFS(SalesData[Unit Price],
               SalesData[Product Name],SalesData[[#This Row],[Product Name]]),
    SalesData[[#This Row],[Unit Price]])</f>
        <v>40</v>
      </c>
      <c r="M853" s="15">
        <v>15.79</v>
      </c>
      <c r="N853" s="15">
        <f>SalesData[[#This Row],[Quantity Sold]] * SalesData[[#This Row],[Cleaned Unit Price]]</f>
        <v>360</v>
      </c>
      <c r="O853" s="15">
        <f>SalesData[[#This Row],[Quantity Sold]] * SalesData[[#This Row],[Unit Cost]]</f>
        <v>142.10999999999999</v>
      </c>
      <c r="P853" s="15">
        <f>SalesData[[#This Row],[Revenue]] - SalesData[[#This Row],[Cost]]</f>
        <v>217.89000000000001</v>
      </c>
      <c r="Q853" s="13">
        <f>IF(SalesData[[#This Row],[Revenue]]=0,0,SalesData[[#This Row],[Profit]]/SalesData[[#This Row],[Revenue]])</f>
        <v>0.60525000000000007</v>
      </c>
      <c r="R853" t="s">
        <v>1149</v>
      </c>
      <c r="S853" t="s">
        <v>1348</v>
      </c>
      <c r="T853" t="str">
        <f>PROPER(SalesData[[#This Row],[Customer Name]])</f>
        <v>Oliver Johnson</v>
      </c>
      <c r="U853" t="s">
        <v>1416</v>
      </c>
      <c r="V853" t="s">
        <v>1424</v>
      </c>
    </row>
    <row r="854" spans="1:22" x14ac:dyDescent="0.25">
      <c r="A854" t="s">
        <v>2280</v>
      </c>
      <c r="B854" s="5">
        <v>45599</v>
      </c>
      <c r="C854" s="2" t="str">
        <f>TEXT(SalesData[[#This Row],[Order Date]],"mmm")</f>
        <v>Nov</v>
      </c>
      <c r="D854" s="7">
        <f>MONTH(SalesData[[#This Row],[Order Date]])</f>
        <v>11</v>
      </c>
      <c r="E854" s="7">
        <f>YEAR(SalesData[[#This Row],[Order Date]])</f>
        <v>2024</v>
      </c>
      <c r="F854" t="s">
        <v>237</v>
      </c>
      <c r="G854" t="str">
        <f>PROPER(SalesData[[#This Row],[Product Name]])</f>
        <v>Biodegradable Cleaning Cloth</v>
      </c>
      <c r="H854" t="s">
        <v>1015</v>
      </c>
      <c r="I854" t="str">
        <f>UPPER(SalesData[[#This Row],[Product Category]])</f>
        <v>CLEANING</v>
      </c>
      <c r="J854">
        <v>5</v>
      </c>
      <c r="K854">
        <v>10</v>
      </c>
      <c r="L854" s="15">
        <f>IF(SalesData[[#This Row],[Unit Price]]="",
    AVERAGEIFS(SalesData[Unit Price],
               SalesData[Product Name],SalesData[[#This Row],[Product Name]]),
    SalesData[[#This Row],[Unit Price]])</f>
        <v>10</v>
      </c>
      <c r="M854" s="15">
        <v>2.91</v>
      </c>
      <c r="N854" s="15">
        <f>SalesData[[#This Row],[Quantity Sold]] * SalesData[[#This Row],[Cleaned Unit Price]]</f>
        <v>50</v>
      </c>
      <c r="O854" s="15">
        <f>SalesData[[#This Row],[Quantity Sold]] * SalesData[[#This Row],[Unit Cost]]</f>
        <v>14.55</v>
      </c>
      <c r="P854" s="15">
        <f>SalesData[[#This Row],[Revenue]] - SalesData[[#This Row],[Cost]]</f>
        <v>35.450000000000003</v>
      </c>
      <c r="Q854" s="13">
        <f>IF(SalesData[[#This Row],[Revenue]]=0,0,SalesData[[#This Row],[Profit]]/SalesData[[#This Row],[Revenue]])</f>
        <v>0.70900000000000007</v>
      </c>
      <c r="R854" t="s">
        <v>1016</v>
      </c>
      <c r="S854" t="s">
        <v>1215</v>
      </c>
      <c r="T854" t="str">
        <f>PROPER(SalesData[[#This Row],[Customer Name]])</f>
        <v>Harper Davis</v>
      </c>
      <c r="U854" t="s">
        <v>1417</v>
      </c>
      <c r="V854" t="s">
        <v>1423</v>
      </c>
    </row>
    <row r="855" spans="1:22" x14ac:dyDescent="0.25">
      <c r="A855" t="s">
        <v>2281</v>
      </c>
      <c r="B855" s="5">
        <v>45600</v>
      </c>
      <c r="C855" s="2" t="str">
        <f>TEXT(SalesData[[#This Row],[Order Date]],"mmm")</f>
        <v>Nov</v>
      </c>
      <c r="D855" s="7">
        <f>MONTH(SalesData[[#This Row],[Order Date]])</f>
        <v>11</v>
      </c>
      <c r="E855" s="7">
        <f>YEAR(SalesData[[#This Row],[Order Date]])</f>
        <v>2024</v>
      </c>
      <c r="F855" t="s">
        <v>83</v>
      </c>
      <c r="G855" t="str">
        <f>PROPER(SalesData[[#This Row],[Product Name]])</f>
        <v>Biodegradable Cleaning Cloth</v>
      </c>
      <c r="H855" t="s">
        <v>1015</v>
      </c>
      <c r="I855" t="str">
        <f>UPPER(SalesData[[#This Row],[Product Category]])</f>
        <v>CLEANING</v>
      </c>
      <c r="J855">
        <v>4</v>
      </c>
      <c r="K855">
        <v>10</v>
      </c>
      <c r="L855" s="15">
        <f>IF(SalesData[[#This Row],[Unit Price]]="",
    AVERAGEIFS(SalesData[Unit Price],
               SalesData[Product Name],SalesData[[#This Row],[Product Name]]),
    SalesData[[#This Row],[Unit Price]])</f>
        <v>10</v>
      </c>
      <c r="M855" s="15">
        <v>2.2200000000000002</v>
      </c>
      <c r="N855" s="15">
        <f>SalesData[[#This Row],[Quantity Sold]] * SalesData[[#This Row],[Cleaned Unit Price]]</f>
        <v>40</v>
      </c>
      <c r="O855" s="15">
        <f>SalesData[[#This Row],[Quantity Sold]] * SalesData[[#This Row],[Unit Cost]]</f>
        <v>8.8800000000000008</v>
      </c>
      <c r="P855" s="15">
        <f>SalesData[[#This Row],[Revenue]] - SalesData[[#This Row],[Cost]]</f>
        <v>31.119999999999997</v>
      </c>
      <c r="Q855" s="13">
        <f>IF(SalesData[[#This Row],[Revenue]]=0,0,SalesData[[#This Row],[Profit]]/SalesData[[#This Row],[Revenue]])</f>
        <v>0.77799999999999991</v>
      </c>
      <c r="R855" t="s">
        <v>1024</v>
      </c>
      <c r="S855" t="s">
        <v>1223</v>
      </c>
      <c r="T855" t="str">
        <f>PROPER(SalesData[[#This Row],[Customer Name]])</f>
        <v>Ava Rodriguez</v>
      </c>
      <c r="U855" t="s">
        <v>1417</v>
      </c>
      <c r="V855" t="s">
        <v>1418</v>
      </c>
    </row>
    <row r="856" spans="1:22" x14ac:dyDescent="0.25">
      <c r="A856" t="s">
        <v>2282</v>
      </c>
      <c r="B856" s="5">
        <v>45600</v>
      </c>
      <c r="C856" s="2" t="str">
        <f>TEXT(SalesData[[#This Row],[Order Date]],"mmm")</f>
        <v>Nov</v>
      </c>
      <c r="D856" s="7">
        <f>MONTH(SalesData[[#This Row],[Order Date]])</f>
        <v>11</v>
      </c>
      <c r="E856" s="7">
        <f>YEAR(SalesData[[#This Row],[Order Date]])</f>
        <v>2024</v>
      </c>
      <c r="F856" t="s">
        <v>741</v>
      </c>
      <c r="G856" t="str">
        <f>PROPER(SalesData[[#This Row],[Product Name]])</f>
        <v>Eco Canvas Tote Bag</v>
      </c>
      <c r="H856" t="s">
        <v>1013</v>
      </c>
      <c r="I856" t="str">
        <f>UPPER(SalesData[[#This Row],[Product Category]])</f>
        <v>BAGS</v>
      </c>
      <c r="J856">
        <v>1</v>
      </c>
      <c r="K856">
        <v>25</v>
      </c>
      <c r="L856" s="15">
        <f>IF(SalesData[[#This Row],[Unit Price]]="",
    AVERAGEIFS(SalesData[Unit Price],
               SalesData[Product Name],SalesData[[#This Row],[Product Name]]),
    SalesData[[#This Row],[Unit Price]])</f>
        <v>25</v>
      </c>
      <c r="M856" s="15">
        <v>8.4499999999999993</v>
      </c>
      <c r="N856" s="15">
        <f>SalesData[[#This Row],[Quantity Sold]] * SalesData[[#This Row],[Cleaned Unit Price]]</f>
        <v>25</v>
      </c>
      <c r="O856" s="15">
        <f>SalesData[[#This Row],[Quantity Sold]] * SalesData[[#This Row],[Unit Cost]]</f>
        <v>8.4499999999999993</v>
      </c>
      <c r="P856" s="15">
        <f>SalesData[[#This Row],[Revenue]] - SalesData[[#This Row],[Cost]]</f>
        <v>16.55</v>
      </c>
      <c r="Q856" s="13">
        <f>IF(SalesData[[#This Row],[Revenue]]=0,0,SalesData[[#This Row],[Profit]]/SalesData[[#This Row],[Revenue]])</f>
        <v>0.66200000000000003</v>
      </c>
      <c r="R856" t="s">
        <v>1106</v>
      </c>
      <c r="S856" t="s">
        <v>1305</v>
      </c>
      <c r="T856" t="str">
        <f>PROPER(SalesData[[#This Row],[Customer Name]])</f>
        <v>Aiden Smith</v>
      </c>
      <c r="U856" t="s">
        <v>1415</v>
      </c>
      <c r="V856" t="s">
        <v>1421</v>
      </c>
    </row>
    <row r="857" spans="1:22" x14ac:dyDescent="0.25">
      <c r="A857" t="s">
        <v>2283</v>
      </c>
      <c r="B857" s="5">
        <v>45601</v>
      </c>
      <c r="C857" s="2" t="str">
        <f>TEXT(SalesData[[#This Row],[Order Date]],"mmm")</f>
        <v>Nov</v>
      </c>
      <c r="D857" s="7">
        <f>MONTH(SalesData[[#This Row],[Order Date]])</f>
        <v>11</v>
      </c>
      <c r="E857" s="7">
        <f>YEAR(SalesData[[#This Row],[Order Date]])</f>
        <v>2024</v>
      </c>
      <c r="F857" t="s">
        <v>47</v>
      </c>
      <c r="G857" t="str">
        <f>PROPER(SalesData[[#This Row],[Product Name]])</f>
        <v>Reusable Bamboo Utensil Set</v>
      </c>
      <c r="H857" t="s">
        <v>1014</v>
      </c>
      <c r="I857" t="str">
        <f>UPPER(SalesData[[#This Row],[Product Category]])</f>
        <v>KITCHENWARE</v>
      </c>
      <c r="J857">
        <v>3</v>
      </c>
      <c r="K857">
        <v>15</v>
      </c>
      <c r="L857" s="15">
        <f>IF(SalesData[[#This Row],[Unit Price]]="",
    AVERAGEIFS(SalesData[Unit Price],
               SalesData[Product Name],SalesData[[#This Row],[Product Name]]),
    SalesData[[#This Row],[Unit Price]])</f>
        <v>15</v>
      </c>
      <c r="M857" s="15">
        <v>3.12</v>
      </c>
      <c r="N857" s="15">
        <f>SalesData[[#This Row],[Quantity Sold]] * SalesData[[#This Row],[Cleaned Unit Price]]</f>
        <v>45</v>
      </c>
      <c r="O857" s="15">
        <f>SalesData[[#This Row],[Quantity Sold]] * SalesData[[#This Row],[Unit Cost]]</f>
        <v>9.36</v>
      </c>
      <c r="P857" s="15">
        <f>SalesData[[#This Row],[Revenue]] - SalesData[[#This Row],[Cost]]</f>
        <v>35.64</v>
      </c>
      <c r="Q857" s="13">
        <f>IF(SalesData[[#This Row],[Revenue]]=0,0,SalesData[[#This Row],[Profit]]/SalesData[[#This Row],[Revenue]])</f>
        <v>0.79200000000000004</v>
      </c>
      <c r="R857" t="s">
        <v>1046</v>
      </c>
      <c r="S857" t="s">
        <v>1245</v>
      </c>
      <c r="T857" t="str">
        <f>PROPER(SalesData[[#This Row],[Customer Name]])</f>
        <v>Lucas Williams</v>
      </c>
      <c r="U857" t="s">
        <v>1416</v>
      </c>
      <c r="V857" t="s">
        <v>1424</v>
      </c>
    </row>
    <row r="858" spans="1:22" x14ac:dyDescent="0.25">
      <c r="A858" t="s">
        <v>2284</v>
      </c>
      <c r="B858" s="5">
        <v>45601</v>
      </c>
      <c r="C858" s="2" t="str">
        <f>TEXT(SalesData[[#This Row],[Order Date]],"mmm")</f>
        <v>Nov</v>
      </c>
      <c r="D858" s="7">
        <f>MONTH(SalesData[[#This Row],[Order Date]])</f>
        <v>11</v>
      </c>
      <c r="E858" s="7">
        <f>YEAR(SalesData[[#This Row],[Order Date]])</f>
        <v>2024</v>
      </c>
      <c r="F858" t="s">
        <v>353</v>
      </c>
      <c r="G858" t="str">
        <f>PROPER(SalesData[[#This Row],[Product Name]])</f>
        <v>Eco Canvas Tote Bag</v>
      </c>
      <c r="H858" t="s">
        <v>1013</v>
      </c>
      <c r="I858" t="str">
        <f>UPPER(SalesData[[#This Row],[Product Category]])</f>
        <v>BAGS</v>
      </c>
      <c r="J858">
        <v>7</v>
      </c>
      <c r="K858">
        <v>25</v>
      </c>
      <c r="L858" s="15">
        <f>IF(SalesData[[#This Row],[Unit Price]]="",
    AVERAGEIFS(SalesData[Unit Price],
               SalesData[Product Name],SalesData[[#This Row],[Product Name]]),
    SalesData[[#This Row],[Unit Price]])</f>
        <v>25</v>
      </c>
      <c r="M858" s="15">
        <v>7.96</v>
      </c>
      <c r="N858" s="15">
        <f>SalesData[[#This Row],[Quantity Sold]] * SalesData[[#This Row],[Cleaned Unit Price]]</f>
        <v>175</v>
      </c>
      <c r="O858" s="15">
        <f>SalesData[[#This Row],[Quantity Sold]] * SalesData[[#This Row],[Unit Cost]]</f>
        <v>55.72</v>
      </c>
      <c r="P858" s="15">
        <f>SalesData[[#This Row],[Revenue]] - SalesData[[#This Row],[Cost]]</f>
        <v>119.28</v>
      </c>
      <c r="Q858" s="13">
        <f>IF(SalesData[[#This Row],[Revenue]]=0,0,SalesData[[#This Row],[Profit]]/SalesData[[#This Row],[Revenue]])</f>
        <v>0.68159999999999998</v>
      </c>
      <c r="R858" t="s">
        <v>1022</v>
      </c>
      <c r="S858" t="s">
        <v>1221</v>
      </c>
      <c r="T858" t="str">
        <f>PROPER(SalesData[[#This Row],[Customer Name]])</f>
        <v>Liam Johnson</v>
      </c>
      <c r="U858" t="s">
        <v>1414</v>
      </c>
      <c r="V858" t="s">
        <v>1425</v>
      </c>
    </row>
    <row r="859" spans="1:22" x14ac:dyDescent="0.25">
      <c r="A859" t="s">
        <v>2285</v>
      </c>
      <c r="B859" s="5">
        <v>45602</v>
      </c>
      <c r="C859" s="2" t="str">
        <f>TEXT(SalesData[[#This Row],[Order Date]],"mmm")</f>
        <v>Nov</v>
      </c>
      <c r="D859" s="7">
        <f>MONTH(SalesData[[#This Row],[Order Date]])</f>
        <v>11</v>
      </c>
      <c r="E859" s="7">
        <f>YEAR(SalesData[[#This Row],[Order Date]])</f>
        <v>2024</v>
      </c>
      <c r="F859" t="s">
        <v>713</v>
      </c>
      <c r="G859" t="str">
        <f>PROPER(SalesData[[#This Row],[Product Name]])</f>
        <v>Biodegradable Cleaning Cloth</v>
      </c>
      <c r="H859" t="s">
        <v>1015</v>
      </c>
      <c r="I859" t="str">
        <f>UPPER(SalesData[[#This Row],[Product Category]])</f>
        <v>CLEANING</v>
      </c>
      <c r="J859">
        <v>10</v>
      </c>
      <c r="K859">
        <v>10</v>
      </c>
      <c r="L859" s="15">
        <f>IF(SalesData[[#This Row],[Unit Price]]="",
    AVERAGEIFS(SalesData[Unit Price],
               SalesData[Product Name],SalesData[[#This Row],[Product Name]]),
    SalesData[[#This Row],[Unit Price]])</f>
        <v>10</v>
      </c>
      <c r="M859" s="15">
        <v>3.97</v>
      </c>
      <c r="N859" s="15">
        <f>SalesData[[#This Row],[Quantity Sold]] * SalesData[[#This Row],[Cleaned Unit Price]]</f>
        <v>100</v>
      </c>
      <c r="O859" s="15">
        <f>SalesData[[#This Row],[Quantity Sold]] * SalesData[[#This Row],[Unit Cost]]</f>
        <v>39.700000000000003</v>
      </c>
      <c r="P859" s="15">
        <f>SalesData[[#This Row],[Revenue]] - SalesData[[#This Row],[Cost]]</f>
        <v>60.3</v>
      </c>
      <c r="Q859" s="13">
        <f>IF(SalesData[[#This Row],[Revenue]]=0,0,SalesData[[#This Row],[Profit]]/SalesData[[#This Row],[Revenue]])</f>
        <v>0.60299999999999998</v>
      </c>
      <c r="R859" t="s">
        <v>1206</v>
      </c>
      <c r="S859" t="s">
        <v>1405</v>
      </c>
      <c r="T859" t="str">
        <f>PROPER(SalesData[[#This Row],[Customer Name]])</f>
        <v>Isabella Rodriguez</v>
      </c>
      <c r="U859" t="s">
        <v>1414</v>
      </c>
      <c r="V859" t="s">
        <v>1424</v>
      </c>
    </row>
    <row r="860" spans="1:22" x14ac:dyDescent="0.25">
      <c r="A860" t="s">
        <v>2286</v>
      </c>
      <c r="B860" s="5">
        <v>45602</v>
      </c>
      <c r="C860" s="2" t="str">
        <f>TEXT(SalesData[[#This Row],[Order Date]],"mmm")</f>
        <v>Nov</v>
      </c>
      <c r="D860" s="7">
        <f>MONTH(SalesData[[#This Row],[Order Date]])</f>
        <v>11</v>
      </c>
      <c r="E860" s="7">
        <f>YEAR(SalesData[[#This Row],[Order Date]])</f>
        <v>2024</v>
      </c>
      <c r="F860" t="s">
        <v>781</v>
      </c>
      <c r="G860" t="str">
        <f>PROPER(SalesData[[#This Row],[Product Name]])</f>
        <v>Biodegradable Cleaning Cloth</v>
      </c>
      <c r="H860" t="s">
        <v>1015</v>
      </c>
      <c r="I860" t="str">
        <f>UPPER(SalesData[[#This Row],[Product Category]])</f>
        <v>CLEANING</v>
      </c>
      <c r="J860">
        <v>7</v>
      </c>
      <c r="K860">
        <v>10</v>
      </c>
      <c r="L860" s="15">
        <f>IF(SalesData[[#This Row],[Unit Price]]="",
    AVERAGEIFS(SalesData[Unit Price],
               SalesData[Product Name],SalesData[[#This Row],[Product Name]]),
    SalesData[[#This Row],[Unit Price]])</f>
        <v>10</v>
      </c>
      <c r="M860" s="15">
        <v>3.07</v>
      </c>
      <c r="N860" s="15">
        <f>SalesData[[#This Row],[Quantity Sold]] * SalesData[[#This Row],[Cleaned Unit Price]]</f>
        <v>70</v>
      </c>
      <c r="O860" s="15">
        <f>SalesData[[#This Row],[Quantity Sold]] * SalesData[[#This Row],[Unit Cost]]</f>
        <v>21.49</v>
      </c>
      <c r="P860" s="15">
        <f>SalesData[[#This Row],[Revenue]] - SalesData[[#This Row],[Cost]]</f>
        <v>48.510000000000005</v>
      </c>
      <c r="Q860" s="13">
        <f>IF(SalesData[[#This Row],[Revenue]]=0,0,SalesData[[#This Row],[Profit]]/SalesData[[#This Row],[Revenue]])</f>
        <v>0.69300000000000006</v>
      </c>
      <c r="R860" t="s">
        <v>1132</v>
      </c>
      <c r="S860" t="s">
        <v>1331</v>
      </c>
      <c r="T860" t="str">
        <f>PROPER(SalesData[[#This Row],[Customer Name]])</f>
        <v>Isabella Rodriguez</v>
      </c>
      <c r="U860" t="s">
        <v>1414</v>
      </c>
      <c r="V860" t="s">
        <v>1420</v>
      </c>
    </row>
    <row r="861" spans="1:22" x14ac:dyDescent="0.25">
      <c r="A861" t="s">
        <v>2287</v>
      </c>
      <c r="B861" s="5">
        <v>45603</v>
      </c>
      <c r="C861" s="2" t="str">
        <f>TEXT(SalesData[[#This Row],[Order Date]],"mmm")</f>
        <v>Nov</v>
      </c>
      <c r="D861" s="7">
        <f>MONTH(SalesData[[#This Row],[Order Date]])</f>
        <v>11</v>
      </c>
      <c r="E861" s="7">
        <f>YEAR(SalesData[[#This Row],[Order Date]])</f>
        <v>2024</v>
      </c>
      <c r="F861" t="s">
        <v>735</v>
      </c>
      <c r="G861" t="str">
        <f>PROPER(SalesData[[#This Row],[Product Name]])</f>
        <v>Reusable Bamboo Utensil Set</v>
      </c>
      <c r="H861" t="s">
        <v>1014</v>
      </c>
      <c r="I861" t="str">
        <f>UPPER(SalesData[[#This Row],[Product Category]])</f>
        <v>KITCHENWARE</v>
      </c>
      <c r="J861">
        <v>2</v>
      </c>
      <c r="K861">
        <v>15</v>
      </c>
      <c r="L861" s="15">
        <f>IF(SalesData[[#This Row],[Unit Price]]="",
    AVERAGEIFS(SalesData[Unit Price],
               SalesData[Product Name],SalesData[[#This Row],[Product Name]]),
    SalesData[[#This Row],[Unit Price]])</f>
        <v>15</v>
      </c>
      <c r="M861" s="15">
        <v>5.34</v>
      </c>
      <c r="N861" s="15">
        <f>SalesData[[#This Row],[Quantity Sold]] * SalesData[[#This Row],[Cleaned Unit Price]]</f>
        <v>30</v>
      </c>
      <c r="O861" s="15">
        <f>SalesData[[#This Row],[Quantity Sold]] * SalesData[[#This Row],[Unit Cost]]</f>
        <v>10.68</v>
      </c>
      <c r="P861" s="15">
        <f>SalesData[[#This Row],[Revenue]] - SalesData[[#This Row],[Cost]]</f>
        <v>19.32</v>
      </c>
      <c r="Q861" s="13">
        <f>IF(SalesData[[#This Row],[Revenue]]=0,0,SalesData[[#This Row],[Profit]]/SalesData[[#This Row],[Revenue]])</f>
        <v>0.64400000000000002</v>
      </c>
      <c r="R861" t="s">
        <v>1126</v>
      </c>
      <c r="S861" t="s">
        <v>1325</v>
      </c>
      <c r="T861" t="str">
        <f>PROPER(SalesData[[#This Row],[Customer Name]])</f>
        <v>Ethan Martinez</v>
      </c>
      <c r="U861" t="s">
        <v>1414</v>
      </c>
      <c r="V861" t="s">
        <v>1420</v>
      </c>
    </row>
    <row r="862" spans="1:22" x14ac:dyDescent="0.25">
      <c r="A862" t="s">
        <v>2288</v>
      </c>
      <c r="B862" s="5">
        <v>45604</v>
      </c>
      <c r="C862" s="2" t="str">
        <f>TEXT(SalesData[[#This Row],[Order Date]],"mmm")</f>
        <v>Nov</v>
      </c>
      <c r="D862" s="7">
        <f>MONTH(SalesData[[#This Row],[Order Date]])</f>
        <v>11</v>
      </c>
      <c r="E862" s="7">
        <f>YEAR(SalesData[[#This Row],[Order Date]])</f>
        <v>2024</v>
      </c>
      <c r="F862" t="s">
        <v>189</v>
      </c>
      <c r="G862" t="str">
        <f>PROPER(SalesData[[#This Row],[Product Name]])</f>
        <v>Reusable Bamboo Utensil Set</v>
      </c>
      <c r="H862" t="s">
        <v>1014</v>
      </c>
      <c r="I862" t="str">
        <f>UPPER(SalesData[[#This Row],[Product Category]])</f>
        <v>KITCHENWARE</v>
      </c>
      <c r="J862">
        <v>6</v>
      </c>
      <c r="K862">
        <v>15</v>
      </c>
      <c r="L862" s="15">
        <f>IF(SalesData[[#This Row],[Unit Price]]="",
    AVERAGEIFS(SalesData[Unit Price],
               SalesData[Product Name],SalesData[[#This Row],[Product Name]]),
    SalesData[[#This Row],[Unit Price]])</f>
        <v>15</v>
      </c>
      <c r="M862" s="15">
        <v>5.79</v>
      </c>
      <c r="N862" s="15">
        <f>SalesData[[#This Row],[Quantity Sold]] * SalesData[[#This Row],[Cleaned Unit Price]]</f>
        <v>90</v>
      </c>
      <c r="O862" s="15">
        <f>SalesData[[#This Row],[Quantity Sold]] * SalesData[[#This Row],[Unit Cost]]</f>
        <v>34.74</v>
      </c>
      <c r="P862" s="15">
        <f>SalesData[[#This Row],[Revenue]] - SalesData[[#This Row],[Cost]]</f>
        <v>55.26</v>
      </c>
      <c r="Q862" s="13">
        <f>IF(SalesData[[#This Row],[Revenue]]=0,0,SalesData[[#This Row],[Profit]]/SalesData[[#This Row],[Revenue]])</f>
        <v>0.61399999999999999</v>
      </c>
      <c r="R862" t="s">
        <v>1025</v>
      </c>
      <c r="S862" t="s">
        <v>1224</v>
      </c>
      <c r="T862" t="str">
        <f>PROPER(SalesData[[#This Row],[Customer Name]])</f>
        <v>Aiden Davis</v>
      </c>
      <c r="U862" t="s">
        <v>1417</v>
      </c>
      <c r="V862" t="s">
        <v>1423</v>
      </c>
    </row>
    <row r="863" spans="1:22" x14ac:dyDescent="0.25">
      <c r="A863" t="s">
        <v>2289</v>
      </c>
      <c r="B863" s="5">
        <v>45604</v>
      </c>
      <c r="C863" s="2" t="str">
        <f>TEXT(SalesData[[#This Row],[Order Date]],"mmm")</f>
        <v>Nov</v>
      </c>
      <c r="D863" s="7">
        <f>MONTH(SalesData[[#This Row],[Order Date]])</f>
        <v>11</v>
      </c>
      <c r="E863" s="7">
        <f>YEAR(SalesData[[#This Row],[Order Date]])</f>
        <v>2024</v>
      </c>
      <c r="F863" t="s">
        <v>628</v>
      </c>
      <c r="G863" t="str">
        <f>PROPER(SalesData[[#This Row],[Product Name]])</f>
        <v>Biodegradable Cleaning Cloth</v>
      </c>
      <c r="H863" t="s">
        <v>1015</v>
      </c>
      <c r="I863" t="str">
        <f>UPPER(SalesData[[#This Row],[Product Category]])</f>
        <v>CLEANING</v>
      </c>
      <c r="J863">
        <v>5</v>
      </c>
      <c r="K863">
        <v>10</v>
      </c>
      <c r="L863" s="15">
        <f>IF(SalesData[[#This Row],[Unit Price]]="",
    AVERAGEIFS(SalesData[Unit Price],
               SalesData[Product Name],SalesData[[#This Row],[Product Name]]),
    SalesData[[#This Row],[Unit Price]])</f>
        <v>10</v>
      </c>
      <c r="M863" s="15">
        <v>3.82</v>
      </c>
      <c r="N863" s="15">
        <f>SalesData[[#This Row],[Quantity Sold]] * SalesData[[#This Row],[Cleaned Unit Price]]</f>
        <v>50</v>
      </c>
      <c r="O863" s="15">
        <f>SalesData[[#This Row],[Quantity Sold]] * SalesData[[#This Row],[Unit Cost]]</f>
        <v>19.099999999999998</v>
      </c>
      <c r="P863" s="15">
        <f>SalesData[[#This Row],[Revenue]] - SalesData[[#This Row],[Cost]]</f>
        <v>30.900000000000002</v>
      </c>
      <c r="Q863" s="13">
        <f>IF(SalesData[[#This Row],[Revenue]]=0,0,SalesData[[#This Row],[Profit]]/SalesData[[#This Row],[Revenue]])</f>
        <v>0.61799999999999999</v>
      </c>
      <c r="R863" t="s">
        <v>1066</v>
      </c>
      <c r="S863" t="s">
        <v>1265</v>
      </c>
      <c r="T863" t="str">
        <f>PROPER(SalesData[[#This Row],[Customer Name]])</f>
        <v>Liam Rodriguez</v>
      </c>
      <c r="U863" t="s">
        <v>1414</v>
      </c>
      <c r="V863" t="s">
        <v>1419</v>
      </c>
    </row>
    <row r="864" spans="1:22" x14ac:dyDescent="0.25">
      <c r="A864" t="s">
        <v>2290</v>
      </c>
      <c r="B864" s="5">
        <v>45604</v>
      </c>
      <c r="C864" s="2" t="str">
        <f>TEXT(SalesData[[#This Row],[Order Date]],"mmm")</f>
        <v>Nov</v>
      </c>
      <c r="D864" s="7">
        <f>MONTH(SalesData[[#This Row],[Order Date]])</f>
        <v>11</v>
      </c>
      <c r="E864" s="7">
        <f>YEAR(SalesData[[#This Row],[Order Date]])</f>
        <v>2024</v>
      </c>
      <c r="F864" t="s">
        <v>833</v>
      </c>
      <c r="G864" t="str">
        <f>PROPER(SalesData[[#This Row],[Product Name]])</f>
        <v>Biodegradable Cleaning Cloth</v>
      </c>
      <c r="H864" t="s">
        <v>1015</v>
      </c>
      <c r="I864" t="str">
        <f>UPPER(SalesData[[#This Row],[Product Category]])</f>
        <v>CLEANING</v>
      </c>
      <c r="J864">
        <v>1</v>
      </c>
      <c r="K864">
        <v>10</v>
      </c>
      <c r="L864" s="15">
        <f>IF(SalesData[[#This Row],[Unit Price]]="",
    AVERAGEIFS(SalesData[Unit Price],
               SalesData[Product Name],SalesData[[#This Row],[Product Name]]),
    SalesData[[#This Row],[Unit Price]])</f>
        <v>10</v>
      </c>
      <c r="M864" s="15">
        <v>2</v>
      </c>
      <c r="N864" s="15">
        <f>SalesData[[#This Row],[Quantity Sold]] * SalesData[[#This Row],[Cleaned Unit Price]]</f>
        <v>10</v>
      </c>
      <c r="O864" s="15">
        <f>SalesData[[#This Row],[Quantity Sold]] * SalesData[[#This Row],[Unit Cost]]</f>
        <v>2</v>
      </c>
      <c r="P864" s="15">
        <f>SalesData[[#This Row],[Revenue]] - SalesData[[#This Row],[Cost]]</f>
        <v>8</v>
      </c>
      <c r="Q864" s="13">
        <f>IF(SalesData[[#This Row],[Revenue]]=0,0,SalesData[[#This Row],[Profit]]/SalesData[[#This Row],[Revenue]])</f>
        <v>0.8</v>
      </c>
      <c r="R864" t="s">
        <v>1113</v>
      </c>
      <c r="S864" t="s">
        <v>1312</v>
      </c>
      <c r="T864" t="str">
        <f>PROPER(SalesData[[#This Row],[Customer Name]])</f>
        <v>Elijah Williams</v>
      </c>
      <c r="U864" t="s">
        <v>1417</v>
      </c>
      <c r="V864" t="s">
        <v>1421</v>
      </c>
    </row>
    <row r="865" spans="1:22" x14ac:dyDescent="0.25">
      <c r="A865" t="s">
        <v>2291</v>
      </c>
      <c r="B865" s="5">
        <v>45605</v>
      </c>
      <c r="C865" s="2" t="str">
        <f>TEXT(SalesData[[#This Row],[Order Date]],"mmm")</f>
        <v>Nov</v>
      </c>
      <c r="D865" s="7">
        <f>MONTH(SalesData[[#This Row],[Order Date]])</f>
        <v>11</v>
      </c>
      <c r="E865" s="7">
        <f>YEAR(SalesData[[#This Row],[Order Date]])</f>
        <v>2024</v>
      </c>
      <c r="F865" t="s">
        <v>547</v>
      </c>
      <c r="G865" t="str">
        <f>PROPER(SalesData[[#This Row],[Product Name]])</f>
        <v>Biodegradable Cleaning Cloth</v>
      </c>
      <c r="H865" t="s">
        <v>1015</v>
      </c>
      <c r="I865" t="str">
        <f>UPPER(SalesData[[#This Row],[Product Category]])</f>
        <v>CLEANING</v>
      </c>
      <c r="J865">
        <v>3</v>
      </c>
      <c r="K865">
        <v>10</v>
      </c>
      <c r="L865" s="15">
        <f>IF(SalesData[[#This Row],[Unit Price]]="",
    AVERAGEIFS(SalesData[Unit Price],
               SalesData[Product Name],SalesData[[#This Row],[Product Name]]),
    SalesData[[#This Row],[Unit Price]])</f>
        <v>10</v>
      </c>
      <c r="M865" s="15">
        <v>2.39</v>
      </c>
      <c r="N865" s="15">
        <f>SalesData[[#This Row],[Quantity Sold]] * SalesData[[#This Row],[Cleaned Unit Price]]</f>
        <v>30</v>
      </c>
      <c r="O865" s="15">
        <f>SalesData[[#This Row],[Quantity Sold]] * SalesData[[#This Row],[Unit Cost]]</f>
        <v>7.17</v>
      </c>
      <c r="P865" s="15">
        <f>SalesData[[#This Row],[Revenue]] - SalesData[[#This Row],[Cost]]</f>
        <v>22.83</v>
      </c>
      <c r="Q865" s="13">
        <f>IF(SalesData[[#This Row],[Revenue]]=0,0,SalesData[[#This Row],[Profit]]/SalesData[[#This Row],[Revenue]])</f>
        <v>0.7609999999999999</v>
      </c>
      <c r="R865" t="s">
        <v>1028</v>
      </c>
      <c r="S865" t="s">
        <v>1227</v>
      </c>
      <c r="T865" t="str">
        <f>PROPER(SalesData[[#This Row],[Customer Name]])</f>
        <v>Liam Brown</v>
      </c>
      <c r="U865" t="s">
        <v>1416</v>
      </c>
      <c r="V865" t="s">
        <v>1423</v>
      </c>
    </row>
    <row r="866" spans="1:22" x14ac:dyDescent="0.25">
      <c r="A866" t="s">
        <v>2292</v>
      </c>
      <c r="B866" s="5">
        <v>45605</v>
      </c>
      <c r="C866" s="2" t="str">
        <f>TEXT(SalesData[[#This Row],[Order Date]],"mmm")</f>
        <v>Nov</v>
      </c>
      <c r="D866" s="7">
        <f>MONTH(SalesData[[#This Row],[Order Date]])</f>
        <v>11</v>
      </c>
      <c r="E866" s="7">
        <f>YEAR(SalesData[[#This Row],[Order Date]])</f>
        <v>2024</v>
      </c>
      <c r="F866" t="s">
        <v>682</v>
      </c>
      <c r="G866" t="str">
        <f>PROPER(SalesData[[#This Row],[Product Name]])</f>
        <v>Biodegradable Cleaning Cloth</v>
      </c>
      <c r="H866" t="s">
        <v>1015</v>
      </c>
      <c r="I866" t="str">
        <f>UPPER(SalesData[[#This Row],[Product Category]])</f>
        <v>CLEANING</v>
      </c>
      <c r="J866">
        <v>5</v>
      </c>
      <c r="K866">
        <v>10</v>
      </c>
      <c r="L866" s="15">
        <f>IF(SalesData[[#This Row],[Unit Price]]="",
    AVERAGEIFS(SalesData[Unit Price],
               SalesData[Product Name],SalesData[[#This Row],[Product Name]]),
    SalesData[[#This Row],[Unit Price]])</f>
        <v>10</v>
      </c>
      <c r="M866" s="15">
        <v>2.48</v>
      </c>
      <c r="N866" s="15">
        <f>SalesData[[#This Row],[Quantity Sold]] * SalesData[[#This Row],[Cleaned Unit Price]]</f>
        <v>50</v>
      </c>
      <c r="O866" s="15">
        <f>SalesData[[#This Row],[Quantity Sold]] * SalesData[[#This Row],[Unit Cost]]</f>
        <v>12.4</v>
      </c>
      <c r="P866" s="15">
        <f>SalesData[[#This Row],[Revenue]] - SalesData[[#This Row],[Cost]]</f>
        <v>37.6</v>
      </c>
      <c r="Q866" s="13">
        <f>IF(SalesData[[#This Row],[Revenue]]=0,0,SalesData[[#This Row],[Profit]]/SalesData[[#This Row],[Revenue]])</f>
        <v>0.752</v>
      </c>
      <c r="R866" t="s">
        <v>1187</v>
      </c>
      <c r="S866" t="s">
        <v>1386</v>
      </c>
      <c r="T866" t="str">
        <f>PROPER(SalesData[[#This Row],[Customer Name]])</f>
        <v>Liam Jones</v>
      </c>
      <c r="U866" t="s">
        <v>1415</v>
      </c>
      <c r="V866" t="s">
        <v>1421</v>
      </c>
    </row>
    <row r="867" spans="1:22" x14ac:dyDescent="0.25">
      <c r="A867" t="s">
        <v>2293</v>
      </c>
      <c r="B867" s="5">
        <v>45606</v>
      </c>
      <c r="C867" s="2" t="str">
        <f>TEXT(SalesData[[#This Row],[Order Date]],"mmm")</f>
        <v>Nov</v>
      </c>
      <c r="D867" s="7">
        <f>MONTH(SalesData[[#This Row],[Order Date]])</f>
        <v>11</v>
      </c>
      <c r="E867" s="7">
        <f>YEAR(SalesData[[#This Row],[Order Date]])</f>
        <v>2024</v>
      </c>
      <c r="F867" t="s">
        <v>142</v>
      </c>
      <c r="G867" t="str">
        <f>PROPER(SalesData[[#This Row],[Product Name]])</f>
        <v>Eco Canvas Tote Bag</v>
      </c>
      <c r="H867" t="s">
        <v>1013</v>
      </c>
      <c r="I867" t="str">
        <f>UPPER(SalesData[[#This Row],[Product Category]])</f>
        <v>BAGS</v>
      </c>
      <c r="J867">
        <v>4</v>
      </c>
      <c r="K867">
        <v>25</v>
      </c>
      <c r="L867" s="15">
        <f>IF(SalesData[[#This Row],[Unit Price]]="",
    AVERAGEIFS(SalesData[Unit Price],
               SalesData[Product Name],SalesData[[#This Row],[Product Name]]),
    SalesData[[#This Row],[Unit Price]])</f>
        <v>25</v>
      </c>
      <c r="M867" s="15">
        <v>6.48</v>
      </c>
      <c r="N867" s="15">
        <f>SalesData[[#This Row],[Quantity Sold]] * SalesData[[#This Row],[Cleaned Unit Price]]</f>
        <v>100</v>
      </c>
      <c r="O867" s="15">
        <f>SalesData[[#This Row],[Quantity Sold]] * SalesData[[#This Row],[Unit Cost]]</f>
        <v>25.92</v>
      </c>
      <c r="P867" s="15">
        <f>SalesData[[#This Row],[Revenue]] - SalesData[[#This Row],[Cost]]</f>
        <v>74.08</v>
      </c>
      <c r="Q867" s="13">
        <f>IF(SalesData[[#This Row],[Revenue]]=0,0,SalesData[[#This Row],[Profit]]/SalesData[[#This Row],[Revenue]])</f>
        <v>0.74080000000000001</v>
      </c>
      <c r="R867" t="s">
        <v>1116</v>
      </c>
      <c r="S867" t="s">
        <v>1315</v>
      </c>
      <c r="T867" t="str">
        <f>PROPER(SalesData[[#This Row],[Customer Name]])</f>
        <v>Evelyn Martinez</v>
      </c>
      <c r="U867" t="s">
        <v>1414</v>
      </c>
      <c r="V867" t="s">
        <v>1427</v>
      </c>
    </row>
    <row r="868" spans="1:22" x14ac:dyDescent="0.25">
      <c r="A868" t="s">
        <v>2294</v>
      </c>
      <c r="B868" s="5">
        <v>45606</v>
      </c>
      <c r="C868" s="2" t="str">
        <f>TEXT(SalesData[[#This Row],[Order Date]],"mmm")</f>
        <v>Nov</v>
      </c>
      <c r="D868" s="7">
        <f>MONTH(SalesData[[#This Row],[Order Date]])</f>
        <v>11</v>
      </c>
      <c r="E868" s="7">
        <f>YEAR(SalesData[[#This Row],[Order Date]])</f>
        <v>2024</v>
      </c>
      <c r="F868" t="s">
        <v>331</v>
      </c>
      <c r="G868" t="str">
        <f>PROPER(SalesData[[#This Row],[Product Name]])</f>
        <v>Compostable Plant Pots</v>
      </c>
      <c r="H868" t="s">
        <v>1011</v>
      </c>
      <c r="I868" t="str">
        <f>UPPER(SalesData[[#This Row],[Product Category]])</f>
        <v>GARDENING</v>
      </c>
      <c r="J868">
        <v>8</v>
      </c>
      <c r="K868">
        <v>12</v>
      </c>
      <c r="L868" s="15">
        <f>IF(SalesData[[#This Row],[Unit Price]]="",
    AVERAGEIFS(SalesData[Unit Price],
               SalesData[Product Name],SalesData[[#This Row],[Product Name]]),
    SalesData[[#This Row],[Unit Price]])</f>
        <v>12</v>
      </c>
      <c r="M868" s="15">
        <v>3.72</v>
      </c>
      <c r="N868" s="15">
        <f>SalesData[[#This Row],[Quantity Sold]] * SalesData[[#This Row],[Cleaned Unit Price]]</f>
        <v>96</v>
      </c>
      <c r="O868" s="15">
        <f>SalesData[[#This Row],[Quantity Sold]] * SalesData[[#This Row],[Unit Cost]]</f>
        <v>29.76</v>
      </c>
      <c r="P868" s="15">
        <f>SalesData[[#This Row],[Revenue]] - SalesData[[#This Row],[Cost]]</f>
        <v>66.239999999999995</v>
      </c>
      <c r="Q868" s="13">
        <f>IF(SalesData[[#This Row],[Revenue]]=0,0,SalesData[[#This Row],[Profit]]/SalesData[[#This Row],[Revenue]])</f>
        <v>0.69</v>
      </c>
      <c r="R868" t="s">
        <v>1089</v>
      </c>
      <c r="S868" t="s">
        <v>1288</v>
      </c>
      <c r="T868" t="str">
        <f>PROPER(SalesData[[#This Row],[Customer Name]])</f>
        <v>Isabella Garcia</v>
      </c>
      <c r="U868" t="s">
        <v>1416</v>
      </c>
      <c r="V868" t="s">
        <v>1424</v>
      </c>
    </row>
    <row r="869" spans="1:22" x14ac:dyDescent="0.25">
      <c r="A869" t="s">
        <v>2295</v>
      </c>
      <c r="B869" s="5">
        <v>45606</v>
      </c>
      <c r="C869" s="2" t="str">
        <f>TEXT(SalesData[[#This Row],[Order Date]],"mmm")</f>
        <v>Nov</v>
      </c>
      <c r="D869" s="7">
        <f>MONTH(SalesData[[#This Row],[Order Date]])</f>
        <v>11</v>
      </c>
      <c r="E869" s="7">
        <f>YEAR(SalesData[[#This Row],[Order Date]])</f>
        <v>2024</v>
      </c>
      <c r="F869" t="s">
        <v>378</v>
      </c>
      <c r="G869" t="str">
        <f>PROPER(SalesData[[#This Row],[Product Name]])</f>
        <v>Compostable Plant Pots</v>
      </c>
      <c r="H869" t="s">
        <v>1011</v>
      </c>
      <c r="I869" t="str">
        <f>UPPER(SalesData[[#This Row],[Product Category]])</f>
        <v>GARDENING</v>
      </c>
      <c r="J869">
        <v>8</v>
      </c>
      <c r="K869">
        <v>12</v>
      </c>
      <c r="L869" s="15">
        <f>IF(SalesData[[#This Row],[Unit Price]]="",
    AVERAGEIFS(SalesData[Unit Price],
               SalesData[Product Name],SalesData[[#This Row],[Product Name]]),
    SalesData[[#This Row],[Unit Price]])</f>
        <v>12</v>
      </c>
      <c r="M869" s="15">
        <v>3.33</v>
      </c>
      <c r="N869" s="15">
        <f>SalesData[[#This Row],[Quantity Sold]] * SalesData[[#This Row],[Cleaned Unit Price]]</f>
        <v>96</v>
      </c>
      <c r="O869" s="15">
        <f>SalesData[[#This Row],[Quantity Sold]] * SalesData[[#This Row],[Unit Cost]]</f>
        <v>26.64</v>
      </c>
      <c r="P869" s="15">
        <f>SalesData[[#This Row],[Revenue]] - SalesData[[#This Row],[Cost]]</f>
        <v>69.36</v>
      </c>
      <c r="Q869" s="13">
        <f>IF(SalesData[[#This Row],[Revenue]]=0,0,SalesData[[#This Row],[Profit]]/SalesData[[#This Row],[Revenue]])</f>
        <v>0.72250000000000003</v>
      </c>
      <c r="R869" t="s">
        <v>1182</v>
      </c>
      <c r="S869" t="s">
        <v>1381</v>
      </c>
      <c r="T869" t="str">
        <f>PROPER(SalesData[[#This Row],[Customer Name]])</f>
        <v>Mia Martinez</v>
      </c>
      <c r="U869" t="s">
        <v>1414</v>
      </c>
      <c r="V869" t="s">
        <v>1418</v>
      </c>
    </row>
    <row r="870" spans="1:22" x14ac:dyDescent="0.25">
      <c r="A870" t="s">
        <v>2296</v>
      </c>
      <c r="B870" s="5">
        <v>45606</v>
      </c>
      <c r="C870" s="2" t="str">
        <f>TEXT(SalesData[[#This Row],[Order Date]],"mmm")</f>
        <v>Nov</v>
      </c>
      <c r="D870" s="7">
        <f>MONTH(SalesData[[#This Row],[Order Date]])</f>
        <v>11</v>
      </c>
      <c r="E870" s="7">
        <f>YEAR(SalesData[[#This Row],[Order Date]])</f>
        <v>2024</v>
      </c>
      <c r="F870" t="s">
        <v>711</v>
      </c>
      <c r="G870" t="str">
        <f>PROPER(SalesData[[#This Row],[Product Name]])</f>
        <v>Biodegradable Cleaning Cloth</v>
      </c>
      <c r="H870" t="s">
        <v>1015</v>
      </c>
      <c r="I870" t="str">
        <f>UPPER(SalesData[[#This Row],[Product Category]])</f>
        <v>CLEANING</v>
      </c>
      <c r="J870">
        <v>4</v>
      </c>
      <c r="K870">
        <v>10</v>
      </c>
      <c r="L870" s="15">
        <f>IF(SalesData[[#This Row],[Unit Price]]="",
    AVERAGEIFS(SalesData[Unit Price],
               SalesData[Product Name],SalesData[[#This Row],[Product Name]]),
    SalesData[[#This Row],[Unit Price]])</f>
        <v>10</v>
      </c>
      <c r="M870" s="15">
        <v>2.23</v>
      </c>
      <c r="N870" s="15">
        <f>SalesData[[#This Row],[Quantity Sold]] * SalesData[[#This Row],[Cleaned Unit Price]]</f>
        <v>40</v>
      </c>
      <c r="O870" s="15">
        <f>SalesData[[#This Row],[Quantity Sold]] * SalesData[[#This Row],[Unit Cost]]</f>
        <v>8.92</v>
      </c>
      <c r="P870" s="15">
        <f>SalesData[[#This Row],[Revenue]] - SalesData[[#This Row],[Cost]]</f>
        <v>31.08</v>
      </c>
      <c r="Q870" s="13">
        <f>IF(SalesData[[#This Row],[Revenue]]=0,0,SalesData[[#This Row],[Profit]]/SalesData[[#This Row],[Revenue]])</f>
        <v>0.77699999999999991</v>
      </c>
      <c r="R870" t="s">
        <v>1018</v>
      </c>
      <c r="S870" t="s">
        <v>1217</v>
      </c>
      <c r="T870" t="str">
        <f>PROPER(SalesData[[#This Row],[Customer Name]])</f>
        <v>Olivia Davis</v>
      </c>
      <c r="U870" t="s">
        <v>1414</v>
      </c>
      <c r="V870" t="s">
        <v>1426</v>
      </c>
    </row>
    <row r="871" spans="1:22" x14ac:dyDescent="0.25">
      <c r="A871" t="s">
        <v>2297</v>
      </c>
      <c r="B871" s="5">
        <v>45607</v>
      </c>
      <c r="C871" s="2" t="str">
        <f>TEXT(SalesData[[#This Row],[Order Date]],"mmm")</f>
        <v>Nov</v>
      </c>
      <c r="D871" s="7">
        <f>MONTH(SalesData[[#This Row],[Order Date]])</f>
        <v>11</v>
      </c>
      <c r="E871" s="7">
        <f>YEAR(SalesData[[#This Row],[Order Date]])</f>
        <v>2024</v>
      </c>
      <c r="F871" t="s">
        <v>279</v>
      </c>
      <c r="G871" t="str">
        <f>PROPER(SalesData[[#This Row],[Product Name]])</f>
        <v>Solar Led Lantern</v>
      </c>
      <c r="H871" t="s">
        <v>1012</v>
      </c>
      <c r="I871" t="str">
        <f>UPPER(SalesData[[#This Row],[Product Category]])</f>
        <v>LIGHTING</v>
      </c>
      <c r="J871">
        <v>4</v>
      </c>
      <c r="K871">
        <v>40</v>
      </c>
      <c r="L871" s="15">
        <f>IF(SalesData[[#This Row],[Unit Price]]="",
    AVERAGEIFS(SalesData[Unit Price],
               SalesData[Product Name],SalesData[[#This Row],[Product Name]]),
    SalesData[[#This Row],[Unit Price]])</f>
        <v>40</v>
      </c>
      <c r="M871" s="15">
        <v>13.67</v>
      </c>
      <c r="N871" s="15">
        <f>SalesData[[#This Row],[Quantity Sold]] * SalesData[[#This Row],[Cleaned Unit Price]]</f>
        <v>160</v>
      </c>
      <c r="O871" s="15">
        <f>SalesData[[#This Row],[Quantity Sold]] * SalesData[[#This Row],[Unit Cost]]</f>
        <v>54.68</v>
      </c>
      <c r="P871" s="15">
        <f>SalesData[[#This Row],[Revenue]] - SalesData[[#This Row],[Cost]]</f>
        <v>105.32</v>
      </c>
      <c r="Q871" s="13">
        <f>IF(SalesData[[#This Row],[Revenue]]=0,0,SalesData[[#This Row],[Profit]]/SalesData[[#This Row],[Revenue]])</f>
        <v>0.65825</v>
      </c>
      <c r="R871" t="s">
        <v>1164</v>
      </c>
      <c r="S871" t="s">
        <v>1363</v>
      </c>
      <c r="T871" t="str">
        <f>PROPER(SalesData[[#This Row],[Customer Name]])</f>
        <v>Amelia Jones</v>
      </c>
      <c r="U871" t="s">
        <v>1414</v>
      </c>
      <c r="V871" t="s">
        <v>1423</v>
      </c>
    </row>
    <row r="872" spans="1:22" x14ac:dyDescent="0.25">
      <c r="A872" t="s">
        <v>2298</v>
      </c>
      <c r="B872" s="5">
        <v>45607</v>
      </c>
      <c r="C872" s="2" t="str">
        <f>TEXT(SalesData[[#This Row],[Order Date]],"mmm")</f>
        <v>Nov</v>
      </c>
      <c r="D872" s="7">
        <f>MONTH(SalesData[[#This Row],[Order Date]])</f>
        <v>11</v>
      </c>
      <c r="E872" s="7">
        <f>YEAR(SalesData[[#This Row],[Order Date]])</f>
        <v>2024</v>
      </c>
      <c r="F872" t="s">
        <v>754</v>
      </c>
      <c r="G872" t="str">
        <f>PROPER(SalesData[[#This Row],[Product Name]])</f>
        <v>Solar Led Lantern</v>
      </c>
      <c r="H872" t="s">
        <v>1012</v>
      </c>
      <c r="I872" t="str">
        <f>UPPER(SalesData[[#This Row],[Product Category]])</f>
        <v>LIGHTING</v>
      </c>
      <c r="J872">
        <v>10</v>
      </c>
      <c r="K872">
        <v>40</v>
      </c>
      <c r="L872" s="15">
        <f>IF(SalesData[[#This Row],[Unit Price]]="",
    AVERAGEIFS(SalesData[Unit Price],
               SalesData[Product Name],SalesData[[#This Row],[Product Name]]),
    SalesData[[#This Row],[Unit Price]])</f>
        <v>40</v>
      </c>
      <c r="M872" s="15">
        <v>8.85</v>
      </c>
      <c r="N872" s="15">
        <f>SalesData[[#This Row],[Quantity Sold]] * SalesData[[#This Row],[Cleaned Unit Price]]</f>
        <v>400</v>
      </c>
      <c r="O872" s="15">
        <f>SalesData[[#This Row],[Quantity Sold]] * SalesData[[#This Row],[Unit Cost]]</f>
        <v>88.5</v>
      </c>
      <c r="P872" s="15">
        <f>SalesData[[#This Row],[Revenue]] - SalesData[[#This Row],[Cost]]</f>
        <v>311.5</v>
      </c>
      <c r="Q872" s="13">
        <f>IF(SalesData[[#This Row],[Revenue]]=0,0,SalesData[[#This Row],[Profit]]/SalesData[[#This Row],[Revenue]])</f>
        <v>0.77875000000000005</v>
      </c>
      <c r="R872" t="s">
        <v>1121</v>
      </c>
      <c r="S872" t="s">
        <v>1320</v>
      </c>
      <c r="T872" t="str">
        <f>PROPER(SalesData[[#This Row],[Customer Name]])</f>
        <v>Mason Williams</v>
      </c>
      <c r="U872" t="s">
        <v>1414</v>
      </c>
      <c r="V872" t="s">
        <v>1422</v>
      </c>
    </row>
    <row r="873" spans="1:22" x14ac:dyDescent="0.25">
      <c r="A873" t="s">
        <v>2299</v>
      </c>
      <c r="B873" s="5">
        <v>45607</v>
      </c>
      <c r="C873" s="2" t="str">
        <f>TEXT(SalesData[[#This Row],[Order Date]],"mmm")</f>
        <v>Nov</v>
      </c>
      <c r="D873" s="7">
        <f>MONTH(SalesData[[#This Row],[Order Date]])</f>
        <v>11</v>
      </c>
      <c r="E873" s="7">
        <f>YEAR(SalesData[[#This Row],[Order Date]])</f>
        <v>2024</v>
      </c>
      <c r="F873" t="s">
        <v>793</v>
      </c>
      <c r="G873" t="str">
        <f>PROPER(SalesData[[#This Row],[Product Name]])</f>
        <v>Compostable Plant Pots</v>
      </c>
      <c r="H873" t="s">
        <v>1011</v>
      </c>
      <c r="I873" t="str">
        <f>UPPER(SalesData[[#This Row],[Product Category]])</f>
        <v>GARDENING</v>
      </c>
      <c r="J873">
        <v>9</v>
      </c>
      <c r="K873">
        <v>12</v>
      </c>
      <c r="L873" s="15">
        <f>IF(SalesData[[#This Row],[Unit Price]]="",
    AVERAGEIFS(SalesData[Unit Price],
               SalesData[Product Name],SalesData[[#This Row],[Product Name]]),
    SalesData[[#This Row],[Unit Price]])</f>
        <v>12</v>
      </c>
      <c r="M873" s="15">
        <v>2.5499999999999998</v>
      </c>
      <c r="N873" s="15">
        <f>SalesData[[#This Row],[Quantity Sold]] * SalesData[[#This Row],[Cleaned Unit Price]]</f>
        <v>108</v>
      </c>
      <c r="O873" s="15">
        <f>SalesData[[#This Row],[Quantity Sold]] * SalesData[[#This Row],[Unit Cost]]</f>
        <v>22.95</v>
      </c>
      <c r="P873" s="15">
        <f>SalesData[[#This Row],[Revenue]] - SalesData[[#This Row],[Cost]]</f>
        <v>85.05</v>
      </c>
      <c r="Q873" s="13">
        <f>IF(SalesData[[#This Row],[Revenue]]=0,0,SalesData[[#This Row],[Profit]]/SalesData[[#This Row],[Revenue]])</f>
        <v>0.78749999999999998</v>
      </c>
      <c r="R873" t="s">
        <v>1033</v>
      </c>
      <c r="S873" t="s">
        <v>1232</v>
      </c>
      <c r="T873" t="str">
        <f>PROPER(SalesData[[#This Row],[Customer Name]])</f>
        <v>Harper Martinez</v>
      </c>
      <c r="U873" t="s">
        <v>1414</v>
      </c>
      <c r="V873" t="s">
        <v>1419</v>
      </c>
    </row>
    <row r="874" spans="1:22" x14ac:dyDescent="0.25">
      <c r="A874" t="s">
        <v>2300</v>
      </c>
      <c r="B874" s="5">
        <v>45607</v>
      </c>
      <c r="C874" s="2" t="str">
        <f>TEXT(SalesData[[#This Row],[Order Date]],"mmm")</f>
        <v>Nov</v>
      </c>
      <c r="D874" s="7">
        <f>MONTH(SalesData[[#This Row],[Order Date]])</f>
        <v>11</v>
      </c>
      <c r="E874" s="7">
        <f>YEAR(SalesData[[#This Row],[Order Date]])</f>
        <v>2024</v>
      </c>
      <c r="F874" t="s">
        <v>803</v>
      </c>
      <c r="G874" t="str">
        <f>PROPER(SalesData[[#This Row],[Product Name]])</f>
        <v>Reusable Bamboo Utensil Set</v>
      </c>
      <c r="H874" t="s">
        <v>1014</v>
      </c>
      <c r="I874" t="str">
        <f>UPPER(SalesData[[#This Row],[Product Category]])</f>
        <v>KITCHENWARE</v>
      </c>
      <c r="J874">
        <v>4</v>
      </c>
      <c r="K874">
        <v>15</v>
      </c>
      <c r="L874" s="15">
        <f>IF(SalesData[[#This Row],[Unit Price]]="",
    AVERAGEIFS(SalesData[Unit Price],
               SalesData[Product Name],SalesData[[#This Row],[Product Name]]),
    SalesData[[#This Row],[Unit Price]])</f>
        <v>15</v>
      </c>
      <c r="M874" s="15">
        <v>5.0199999999999996</v>
      </c>
      <c r="N874" s="15">
        <f>SalesData[[#This Row],[Quantity Sold]] * SalesData[[#This Row],[Cleaned Unit Price]]</f>
        <v>60</v>
      </c>
      <c r="O874" s="15">
        <f>SalesData[[#This Row],[Quantity Sold]] * SalesData[[#This Row],[Unit Cost]]</f>
        <v>20.079999999999998</v>
      </c>
      <c r="P874" s="15">
        <f>SalesData[[#This Row],[Revenue]] - SalesData[[#This Row],[Cost]]</f>
        <v>39.92</v>
      </c>
      <c r="Q874" s="13">
        <f>IF(SalesData[[#This Row],[Revenue]]=0,0,SalesData[[#This Row],[Profit]]/SalesData[[#This Row],[Revenue]])</f>
        <v>0.66533333333333333</v>
      </c>
      <c r="R874" t="s">
        <v>1085</v>
      </c>
      <c r="S874" t="s">
        <v>1284</v>
      </c>
      <c r="T874" t="str">
        <f>PROPER(SalesData[[#This Row],[Customer Name]])</f>
        <v>Harper Garcia</v>
      </c>
      <c r="U874" t="s">
        <v>1414</v>
      </c>
      <c r="V874" t="s">
        <v>1420</v>
      </c>
    </row>
    <row r="875" spans="1:22" x14ac:dyDescent="0.25">
      <c r="A875" t="s">
        <v>2301</v>
      </c>
      <c r="B875" s="5">
        <v>45607</v>
      </c>
      <c r="C875" s="2" t="str">
        <f>TEXT(SalesData[[#This Row],[Order Date]],"mmm")</f>
        <v>Nov</v>
      </c>
      <c r="D875" s="7">
        <f>MONTH(SalesData[[#This Row],[Order Date]])</f>
        <v>11</v>
      </c>
      <c r="E875" s="7">
        <f>YEAR(SalesData[[#This Row],[Order Date]])</f>
        <v>2024</v>
      </c>
      <c r="F875" t="s">
        <v>848</v>
      </c>
      <c r="G875" t="str">
        <f>PROPER(SalesData[[#This Row],[Product Name]])</f>
        <v>Reusable Bamboo Utensil Set</v>
      </c>
      <c r="H875" t="s">
        <v>1014</v>
      </c>
      <c r="I875" t="str">
        <f>UPPER(SalesData[[#This Row],[Product Category]])</f>
        <v>KITCHENWARE</v>
      </c>
      <c r="J875">
        <v>1</v>
      </c>
      <c r="K875">
        <v>15</v>
      </c>
      <c r="L875" s="15">
        <f>IF(SalesData[[#This Row],[Unit Price]]="",
    AVERAGEIFS(SalesData[Unit Price],
               SalesData[Product Name],SalesData[[#This Row],[Product Name]]),
    SalesData[[#This Row],[Unit Price]])</f>
        <v>15</v>
      </c>
      <c r="M875" s="15">
        <v>5.27</v>
      </c>
      <c r="N875" s="15">
        <f>SalesData[[#This Row],[Quantity Sold]] * SalesData[[#This Row],[Cleaned Unit Price]]</f>
        <v>15</v>
      </c>
      <c r="O875" s="15">
        <f>SalesData[[#This Row],[Quantity Sold]] * SalesData[[#This Row],[Unit Cost]]</f>
        <v>5.27</v>
      </c>
      <c r="P875" s="15">
        <f>SalesData[[#This Row],[Revenue]] - SalesData[[#This Row],[Cost]]</f>
        <v>9.73</v>
      </c>
      <c r="Q875" s="13">
        <f>IF(SalesData[[#This Row],[Revenue]]=0,0,SalesData[[#This Row],[Profit]]/SalesData[[#This Row],[Revenue]])</f>
        <v>0.64866666666666672</v>
      </c>
      <c r="R875" t="s">
        <v>1203</v>
      </c>
      <c r="S875" t="s">
        <v>1402</v>
      </c>
      <c r="T875" t="str">
        <f>PROPER(SalesData[[#This Row],[Customer Name]])</f>
        <v>Evelyn Martinez</v>
      </c>
      <c r="U875" t="s">
        <v>1414</v>
      </c>
      <c r="V875" t="s">
        <v>1420</v>
      </c>
    </row>
    <row r="876" spans="1:22" x14ac:dyDescent="0.25">
      <c r="A876" t="s">
        <v>2302</v>
      </c>
      <c r="B876" s="5">
        <v>45607</v>
      </c>
      <c r="C876" s="2" t="str">
        <f>TEXT(SalesData[[#This Row],[Order Date]],"mmm")</f>
        <v>Nov</v>
      </c>
      <c r="D876" s="7">
        <f>MONTH(SalesData[[#This Row],[Order Date]])</f>
        <v>11</v>
      </c>
      <c r="E876" s="7">
        <f>YEAR(SalesData[[#This Row],[Order Date]])</f>
        <v>2024</v>
      </c>
      <c r="F876" t="s">
        <v>978</v>
      </c>
      <c r="G876" t="str">
        <f>PROPER(SalesData[[#This Row],[Product Name]])</f>
        <v>Reusable Bamboo Utensil Set</v>
      </c>
      <c r="H876" t="s">
        <v>1014</v>
      </c>
      <c r="I876" t="str">
        <f>UPPER(SalesData[[#This Row],[Product Category]])</f>
        <v>KITCHENWARE</v>
      </c>
      <c r="J876">
        <v>8</v>
      </c>
      <c r="K876">
        <v>15</v>
      </c>
      <c r="L876" s="15">
        <f>IF(SalesData[[#This Row],[Unit Price]]="",
    AVERAGEIFS(SalesData[Unit Price],
               SalesData[Product Name],SalesData[[#This Row],[Product Name]]),
    SalesData[[#This Row],[Unit Price]])</f>
        <v>15</v>
      </c>
      <c r="M876" s="15">
        <v>3.79</v>
      </c>
      <c r="N876" s="15">
        <f>SalesData[[#This Row],[Quantity Sold]] * SalesData[[#This Row],[Cleaned Unit Price]]</f>
        <v>120</v>
      </c>
      <c r="O876" s="15">
        <f>SalesData[[#This Row],[Quantity Sold]] * SalesData[[#This Row],[Unit Cost]]</f>
        <v>30.32</v>
      </c>
      <c r="P876" s="15">
        <f>SalesData[[#This Row],[Revenue]] - SalesData[[#This Row],[Cost]]</f>
        <v>89.68</v>
      </c>
      <c r="Q876" s="13">
        <f>IF(SalesData[[#This Row],[Revenue]]=0,0,SalesData[[#This Row],[Profit]]/SalesData[[#This Row],[Revenue]])</f>
        <v>0.7473333333333334</v>
      </c>
      <c r="R876" t="s">
        <v>1061</v>
      </c>
      <c r="S876" t="s">
        <v>1260</v>
      </c>
      <c r="T876" t="str">
        <f>PROPER(SalesData[[#This Row],[Customer Name]])</f>
        <v>Lucas Williams</v>
      </c>
      <c r="U876" t="s">
        <v>1414</v>
      </c>
      <c r="V876" t="s">
        <v>1422</v>
      </c>
    </row>
    <row r="877" spans="1:22" x14ac:dyDescent="0.25">
      <c r="A877" t="s">
        <v>2303</v>
      </c>
      <c r="B877" s="5">
        <v>45608</v>
      </c>
      <c r="C877" s="2" t="str">
        <f>TEXT(SalesData[[#This Row],[Order Date]],"mmm")</f>
        <v>Nov</v>
      </c>
      <c r="D877" s="7">
        <f>MONTH(SalesData[[#This Row],[Order Date]])</f>
        <v>11</v>
      </c>
      <c r="E877" s="7">
        <f>YEAR(SalesData[[#This Row],[Order Date]])</f>
        <v>2024</v>
      </c>
      <c r="F877" t="s">
        <v>559</v>
      </c>
      <c r="G877" t="str">
        <f>PROPER(SalesData[[#This Row],[Product Name]])</f>
        <v>Biodegradable Cleaning Cloth</v>
      </c>
      <c r="H877" t="s">
        <v>1015</v>
      </c>
      <c r="I877" t="str">
        <f>UPPER(SalesData[[#This Row],[Product Category]])</f>
        <v>CLEANING</v>
      </c>
      <c r="J877">
        <v>8</v>
      </c>
      <c r="K877">
        <v>10</v>
      </c>
      <c r="L877" s="15">
        <f>IF(SalesData[[#This Row],[Unit Price]]="",
    AVERAGEIFS(SalesData[Unit Price],
               SalesData[Product Name],SalesData[[#This Row],[Product Name]]),
    SalesData[[#This Row],[Unit Price]])</f>
        <v>10</v>
      </c>
      <c r="M877" s="15">
        <v>2.94</v>
      </c>
      <c r="N877" s="15">
        <f>SalesData[[#This Row],[Quantity Sold]] * SalesData[[#This Row],[Cleaned Unit Price]]</f>
        <v>80</v>
      </c>
      <c r="O877" s="15">
        <f>SalesData[[#This Row],[Quantity Sold]] * SalesData[[#This Row],[Unit Cost]]</f>
        <v>23.52</v>
      </c>
      <c r="P877" s="15">
        <f>SalesData[[#This Row],[Revenue]] - SalesData[[#This Row],[Cost]]</f>
        <v>56.480000000000004</v>
      </c>
      <c r="Q877" s="13">
        <f>IF(SalesData[[#This Row],[Revenue]]=0,0,SalesData[[#This Row],[Profit]]/SalesData[[#This Row],[Revenue]])</f>
        <v>0.70600000000000007</v>
      </c>
      <c r="R877" t="s">
        <v>1100</v>
      </c>
      <c r="S877" t="s">
        <v>1299</v>
      </c>
      <c r="T877" t="str">
        <f>PROPER(SalesData[[#This Row],[Customer Name]])</f>
        <v>Mia Miller</v>
      </c>
      <c r="U877" t="s">
        <v>1414</v>
      </c>
      <c r="V877" t="s">
        <v>1419</v>
      </c>
    </row>
    <row r="878" spans="1:22" x14ac:dyDescent="0.25">
      <c r="A878" t="s">
        <v>2304</v>
      </c>
      <c r="B878" s="5">
        <v>45608</v>
      </c>
      <c r="C878" s="2" t="str">
        <f>TEXT(SalesData[[#This Row],[Order Date]],"mmm")</f>
        <v>Nov</v>
      </c>
      <c r="D878" s="7">
        <f>MONTH(SalesData[[#This Row],[Order Date]])</f>
        <v>11</v>
      </c>
      <c r="E878" s="7">
        <f>YEAR(SalesData[[#This Row],[Order Date]])</f>
        <v>2024</v>
      </c>
      <c r="F878" t="s">
        <v>961</v>
      </c>
      <c r="G878" t="str">
        <f>PROPER(SalesData[[#This Row],[Product Name]])</f>
        <v>Eco Canvas Tote Bag</v>
      </c>
      <c r="H878" t="s">
        <v>1013</v>
      </c>
      <c r="I878" t="str">
        <f>UPPER(SalesData[[#This Row],[Product Category]])</f>
        <v>BAGS</v>
      </c>
      <c r="J878">
        <v>10</v>
      </c>
      <c r="K878">
        <v>25</v>
      </c>
      <c r="L878" s="15">
        <f>IF(SalesData[[#This Row],[Unit Price]]="",
    AVERAGEIFS(SalesData[Unit Price],
               SalesData[Product Name],SalesData[[#This Row],[Product Name]]),
    SalesData[[#This Row],[Unit Price]])</f>
        <v>25</v>
      </c>
      <c r="M878" s="15">
        <v>6.9</v>
      </c>
      <c r="N878" s="15">
        <f>SalesData[[#This Row],[Quantity Sold]] * SalesData[[#This Row],[Cleaned Unit Price]]</f>
        <v>250</v>
      </c>
      <c r="O878" s="15">
        <f>SalesData[[#This Row],[Quantity Sold]] * SalesData[[#This Row],[Unit Cost]]</f>
        <v>69</v>
      </c>
      <c r="P878" s="15">
        <f>SalesData[[#This Row],[Revenue]] - SalesData[[#This Row],[Cost]]</f>
        <v>181</v>
      </c>
      <c r="Q878" s="13">
        <f>IF(SalesData[[#This Row],[Revenue]]=0,0,SalesData[[#This Row],[Profit]]/SalesData[[#This Row],[Revenue]])</f>
        <v>0.72399999999999998</v>
      </c>
      <c r="R878" t="s">
        <v>1150</v>
      </c>
      <c r="S878" t="s">
        <v>1349</v>
      </c>
      <c r="T878" t="str">
        <f>PROPER(SalesData[[#This Row],[Customer Name]])</f>
        <v>Mia Davis</v>
      </c>
      <c r="U878" t="s">
        <v>1416</v>
      </c>
      <c r="V878" t="s">
        <v>1426</v>
      </c>
    </row>
    <row r="879" spans="1:22" x14ac:dyDescent="0.25">
      <c r="A879" t="s">
        <v>2305</v>
      </c>
      <c r="B879" s="5">
        <v>45609</v>
      </c>
      <c r="C879" s="2" t="str">
        <f>TEXT(SalesData[[#This Row],[Order Date]],"mmm")</f>
        <v>Nov</v>
      </c>
      <c r="D879" s="7">
        <f>MONTH(SalesData[[#This Row],[Order Date]])</f>
        <v>11</v>
      </c>
      <c r="E879" s="7">
        <f>YEAR(SalesData[[#This Row],[Order Date]])</f>
        <v>2024</v>
      </c>
      <c r="F879" t="s">
        <v>449</v>
      </c>
      <c r="G879" t="str">
        <f>PROPER(SalesData[[#This Row],[Product Name]])</f>
        <v>Solar Led Lantern</v>
      </c>
      <c r="H879" t="s">
        <v>1012</v>
      </c>
      <c r="I879" t="str">
        <f>UPPER(SalesData[[#This Row],[Product Category]])</f>
        <v>LIGHTING</v>
      </c>
      <c r="J879">
        <v>9</v>
      </c>
      <c r="K879">
        <v>40</v>
      </c>
      <c r="L879" s="15">
        <f>IF(SalesData[[#This Row],[Unit Price]]="",
    AVERAGEIFS(SalesData[Unit Price],
               SalesData[Product Name],SalesData[[#This Row],[Product Name]]),
    SalesData[[#This Row],[Unit Price]])</f>
        <v>40</v>
      </c>
      <c r="M879" s="15">
        <v>14.51</v>
      </c>
      <c r="N879" s="15">
        <f>SalesData[[#This Row],[Quantity Sold]] * SalesData[[#This Row],[Cleaned Unit Price]]</f>
        <v>360</v>
      </c>
      <c r="O879" s="15">
        <f>SalesData[[#This Row],[Quantity Sold]] * SalesData[[#This Row],[Unit Cost]]</f>
        <v>130.59</v>
      </c>
      <c r="P879" s="15">
        <f>SalesData[[#This Row],[Revenue]] - SalesData[[#This Row],[Cost]]</f>
        <v>229.41</v>
      </c>
      <c r="Q879" s="13">
        <f>IF(SalesData[[#This Row],[Revenue]]=0,0,SalesData[[#This Row],[Profit]]/SalesData[[#This Row],[Revenue]])</f>
        <v>0.63724999999999998</v>
      </c>
      <c r="R879" t="s">
        <v>1093</v>
      </c>
      <c r="S879" t="s">
        <v>1292</v>
      </c>
      <c r="T879" t="str">
        <f>PROPER(SalesData[[#This Row],[Customer Name]])</f>
        <v>Ava Miller</v>
      </c>
      <c r="U879" t="s">
        <v>1414</v>
      </c>
      <c r="V879" t="s">
        <v>1423</v>
      </c>
    </row>
    <row r="880" spans="1:22" x14ac:dyDescent="0.25">
      <c r="A880" t="s">
        <v>2306</v>
      </c>
      <c r="B880" s="5">
        <v>45609</v>
      </c>
      <c r="C880" s="2" t="str">
        <f>TEXT(SalesData[[#This Row],[Order Date]],"mmm")</f>
        <v>Nov</v>
      </c>
      <c r="D880" s="7">
        <f>MONTH(SalesData[[#This Row],[Order Date]])</f>
        <v>11</v>
      </c>
      <c r="E880" s="7">
        <f>YEAR(SalesData[[#This Row],[Order Date]])</f>
        <v>2024</v>
      </c>
      <c r="F880" t="s">
        <v>597</v>
      </c>
      <c r="G880" t="str">
        <f>PROPER(SalesData[[#This Row],[Product Name]])</f>
        <v>Reusable Bamboo Utensil Set</v>
      </c>
      <c r="H880" t="s">
        <v>1014</v>
      </c>
      <c r="I880" t="str">
        <f>UPPER(SalesData[[#This Row],[Product Category]])</f>
        <v>KITCHENWARE</v>
      </c>
      <c r="J880">
        <v>9</v>
      </c>
      <c r="K880">
        <v>15</v>
      </c>
      <c r="L880" s="15">
        <f>IF(SalesData[[#This Row],[Unit Price]]="",
    AVERAGEIFS(SalesData[Unit Price],
               SalesData[Product Name],SalesData[[#This Row],[Product Name]]),
    SalesData[[#This Row],[Unit Price]])</f>
        <v>15</v>
      </c>
      <c r="M880" s="15">
        <v>4.51</v>
      </c>
      <c r="N880" s="15">
        <f>SalesData[[#This Row],[Quantity Sold]] * SalesData[[#This Row],[Cleaned Unit Price]]</f>
        <v>135</v>
      </c>
      <c r="O880" s="15">
        <f>SalesData[[#This Row],[Quantity Sold]] * SalesData[[#This Row],[Unit Cost]]</f>
        <v>40.589999999999996</v>
      </c>
      <c r="P880" s="15">
        <f>SalesData[[#This Row],[Revenue]] - SalesData[[#This Row],[Cost]]</f>
        <v>94.41</v>
      </c>
      <c r="Q880" s="13">
        <f>IF(SalesData[[#This Row],[Revenue]]=0,0,SalesData[[#This Row],[Profit]]/SalesData[[#This Row],[Revenue]])</f>
        <v>0.69933333333333336</v>
      </c>
      <c r="R880" t="s">
        <v>1095</v>
      </c>
      <c r="S880" t="s">
        <v>1294</v>
      </c>
      <c r="T880" t="str">
        <f>PROPER(SalesData[[#This Row],[Customer Name]])</f>
        <v>Evelyn Miller</v>
      </c>
      <c r="U880" t="s">
        <v>1415</v>
      </c>
      <c r="V880" t="s">
        <v>1425</v>
      </c>
    </row>
    <row r="881" spans="1:22" x14ac:dyDescent="0.25">
      <c r="A881" t="s">
        <v>2307</v>
      </c>
      <c r="B881" s="5">
        <v>45609</v>
      </c>
      <c r="C881" s="2" t="str">
        <f>TEXT(SalesData[[#This Row],[Order Date]],"mmm")</f>
        <v>Nov</v>
      </c>
      <c r="D881" s="7">
        <f>MONTH(SalesData[[#This Row],[Order Date]])</f>
        <v>11</v>
      </c>
      <c r="E881" s="7">
        <f>YEAR(SalesData[[#This Row],[Order Date]])</f>
        <v>2024</v>
      </c>
      <c r="F881" t="s">
        <v>638</v>
      </c>
      <c r="G881" t="str">
        <f>PROPER(SalesData[[#This Row],[Product Name]])</f>
        <v>Solar Led Lantern</v>
      </c>
      <c r="H881" t="s">
        <v>1012</v>
      </c>
      <c r="I881" t="str">
        <f>UPPER(SalesData[[#This Row],[Product Category]])</f>
        <v>LIGHTING</v>
      </c>
      <c r="J881">
        <v>8</v>
      </c>
      <c r="K881">
        <v>40</v>
      </c>
      <c r="L881" s="15">
        <f>IF(SalesData[[#This Row],[Unit Price]]="",
    AVERAGEIFS(SalesData[Unit Price],
               SalesData[Product Name],SalesData[[#This Row],[Product Name]]),
    SalesData[[#This Row],[Unit Price]])</f>
        <v>40</v>
      </c>
      <c r="M881" s="15">
        <v>14.12</v>
      </c>
      <c r="N881" s="15">
        <f>SalesData[[#This Row],[Quantity Sold]] * SalesData[[#This Row],[Cleaned Unit Price]]</f>
        <v>320</v>
      </c>
      <c r="O881" s="15">
        <f>SalesData[[#This Row],[Quantity Sold]] * SalesData[[#This Row],[Unit Cost]]</f>
        <v>112.96</v>
      </c>
      <c r="P881" s="15">
        <f>SalesData[[#This Row],[Revenue]] - SalesData[[#This Row],[Cost]]</f>
        <v>207.04000000000002</v>
      </c>
      <c r="Q881" s="13">
        <f>IF(SalesData[[#This Row],[Revenue]]=0,0,SalesData[[#This Row],[Profit]]/SalesData[[#This Row],[Revenue]])</f>
        <v>0.64700000000000002</v>
      </c>
      <c r="R881" t="s">
        <v>1061</v>
      </c>
      <c r="S881" t="s">
        <v>1260</v>
      </c>
      <c r="T881" t="str">
        <f>PROPER(SalesData[[#This Row],[Customer Name]])</f>
        <v>Lucas Williams</v>
      </c>
      <c r="U881" t="s">
        <v>1414</v>
      </c>
      <c r="V881" t="s">
        <v>1425</v>
      </c>
    </row>
    <row r="882" spans="1:22" x14ac:dyDescent="0.25">
      <c r="A882" t="s">
        <v>2308</v>
      </c>
      <c r="B882" s="5">
        <v>45609</v>
      </c>
      <c r="C882" s="2" t="str">
        <f>TEXT(SalesData[[#This Row],[Order Date]],"mmm")</f>
        <v>Nov</v>
      </c>
      <c r="D882" s="7">
        <f>MONTH(SalesData[[#This Row],[Order Date]])</f>
        <v>11</v>
      </c>
      <c r="E882" s="7">
        <f>YEAR(SalesData[[#This Row],[Order Date]])</f>
        <v>2024</v>
      </c>
      <c r="F882" t="s">
        <v>990</v>
      </c>
      <c r="G882" t="str">
        <f>PROPER(SalesData[[#This Row],[Product Name]])</f>
        <v>Solar Led Lantern</v>
      </c>
      <c r="H882" t="s">
        <v>1012</v>
      </c>
      <c r="I882" t="str">
        <f>UPPER(SalesData[[#This Row],[Product Category]])</f>
        <v>LIGHTING</v>
      </c>
      <c r="J882">
        <v>1</v>
      </c>
      <c r="K882">
        <v>40</v>
      </c>
      <c r="L882" s="15">
        <f>IF(SalesData[[#This Row],[Unit Price]]="",
    AVERAGEIFS(SalesData[Unit Price],
               SalesData[Product Name],SalesData[[#This Row],[Product Name]]),
    SalesData[[#This Row],[Unit Price]])</f>
        <v>40</v>
      </c>
      <c r="M882" s="15">
        <v>9.23</v>
      </c>
      <c r="N882" s="15">
        <f>SalesData[[#This Row],[Quantity Sold]] * SalesData[[#This Row],[Cleaned Unit Price]]</f>
        <v>40</v>
      </c>
      <c r="O882" s="15">
        <f>SalesData[[#This Row],[Quantity Sold]] * SalesData[[#This Row],[Unit Cost]]</f>
        <v>9.23</v>
      </c>
      <c r="P882" s="15">
        <f>SalesData[[#This Row],[Revenue]] - SalesData[[#This Row],[Cost]]</f>
        <v>30.77</v>
      </c>
      <c r="Q882" s="13">
        <f>IF(SalesData[[#This Row],[Revenue]]=0,0,SalesData[[#This Row],[Profit]]/SalesData[[#This Row],[Revenue]])</f>
        <v>0.76924999999999999</v>
      </c>
      <c r="R882" t="s">
        <v>1064</v>
      </c>
      <c r="S882" t="s">
        <v>1263</v>
      </c>
      <c r="T882" t="str">
        <f>PROPER(SalesData[[#This Row],[Customer Name]])</f>
        <v>Isabella Miller</v>
      </c>
      <c r="U882" t="s">
        <v>1416</v>
      </c>
      <c r="V882" t="s">
        <v>1418</v>
      </c>
    </row>
    <row r="883" spans="1:22" x14ac:dyDescent="0.25">
      <c r="A883" t="s">
        <v>2309</v>
      </c>
      <c r="B883" s="5">
        <v>45610</v>
      </c>
      <c r="C883" s="2" t="str">
        <f>TEXT(SalesData[[#This Row],[Order Date]],"mmm")</f>
        <v>Nov</v>
      </c>
      <c r="D883" s="7">
        <f>MONTH(SalesData[[#This Row],[Order Date]])</f>
        <v>11</v>
      </c>
      <c r="E883" s="7">
        <f>YEAR(SalesData[[#This Row],[Order Date]])</f>
        <v>2024</v>
      </c>
      <c r="F883" t="s">
        <v>640</v>
      </c>
      <c r="G883" t="str">
        <f>PROPER(SalesData[[#This Row],[Product Name]])</f>
        <v>Compostable Plant Pots</v>
      </c>
      <c r="H883" t="s">
        <v>1011</v>
      </c>
      <c r="I883" t="str">
        <f>UPPER(SalesData[[#This Row],[Product Category]])</f>
        <v>GARDENING</v>
      </c>
      <c r="J883">
        <v>3</v>
      </c>
      <c r="K883">
        <v>12</v>
      </c>
      <c r="L883" s="15">
        <f>IF(SalesData[[#This Row],[Unit Price]]="",
    AVERAGEIFS(SalesData[Unit Price],
               SalesData[Product Name],SalesData[[#This Row],[Product Name]]),
    SalesData[[#This Row],[Unit Price]])</f>
        <v>12</v>
      </c>
      <c r="M883" s="15">
        <v>3.16</v>
      </c>
      <c r="N883" s="15">
        <f>SalesData[[#This Row],[Quantity Sold]] * SalesData[[#This Row],[Cleaned Unit Price]]</f>
        <v>36</v>
      </c>
      <c r="O883" s="15">
        <f>SalesData[[#This Row],[Quantity Sold]] * SalesData[[#This Row],[Unit Cost]]</f>
        <v>9.48</v>
      </c>
      <c r="P883" s="15">
        <f>SalesData[[#This Row],[Revenue]] - SalesData[[#This Row],[Cost]]</f>
        <v>26.52</v>
      </c>
      <c r="Q883" s="13">
        <f>IF(SalesData[[#This Row],[Revenue]]=0,0,SalesData[[#This Row],[Profit]]/SalesData[[#This Row],[Revenue]])</f>
        <v>0.73666666666666669</v>
      </c>
      <c r="R883" t="s">
        <v>1107</v>
      </c>
      <c r="S883" t="s">
        <v>1306</v>
      </c>
      <c r="T883" t="str">
        <f>PROPER(SalesData[[#This Row],[Customer Name]])</f>
        <v>Liam Rodriguez</v>
      </c>
      <c r="U883" t="s">
        <v>1414</v>
      </c>
      <c r="V883" t="s">
        <v>1427</v>
      </c>
    </row>
    <row r="884" spans="1:22" x14ac:dyDescent="0.25">
      <c r="A884" t="s">
        <v>2310</v>
      </c>
      <c r="B884" s="5">
        <v>45610</v>
      </c>
      <c r="C884" s="2" t="str">
        <f>TEXT(SalesData[[#This Row],[Order Date]],"mmm")</f>
        <v>Nov</v>
      </c>
      <c r="D884" s="7">
        <f>MONTH(SalesData[[#This Row],[Order Date]])</f>
        <v>11</v>
      </c>
      <c r="E884" s="7">
        <f>YEAR(SalesData[[#This Row],[Order Date]])</f>
        <v>2024</v>
      </c>
      <c r="F884" t="s">
        <v>850</v>
      </c>
      <c r="G884" t="str">
        <f>PROPER(SalesData[[#This Row],[Product Name]])</f>
        <v>Eco Canvas Tote Bag</v>
      </c>
      <c r="H884" t="s">
        <v>1013</v>
      </c>
      <c r="I884" t="str">
        <f>UPPER(SalesData[[#This Row],[Product Category]])</f>
        <v>BAGS</v>
      </c>
      <c r="J884">
        <v>8</v>
      </c>
      <c r="K884">
        <v>25</v>
      </c>
      <c r="L884" s="15">
        <f>IF(SalesData[[#This Row],[Unit Price]]="",
    AVERAGEIFS(SalesData[Unit Price],
               SalesData[Product Name],SalesData[[#This Row],[Product Name]]),
    SalesData[[#This Row],[Unit Price]])</f>
        <v>25</v>
      </c>
      <c r="M884" s="15">
        <v>9.1199999999999992</v>
      </c>
      <c r="N884" s="15">
        <f>SalesData[[#This Row],[Quantity Sold]] * SalesData[[#This Row],[Cleaned Unit Price]]</f>
        <v>200</v>
      </c>
      <c r="O884" s="15">
        <f>SalesData[[#This Row],[Quantity Sold]] * SalesData[[#This Row],[Unit Cost]]</f>
        <v>72.959999999999994</v>
      </c>
      <c r="P884" s="15">
        <f>SalesData[[#This Row],[Revenue]] - SalesData[[#This Row],[Cost]]</f>
        <v>127.04</v>
      </c>
      <c r="Q884" s="13">
        <f>IF(SalesData[[#This Row],[Revenue]]=0,0,SalesData[[#This Row],[Profit]]/SalesData[[#This Row],[Revenue]])</f>
        <v>0.63519999999999999</v>
      </c>
      <c r="R884" t="s">
        <v>1157</v>
      </c>
      <c r="S884" t="s">
        <v>1356</v>
      </c>
      <c r="T884" t="str">
        <f>PROPER(SalesData[[#This Row],[Customer Name]])</f>
        <v>Mason Rodriguez</v>
      </c>
      <c r="U884" t="s">
        <v>1414</v>
      </c>
      <c r="V884" t="s">
        <v>1423</v>
      </c>
    </row>
    <row r="885" spans="1:22" x14ac:dyDescent="0.25">
      <c r="A885" t="s">
        <v>2311</v>
      </c>
      <c r="B885" s="5">
        <v>45611</v>
      </c>
      <c r="C885" s="2" t="str">
        <f>TEXT(SalesData[[#This Row],[Order Date]],"mmm")</f>
        <v>Nov</v>
      </c>
      <c r="D885" s="7">
        <f>MONTH(SalesData[[#This Row],[Order Date]])</f>
        <v>11</v>
      </c>
      <c r="E885" s="7">
        <f>YEAR(SalesData[[#This Row],[Order Date]])</f>
        <v>2024</v>
      </c>
      <c r="F885" t="s">
        <v>872</v>
      </c>
      <c r="G885" t="str">
        <f>PROPER(SalesData[[#This Row],[Product Name]])</f>
        <v>Solar Led Lantern</v>
      </c>
      <c r="H885" t="s">
        <v>1012</v>
      </c>
      <c r="I885" t="str">
        <f>UPPER(SalesData[[#This Row],[Product Category]])</f>
        <v>LIGHTING</v>
      </c>
      <c r="J885">
        <v>6</v>
      </c>
      <c r="K885">
        <v>40</v>
      </c>
      <c r="L885" s="15">
        <f>IF(SalesData[[#This Row],[Unit Price]]="",
    AVERAGEIFS(SalesData[Unit Price],
               SalesData[Product Name],SalesData[[#This Row],[Product Name]]),
    SalesData[[#This Row],[Unit Price]])</f>
        <v>40</v>
      </c>
      <c r="M885" s="15">
        <v>13.56</v>
      </c>
      <c r="N885" s="15">
        <f>SalesData[[#This Row],[Quantity Sold]] * SalesData[[#This Row],[Cleaned Unit Price]]</f>
        <v>240</v>
      </c>
      <c r="O885" s="15">
        <f>SalesData[[#This Row],[Quantity Sold]] * SalesData[[#This Row],[Unit Cost]]</f>
        <v>81.36</v>
      </c>
      <c r="P885" s="15">
        <f>SalesData[[#This Row],[Revenue]] - SalesData[[#This Row],[Cost]]</f>
        <v>158.63999999999999</v>
      </c>
      <c r="Q885" s="13">
        <f>IF(SalesData[[#This Row],[Revenue]]=0,0,SalesData[[#This Row],[Profit]]/SalesData[[#This Row],[Revenue]])</f>
        <v>0.66099999999999992</v>
      </c>
      <c r="R885" t="s">
        <v>1194</v>
      </c>
      <c r="S885" t="s">
        <v>1393</v>
      </c>
      <c r="T885" t="str">
        <f>PROPER(SalesData[[#This Row],[Customer Name]])</f>
        <v>James Williams</v>
      </c>
      <c r="U885" t="s">
        <v>1414</v>
      </c>
      <c r="V885" t="s">
        <v>1424</v>
      </c>
    </row>
    <row r="886" spans="1:22" x14ac:dyDescent="0.25">
      <c r="A886" t="s">
        <v>2312</v>
      </c>
      <c r="B886" s="5">
        <v>45612</v>
      </c>
      <c r="C886" s="2" t="str">
        <f>TEXT(SalesData[[#This Row],[Order Date]],"mmm")</f>
        <v>Nov</v>
      </c>
      <c r="D886" s="7">
        <f>MONTH(SalesData[[#This Row],[Order Date]])</f>
        <v>11</v>
      </c>
      <c r="E886" s="7">
        <f>YEAR(SalesData[[#This Row],[Order Date]])</f>
        <v>2024</v>
      </c>
      <c r="F886" t="s">
        <v>435</v>
      </c>
      <c r="G886" t="str">
        <f>PROPER(SalesData[[#This Row],[Product Name]])</f>
        <v>Solar Led Lantern</v>
      </c>
      <c r="H886" t="s">
        <v>1012</v>
      </c>
      <c r="I886" t="str">
        <f>UPPER(SalesData[[#This Row],[Product Category]])</f>
        <v>LIGHTING</v>
      </c>
      <c r="J886">
        <v>6</v>
      </c>
      <c r="K886">
        <v>40</v>
      </c>
      <c r="L886" s="15">
        <f>IF(SalesData[[#This Row],[Unit Price]]="",
    AVERAGEIFS(SalesData[Unit Price],
               SalesData[Product Name],SalesData[[#This Row],[Product Name]]),
    SalesData[[#This Row],[Unit Price]])</f>
        <v>40</v>
      </c>
      <c r="M886" s="15">
        <v>9.3699999999999992</v>
      </c>
      <c r="N886" s="15">
        <f>SalesData[[#This Row],[Quantity Sold]] * SalesData[[#This Row],[Cleaned Unit Price]]</f>
        <v>240</v>
      </c>
      <c r="O886" s="15">
        <f>SalesData[[#This Row],[Quantity Sold]] * SalesData[[#This Row],[Unit Cost]]</f>
        <v>56.22</v>
      </c>
      <c r="P886" s="15">
        <f>SalesData[[#This Row],[Revenue]] - SalesData[[#This Row],[Cost]]</f>
        <v>183.78</v>
      </c>
      <c r="Q886" s="13">
        <f>IF(SalesData[[#This Row],[Revenue]]=0,0,SalesData[[#This Row],[Profit]]/SalesData[[#This Row],[Revenue]])</f>
        <v>0.76575000000000004</v>
      </c>
      <c r="R886" t="s">
        <v>1045</v>
      </c>
      <c r="S886" t="s">
        <v>1244</v>
      </c>
      <c r="T886" t="str">
        <f>PROPER(SalesData[[#This Row],[Customer Name]])</f>
        <v>Liam Davis</v>
      </c>
      <c r="U886" t="s">
        <v>1414</v>
      </c>
      <c r="V886" t="s">
        <v>1422</v>
      </c>
    </row>
    <row r="887" spans="1:22" x14ac:dyDescent="0.25">
      <c r="A887" t="s">
        <v>2313</v>
      </c>
      <c r="B887" s="5">
        <v>45612</v>
      </c>
      <c r="C887" s="2" t="str">
        <f>TEXT(SalesData[[#This Row],[Order Date]],"mmm")</f>
        <v>Nov</v>
      </c>
      <c r="D887" s="7">
        <f>MONTH(SalesData[[#This Row],[Order Date]])</f>
        <v>11</v>
      </c>
      <c r="E887" s="7">
        <f>YEAR(SalesData[[#This Row],[Order Date]])</f>
        <v>2024</v>
      </c>
      <c r="F887" t="s">
        <v>951</v>
      </c>
      <c r="G887" t="str">
        <f>PROPER(SalesData[[#This Row],[Product Name]])</f>
        <v>Eco Canvas Tote Bag</v>
      </c>
      <c r="H887" t="s">
        <v>1013</v>
      </c>
      <c r="I887" t="str">
        <f>UPPER(SalesData[[#This Row],[Product Category]])</f>
        <v>BAGS</v>
      </c>
      <c r="J887">
        <v>4</v>
      </c>
      <c r="K887">
        <v>25</v>
      </c>
      <c r="L887" s="15">
        <f>IF(SalesData[[#This Row],[Unit Price]]="",
    AVERAGEIFS(SalesData[Unit Price],
               SalesData[Product Name],SalesData[[#This Row],[Product Name]]),
    SalesData[[#This Row],[Unit Price]])</f>
        <v>25</v>
      </c>
      <c r="M887" s="15">
        <v>7.64</v>
      </c>
      <c r="N887" s="15">
        <f>SalesData[[#This Row],[Quantity Sold]] * SalesData[[#This Row],[Cleaned Unit Price]]</f>
        <v>100</v>
      </c>
      <c r="O887" s="15">
        <f>SalesData[[#This Row],[Quantity Sold]] * SalesData[[#This Row],[Unit Cost]]</f>
        <v>30.56</v>
      </c>
      <c r="P887" s="15">
        <f>SalesData[[#This Row],[Revenue]] - SalesData[[#This Row],[Cost]]</f>
        <v>69.44</v>
      </c>
      <c r="Q887" s="13">
        <f>IF(SalesData[[#This Row],[Revenue]]=0,0,SalesData[[#This Row],[Profit]]/SalesData[[#This Row],[Revenue]])</f>
        <v>0.69440000000000002</v>
      </c>
      <c r="R887" t="s">
        <v>1078</v>
      </c>
      <c r="S887" t="s">
        <v>1277</v>
      </c>
      <c r="T887" t="str">
        <f>PROPER(SalesData[[#This Row],[Customer Name]])</f>
        <v>Elijah Martinez</v>
      </c>
      <c r="U887" t="s">
        <v>1417</v>
      </c>
      <c r="V887" t="s">
        <v>1424</v>
      </c>
    </row>
    <row r="888" spans="1:22" x14ac:dyDescent="0.25">
      <c r="A888" t="s">
        <v>2314</v>
      </c>
      <c r="B888" s="5">
        <v>45613</v>
      </c>
      <c r="C888" s="2" t="str">
        <f>TEXT(SalesData[[#This Row],[Order Date]],"mmm")</f>
        <v>Nov</v>
      </c>
      <c r="D888" s="7">
        <f>MONTH(SalesData[[#This Row],[Order Date]])</f>
        <v>11</v>
      </c>
      <c r="E888" s="7">
        <f>YEAR(SalesData[[#This Row],[Order Date]])</f>
        <v>2024</v>
      </c>
      <c r="F888" t="s">
        <v>125</v>
      </c>
      <c r="G888" t="str">
        <f>PROPER(SalesData[[#This Row],[Product Name]])</f>
        <v>Eco Canvas Tote Bag</v>
      </c>
      <c r="H888" t="s">
        <v>1013</v>
      </c>
      <c r="I888" t="str">
        <f>UPPER(SalesData[[#This Row],[Product Category]])</f>
        <v>BAGS</v>
      </c>
      <c r="J888">
        <v>9</v>
      </c>
      <c r="K888">
        <v>25</v>
      </c>
      <c r="L888" s="15">
        <f>IF(SalesData[[#This Row],[Unit Price]]="",
    AVERAGEIFS(SalesData[Unit Price],
               SalesData[Product Name],SalesData[[#This Row],[Product Name]]),
    SalesData[[#This Row],[Unit Price]])</f>
        <v>25</v>
      </c>
      <c r="M888" s="15">
        <v>6.72</v>
      </c>
      <c r="N888" s="15">
        <f>SalesData[[#This Row],[Quantity Sold]] * SalesData[[#This Row],[Cleaned Unit Price]]</f>
        <v>225</v>
      </c>
      <c r="O888" s="15">
        <f>SalesData[[#This Row],[Quantity Sold]] * SalesData[[#This Row],[Unit Cost]]</f>
        <v>60.48</v>
      </c>
      <c r="P888" s="15">
        <f>SalesData[[#This Row],[Revenue]] - SalesData[[#This Row],[Cost]]</f>
        <v>164.52</v>
      </c>
      <c r="Q888" s="13">
        <f>IF(SalesData[[#This Row],[Revenue]]=0,0,SalesData[[#This Row],[Profit]]/SalesData[[#This Row],[Revenue]])</f>
        <v>0.73120000000000007</v>
      </c>
      <c r="R888" t="s">
        <v>1070</v>
      </c>
      <c r="S888" t="s">
        <v>1269</v>
      </c>
      <c r="T888" t="str">
        <f>PROPER(SalesData[[#This Row],[Customer Name]])</f>
        <v>Amelia Garcia</v>
      </c>
      <c r="U888" t="s">
        <v>1414</v>
      </c>
      <c r="V888" t="s">
        <v>1427</v>
      </c>
    </row>
    <row r="889" spans="1:22" x14ac:dyDescent="0.25">
      <c r="A889" t="s">
        <v>2315</v>
      </c>
      <c r="B889" s="5">
        <v>45613</v>
      </c>
      <c r="C889" s="2" t="str">
        <f>TEXT(SalesData[[#This Row],[Order Date]],"mmm")</f>
        <v>Nov</v>
      </c>
      <c r="D889" s="7">
        <f>MONTH(SalesData[[#This Row],[Order Date]])</f>
        <v>11</v>
      </c>
      <c r="E889" s="7">
        <f>YEAR(SalesData[[#This Row],[Order Date]])</f>
        <v>2024</v>
      </c>
      <c r="F889" t="s">
        <v>774</v>
      </c>
      <c r="G889" t="str">
        <f>PROPER(SalesData[[#This Row],[Product Name]])</f>
        <v>Compostable Plant Pots</v>
      </c>
      <c r="H889" t="s">
        <v>1011</v>
      </c>
      <c r="I889" t="str">
        <f>UPPER(SalesData[[#This Row],[Product Category]])</f>
        <v>GARDENING</v>
      </c>
      <c r="J889">
        <v>6</v>
      </c>
      <c r="K889">
        <v>12</v>
      </c>
      <c r="L889" s="15">
        <f>IF(SalesData[[#This Row],[Unit Price]]="",
    AVERAGEIFS(SalesData[Unit Price],
               SalesData[Product Name],SalesData[[#This Row],[Product Name]]),
    SalesData[[#This Row],[Unit Price]])</f>
        <v>12</v>
      </c>
      <c r="M889" s="15">
        <v>4.53</v>
      </c>
      <c r="N889" s="15">
        <f>SalesData[[#This Row],[Quantity Sold]] * SalesData[[#This Row],[Cleaned Unit Price]]</f>
        <v>72</v>
      </c>
      <c r="O889" s="15">
        <f>SalesData[[#This Row],[Quantity Sold]] * SalesData[[#This Row],[Unit Cost]]</f>
        <v>27.18</v>
      </c>
      <c r="P889" s="15">
        <f>SalesData[[#This Row],[Revenue]] - SalesData[[#This Row],[Cost]]</f>
        <v>44.82</v>
      </c>
      <c r="Q889" s="13">
        <f>IF(SalesData[[#This Row],[Revenue]]=0,0,SalesData[[#This Row],[Profit]]/SalesData[[#This Row],[Revenue]])</f>
        <v>0.62250000000000005</v>
      </c>
      <c r="R889" t="s">
        <v>1087</v>
      </c>
      <c r="S889" t="s">
        <v>1286</v>
      </c>
      <c r="T889" t="str">
        <f>PROPER(SalesData[[#This Row],[Customer Name]])</f>
        <v>Liam Smith</v>
      </c>
      <c r="U889" t="s">
        <v>1414</v>
      </c>
      <c r="V889" t="s">
        <v>1424</v>
      </c>
    </row>
    <row r="890" spans="1:22" x14ac:dyDescent="0.25">
      <c r="A890" t="s">
        <v>2316</v>
      </c>
      <c r="B890" s="5">
        <v>45613</v>
      </c>
      <c r="C890" s="2" t="str">
        <f>TEXT(SalesData[[#This Row],[Order Date]],"mmm")</f>
        <v>Nov</v>
      </c>
      <c r="D890" s="7">
        <f>MONTH(SalesData[[#This Row],[Order Date]])</f>
        <v>11</v>
      </c>
      <c r="E890" s="7">
        <f>YEAR(SalesData[[#This Row],[Order Date]])</f>
        <v>2024</v>
      </c>
      <c r="F890" t="s">
        <v>854</v>
      </c>
      <c r="G890" t="str">
        <f>PROPER(SalesData[[#This Row],[Product Name]])</f>
        <v>Eco Canvas Tote Bag</v>
      </c>
      <c r="H890" t="s">
        <v>1013</v>
      </c>
      <c r="I890" t="str">
        <f>UPPER(SalesData[[#This Row],[Product Category]])</f>
        <v>BAGS</v>
      </c>
      <c r="J890">
        <v>2</v>
      </c>
      <c r="K890">
        <v>25</v>
      </c>
      <c r="L890" s="15">
        <f>IF(SalesData[[#This Row],[Unit Price]]="",
    AVERAGEIFS(SalesData[Unit Price],
               SalesData[Product Name],SalesData[[#This Row],[Product Name]]),
    SalesData[[#This Row],[Unit Price]])</f>
        <v>25</v>
      </c>
      <c r="M890" s="15">
        <v>8.14</v>
      </c>
      <c r="N890" s="15">
        <f>SalesData[[#This Row],[Quantity Sold]] * SalesData[[#This Row],[Cleaned Unit Price]]</f>
        <v>50</v>
      </c>
      <c r="O890" s="15">
        <f>SalesData[[#This Row],[Quantity Sold]] * SalesData[[#This Row],[Unit Cost]]</f>
        <v>16.28</v>
      </c>
      <c r="P890" s="15">
        <f>SalesData[[#This Row],[Revenue]] - SalesData[[#This Row],[Cost]]</f>
        <v>33.72</v>
      </c>
      <c r="Q890" s="13">
        <f>IF(SalesData[[#This Row],[Revenue]]=0,0,SalesData[[#This Row],[Profit]]/SalesData[[#This Row],[Revenue]])</f>
        <v>0.6744</v>
      </c>
      <c r="R890" t="s">
        <v>1120</v>
      </c>
      <c r="S890" t="s">
        <v>1319</v>
      </c>
      <c r="T890" t="str">
        <f>PROPER(SalesData[[#This Row],[Customer Name]])</f>
        <v>Isabella Johnson</v>
      </c>
      <c r="U890" t="s">
        <v>1416</v>
      </c>
      <c r="V890" t="s">
        <v>1427</v>
      </c>
    </row>
    <row r="891" spans="1:22" x14ac:dyDescent="0.25">
      <c r="A891" t="s">
        <v>2317</v>
      </c>
      <c r="B891" s="5">
        <v>45614</v>
      </c>
      <c r="C891" s="2" t="str">
        <f>TEXT(SalesData[[#This Row],[Order Date]],"mmm")</f>
        <v>Nov</v>
      </c>
      <c r="D891" s="7">
        <f>MONTH(SalesData[[#This Row],[Order Date]])</f>
        <v>11</v>
      </c>
      <c r="E891" s="7">
        <f>YEAR(SalesData[[#This Row],[Order Date]])</f>
        <v>2024</v>
      </c>
      <c r="F891" t="s">
        <v>427</v>
      </c>
      <c r="G891" t="str">
        <f>PROPER(SalesData[[#This Row],[Product Name]])</f>
        <v>Reusable Bamboo Utensil Set</v>
      </c>
      <c r="H891" t="s">
        <v>1014</v>
      </c>
      <c r="I891" t="str">
        <f>UPPER(SalesData[[#This Row],[Product Category]])</f>
        <v>KITCHENWARE</v>
      </c>
      <c r="J891">
        <v>2</v>
      </c>
      <c r="K891">
        <v>15</v>
      </c>
      <c r="L891" s="15">
        <f>IF(SalesData[[#This Row],[Unit Price]]="",
    AVERAGEIFS(SalesData[Unit Price],
               SalesData[Product Name],SalesData[[#This Row],[Product Name]]),
    SalesData[[#This Row],[Unit Price]])</f>
        <v>15</v>
      </c>
      <c r="M891" s="15">
        <v>5.3</v>
      </c>
      <c r="N891" s="15">
        <f>SalesData[[#This Row],[Quantity Sold]] * SalesData[[#This Row],[Cleaned Unit Price]]</f>
        <v>30</v>
      </c>
      <c r="O891" s="15">
        <f>SalesData[[#This Row],[Quantity Sold]] * SalesData[[#This Row],[Unit Cost]]</f>
        <v>10.6</v>
      </c>
      <c r="P891" s="15">
        <f>SalesData[[#This Row],[Revenue]] - SalesData[[#This Row],[Cost]]</f>
        <v>19.399999999999999</v>
      </c>
      <c r="Q891" s="13">
        <f>IF(SalesData[[#This Row],[Revenue]]=0,0,SalesData[[#This Row],[Profit]]/SalesData[[#This Row],[Revenue]])</f>
        <v>0.64666666666666661</v>
      </c>
      <c r="R891" t="s">
        <v>1190</v>
      </c>
      <c r="S891" t="s">
        <v>1389</v>
      </c>
      <c r="T891" t="str">
        <f>PROPER(SalesData[[#This Row],[Customer Name]])</f>
        <v>James Garcia</v>
      </c>
      <c r="U891" t="s">
        <v>1414</v>
      </c>
      <c r="V891" t="s">
        <v>1421</v>
      </c>
    </row>
    <row r="892" spans="1:22" x14ac:dyDescent="0.25">
      <c r="A892" t="s">
        <v>2318</v>
      </c>
      <c r="B892" s="5">
        <v>45614</v>
      </c>
      <c r="C892" s="2" t="str">
        <f>TEXT(SalesData[[#This Row],[Order Date]],"mmm")</f>
        <v>Nov</v>
      </c>
      <c r="D892" s="7">
        <f>MONTH(SalesData[[#This Row],[Order Date]])</f>
        <v>11</v>
      </c>
      <c r="E892" s="7">
        <f>YEAR(SalesData[[#This Row],[Order Date]])</f>
        <v>2024</v>
      </c>
      <c r="F892" t="s">
        <v>434</v>
      </c>
      <c r="G892" t="str">
        <f>PROPER(SalesData[[#This Row],[Product Name]])</f>
        <v>Compostable Plant Pots</v>
      </c>
      <c r="H892" t="s">
        <v>1011</v>
      </c>
      <c r="I892" t="str">
        <f>UPPER(SalesData[[#This Row],[Product Category]])</f>
        <v>GARDENING</v>
      </c>
      <c r="J892">
        <v>10</v>
      </c>
      <c r="K892">
        <v>12</v>
      </c>
      <c r="L892" s="15">
        <f>IF(SalesData[[#This Row],[Unit Price]]="",
    AVERAGEIFS(SalesData[Unit Price],
               SalesData[Product Name],SalesData[[#This Row],[Product Name]]),
    SalesData[[#This Row],[Unit Price]])</f>
        <v>12</v>
      </c>
      <c r="M892" s="15">
        <v>2.4500000000000002</v>
      </c>
      <c r="N892" s="15">
        <f>SalesData[[#This Row],[Quantity Sold]] * SalesData[[#This Row],[Cleaned Unit Price]]</f>
        <v>120</v>
      </c>
      <c r="O892" s="15">
        <f>SalesData[[#This Row],[Quantity Sold]] * SalesData[[#This Row],[Unit Cost]]</f>
        <v>24.5</v>
      </c>
      <c r="P892" s="15">
        <f>SalesData[[#This Row],[Revenue]] - SalesData[[#This Row],[Cost]]</f>
        <v>95.5</v>
      </c>
      <c r="Q892" s="13">
        <f>IF(SalesData[[#This Row],[Revenue]]=0,0,SalesData[[#This Row],[Profit]]/SalesData[[#This Row],[Revenue]])</f>
        <v>0.79583333333333328</v>
      </c>
      <c r="R892" t="s">
        <v>1191</v>
      </c>
      <c r="S892" t="s">
        <v>1390</v>
      </c>
      <c r="T892" t="str">
        <f>PROPER(SalesData[[#This Row],[Customer Name]])</f>
        <v>Isabella Williams</v>
      </c>
      <c r="U892" t="s">
        <v>1414</v>
      </c>
      <c r="V892" t="s">
        <v>1426</v>
      </c>
    </row>
    <row r="893" spans="1:22" x14ac:dyDescent="0.25">
      <c r="A893" t="s">
        <v>2319</v>
      </c>
      <c r="B893" s="5">
        <v>45614</v>
      </c>
      <c r="C893" s="2" t="str">
        <f>TEXT(SalesData[[#This Row],[Order Date]],"mmm")</f>
        <v>Nov</v>
      </c>
      <c r="D893" s="7">
        <f>MONTH(SalesData[[#This Row],[Order Date]])</f>
        <v>11</v>
      </c>
      <c r="E893" s="7">
        <f>YEAR(SalesData[[#This Row],[Order Date]])</f>
        <v>2024</v>
      </c>
      <c r="F893" t="s">
        <v>471</v>
      </c>
      <c r="G893" t="str">
        <f>PROPER(SalesData[[#This Row],[Product Name]])</f>
        <v>Solar Led Lantern</v>
      </c>
      <c r="H893" t="s">
        <v>1012</v>
      </c>
      <c r="I893" t="str">
        <f>UPPER(SalesData[[#This Row],[Product Category]])</f>
        <v>LIGHTING</v>
      </c>
      <c r="J893">
        <v>1</v>
      </c>
      <c r="K893">
        <v>40</v>
      </c>
      <c r="L893" s="15">
        <f>IF(SalesData[[#This Row],[Unit Price]]="",
    AVERAGEIFS(SalesData[Unit Price],
               SalesData[Product Name],SalesData[[#This Row],[Product Name]]),
    SalesData[[#This Row],[Unit Price]])</f>
        <v>40</v>
      </c>
      <c r="M893" s="15">
        <v>8.51</v>
      </c>
      <c r="N893" s="15">
        <f>SalesData[[#This Row],[Quantity Sold]] * SalesData[[#This Row],[Cleaned Unit Price]]</f>
        <v>40</v>
      </c>
      <c r="O893" s="15">
        <f>SalesData[[#This Row],[Quantity Sold]] * SalesData[[#This Row],[Unit Cost]]</f>
        <v>8.51</v>
      </c>
      <c r="P893" s="15">
        <f>SalesData[[#This Row],[Revenue]] - SalesData[[#This Row],[Cost]]</f>
        <v>31.490000000000002</v>
      </c>
      <c r="Q893" s="13">
        <f>IF(SalesData[[#This Row],[Revenue]]=0,0,SalesData[[#This Row],[Profit]]/SalesData[[#This Row],[Revenue]])</f>
        <v>0.78725000000000001</v>
      </c>
      <c r="R893" t="s">
        <v>1127</v>
      </c>
      <c r="S893" t="s">
        <v>1326</v>
      </c>
      <c r="T893" t="str">
        <f>PROPER(SalesData[[#This Row],[Customer Name]])</f>
        <v>Mason Williams</v>
      </c>
      <c r="U893" t="s">
        <v>1415</v>
      </c>
      <c r="V893" t="s">
        <v>1423</v>
      </c>
    </row>
    <row r="894" spans="1:22" x14ac:dyDescent="0.25">
      <c r="A894" t="s">
        <v>2320</v>
      </c>
      <c r="B894" s="5">
        <v>45614</v>
      </c>
      <c r="C894" s="2" t="str">
        <f>TEXT(SalesData[[#This Row],[Order Date]],"mmm")</f>
        <v>Nov</v>
      </c>
      <c r="D894" s="7">
        <f>MONTH(SalesData[[#This Row],[Order Date]])</f>
        <v>11</v>
      </c>
      <c r="E894" s="7">
        <f>YEAR(SalesData[[#This Row],[Order Date]])</f>
        <v>2024</v>
      </c>
      <c r="F894" t="s">
        <v>566</v>
      </c>
      <c r="G894" t="str">
        <f>PROPER(SalesData[[#This Row],[Product Name]])</f>
        <v>Eco Canvas Tote Bag</v>
      </c>
      <c r="H894" t="s">
        <v>1013</v>
      </c>
      <c r="I894" t="str">
        <f>UPPER(SalesData[[#This Row],[Product Category]])</f>
        <v>BAGS</v>
      </c>
      <c r="J894">
        <v>3</v>
      </c>
      <c r="K894">
        <v>25</v>
      </c>
      <c r="L894" s="15">
        <f>IF(SalesData[[#This Row],[Unit Price]]="",
    AVERAGEIFS(SalesData[Unit Price],
               SalesData[Product Name],SalesData[[#This Row],[Product Name]]),
    SalesData[[#This Row],[Unit Price]])</f>
        <v>25</v>
      </c>
      <c r="M894" s="15">
        <v>5.0999999999999996</v>
      </c>
      <c r="N894" s="15">
        <f>SalesData[[#This Row],[Quantity Sold]] * SalesData[[#This Row],[Cleaned Unit Price]]</f>
        <v>75</v>
      </c>
      <c r="O894" s="15">
        <f>SalesData[[#This Row],[Quantity Sold]] * SalesData[[#This Row],[Unit Cost]]</f>
        <v>15.299999999999999</v>
      </c>
      <c r="P894" s="15">
        <f>SalesData[[#This Row],[Revenue]] - SalesData[[#This Row],[Cost]]</f>
        <v>59.7</v>
      </c>
      <c r="Q894" s="13">
        <f>IF(SalesData[[#This Row],[Revenue]]=0,0,SalesData[[#This Row],[Profit]]/SalesData[[#This Row],[Revenue]])</f>
        <v>0.79600000000000004</v>
      </c>
      <c r="R894" t="s">
        <v>1066</v>
      </c>
      <c r="S894" t="s">
        <v>1265</v>
      </c>
      <c r="T894" t="str">
        <f>PROPER(SalesData[[#This Row],[Customer Name]])</f>
        <v>Liam Rodriguez</v>
      </c>
      <c r="U894" t="s">
        <v>1416</v>
      </c>
      <c r="V894" t="s">
        <v>1420</v>
      </c>
    </row>
    <row r="895" spans="1:22" x14ac:dyDescent="0.25">
      <c r="A895" t="s">
        <v>2321</v>
      </c>
      <c r="B895" s="5">
        <v>45614</v>
      </c>
      <c r="C895" s="2" t="str">
        <f>TEXT(SalesData[[#This Row],[Order Date]],"mmm")</f>
        <v>Nov</v>
      </c>
      <c r="D895" s="7">
        <f>MONTH(SalesData[[#This Row],[Order Date]])</f>
        <v>11</v>
      </c>
      <c r="E895" s="7">
        <f>YEAR(SalesData[[#This Row],[Order Date]])</f>
        <v>2024</v>
      </c>
      <c r="F895" t="s">
        <v>762</v>
      </c>
      <c r="G895" t="str">
        <f>PROPER(SalesData[[#This Row],[Product Name]])</f>
        <v>Biodegradable Cleaning Cloth</v>
      </c>
      <c r="H895" t="s">
        <v>1015</v>
      </c>
      <c r="I895" t="str">
        <f>UPPER(SalesData[[#This Row],[Product Category]])</f>
        <v>CLEANING</v>
      </c>
      <c r="J895">
        <v>9</v>
      </c>
      <c r="K895">
        <v>10</v>
      </c>
      <c r="L895" s="15">
        <f>IF(SalesData[[#This Row],[Unit Price]]="",
    AVERAGEIFS(SalesData[Unit Price],
               SalesData[Product Name],SalesData[[#This Row],[Product Name]]),
    SalesData[[#This Row],[Unit Price]])</f>
        <v>10</v>
      </c>
      <c r="M895" s="15">
        <v>2.68</v>
      </c>
      <c r="N895" s="15">
        <f>SalesData[[#This Row],[Quantity Sold]] * SalesData[[#This Row],[Cleaned Unit Price]]</f>
        <v>90</v>
      </c>
      <c r="O895" s="15">
        <f>SalesData[[#This Row],[Quantity Sold]] * SalesData[[#This Row],[Unit Cost]]</f>
        <v>24.12</v>
      </c>
      <c r="P895" s="15">
        <f>SalesData[[#This Row],[Revenue]] - SalesData[[#This Row],[Cost]]</f>
        <v>65.88</v>
      </c>
      <c r="Q895" s="13">
        <f>IF(SalesData[[#This Row],[Revenue]]=0,0,SalesData[[#This Row],[Profit]]/SalesData[[#This Row],[Revenue]])</f>
        <v>0.73199999999999998</v>
      </c>
      <c r="R895" t="s">
        <v>1185</v>
      </c>
      <c r="S895" t="s">
        <v>1384</v>
      </c>
      <c r="T895" t="str">
        <f>PROPER(SalesData[[#This Row],[Customer Name]])</f>
        <v>Lucas Garcia</v>
      </c>
      <c r="U895" t="s">
        <v>1415</v>
      </c>
      <c r="V895" t="s">
        <v>1420</v>
      </c>
    </row>
    <row r="896" spans="1:22" x14ac:dyDescent="0.25">
      <c r="A896" t="s">
        <v>2322</v>
      </c>
      <c r="B896" s="5">
        <v>45614</v>
      </c>
      <c r="C896" s="2" t="str">
        <f>TEXT(SalesData[[#This Row],[Order Date]],"mmm")</f>
        <v>Nov</v>
      </c>
      <c r="D896" s="7">
        <f>MONTH(SalesData[[#This Row],[Order Date]])</f>
        <v>11</v>
      </c>
      <c r="E896" s="7">
        <f>YEAR(SalesData[[#This Row],[Order Date]])</f>
        <v>2024</v>
      </c>
      <c r="F896" t="s">
        <v>826</v>
      </c>
      <c r="G896" t="str">
        <f>PROPER(SalesData[[#This Row],[Product Name]])</f>
        <v>Biodegradable Cleaning Cloth</v>
      </c>
      <c r="H896" t="s">
        <v>1015</v>
      </c>
      <c r="I896" t="str">
        <f>UPPER(SalesData[[#This Row],[Product Category]])</f>
        <v>CLEANING</v>
      </c>
      <c r="J896">
        <v>10</v>
      </c>
      <c r="K896">
        <v>10</v>
      </c>
      <c r="L896" s="15">
        <f>IF(SalesData[[#This Row],[Unit Price]]="",
    AVERAGEIFS(SalesData[Unit Price],
               SalesData[Product Name],SalesData[[#This Row],[Product Name]]),
    SalesData[[#This Row],[Unit Price]])</f>
        <v>10</v>
      </c>
      <c r="M896" s="15">
        <v>3.4</v>
      </c>
      <c r="N896" s="15">
        <f>SalesData[[#This Row],[Quantity Sold]] * SalesData[[#This Row],[Cleaned Unit Price]]</f>
        <v>100</v>
      </c>
      <c r="O896" s="15">
        <f>SalesData[[#This Row],[Quantity Sold]] * SalesData[[#This Row],[Unit Cost]]</f>
        <v>34</v>
      </c>
      <c r="P896" s="15">
        <f>SalesData[[#This Row],[Revenue]] - SalesData[[#This Row],[Cost]]</f>
        <v>66</v>
      </c>
      <c r="Q896" s="13">
        <f>IF(SalesData[[#This Row],[Revenue]]=0,0,SalesData[[#This Row],[Profit]]/SalesData[[#This Row],[Revenue]])</f>
        <v>0.66</v>
      </c>
      <c r="R896" t="s">
        <v>1137</v>
      </c>
      <c r="S896" t="s">
        <v>1336</v>
      </c>
      <c r="T896" t="str">
        <f>PROPER(SalesData[[#This Row],[Customer Name]])</f>
        <v>Harper Miller</v>
      </c>
      <c r="U896" t="s">
        <v>1416</v>
      </c>
      <c r="V896" t="s">
        <v>1422</v>
      </c>
    </row>
    <row r="897" spans="1:22" x14ac:dyDescent="0.25">
      <c r="A897" t="s">
        <v>2323</v>
      </c>
      <c r="B897" s="5">
        <v>45615</v>
      </c>
      <c r="C897" s="2" t="str">
        <f>TEXT(SalesData[[#This Row],[Order Date]],"mmm")</f>
        <v>Nov</v>
      </c>
      <c r="D897" s="7">
        <f>MONTH(SalesData[[#This Row],[Order Date]])</f>
        <v>11</v>
      </c>
      <c r="E897" s="7">
        <f>YEAR(SalesData[[#This Row],[Order Date]])</f>
        <v>2024</v>
      </c>
      <c r="F897" t="s">
        <v>403</v>
      </c>
      <c r="G897" t="str">
        <f>PROPER(SalesData[[#This Row],[Product Name]])</f>
        <v>Biodegradable Cleaning Cloth</v>
      </c>
      <c r="H897" t="s">
        <v>1015</v>
      </c>
      <c r="I897" t="str">
        <f>UPPER(SalesData[[#This Row],[Product Category]])</f>
        <v>CLEANING</v>
      </c>
      <c r="J897">
        <v>1</v>
      </c>
      <c r="K897">
        <v>10</v>
      </c>
      <c r="L897" s="15">
        <f>IF(SalesData[[#This Row],[Unit Price]]="",
    AVERAGEIFS(SalesData[Unit Price],
               SalesData[Product Name],SalesData[[#This Row],[Product Name]]),
    SalesData[[#This Row],[Unit Price]])</f>
        <v>10</v>
      </c>
      <c r="M897" s="15">
        <v>3.72</v>
      </c>
      <c r="N897" s="15">
        <f>SalesData[[#This Row],[Quantity Sold]] * SalesData[[#This Row],[Cleaned Unit Price]]</f>
        <v>10</v>
      </c>
      <c r="O897" s="15">
        <f>SalesData[[#This Row],[Quantity Sold]] * SalesData[[#This Row],[Unit Cost]]</f>
        <v>3.72</v>
      </c>
      <c r="P897" s="15">
        <f>SalesData[[#This Row],[Revenue]] - SalesData[[#This Row],[Cost]]</f>
        <v>6.2799999999999994</v>
      </c>
      <c r="Q897" s="13">
        <f>IF(SalesData[[#This Row],[Revenue]]=0,0,SalesData[[#This Row],[Profit]]/SalesData[[#This Row],[Revenue]])</f>
        <v>0.62799999999999989</v>
      </c>
      <c r="R897" t="s">
        <v>1172</v>
      </c>
      <c r="S897" t="s">
        <v>1371</v>
      </c>
      <c r="T897" t="str">
        <f>PROPER(SalesData[[#This Row],[Customer Name]])</f>
        <v>James Smith</v>
      </c>
      <c r="U897" t="s">
        <v>1416</v>
      </c>
      <c r="V897" t="s">
        <v>1423</v>
      </c>
    </row>
    <row r="898" spans="1:22" x14ac:dyDescent="0.25">
      <c r="A898" t="s">
        <v>2324</v>
      </c>
      <c r="B898" s="5">
        <v>45616</v>
      </c>
      <c r="C898" s="2" t="str">
        <f>TEXT(SalesData[[#This Row],[Order Date]],"mmm")</f>
        <v>Nov</v>
      </c>
      <c r="D898" s="7">
        <f>MONTH(SalesData[[#This Row],[Order Date]])</f>
        <v>11</v>
      </c>
      <c r="E898" s="7">
        <f>YEAR(SalesData[[#This Row],[Order Date]])</f>
        <v>2024</v>
      </c>
      <c r="F898" t="s">
        <v>158</v>
      </c>
      <c r="G898" t="str">
        <f>PROPER(SalesData[[#This Row],[Product Name]])</f>
        <v>Eco Canvas Tote Bag</v>
      </c>
      <c r="H898" t="s">
        <v>1013</v>
      </c>
      <c r="I898" t="str">
        <f>UPPER(SalesData[[#This Row],[Product Category]])</f>
        <v>BAGS</v>
      </c>
      <c r="J898">
        <v>10</v>
      </c>
      <c r="K898">
        <v>25</v>
      </c>
      <c r="L898" s="15">
        <f>IF(SalesData[[#This Row],[Unit Price]]="",
    AVERAGEIFS(SalesData[Unit Price],
               SalesData[Product Name],SalesData[[#This Row],[Product Name]]),
    SalesData[[#This Row],[Unit Price]])</f>
        <v>25</v>
      </c>
      <c r="M898" s="15">
        <v>9.86</v>
      </c>
      <c r="N898" s="15">
        <f>SalesData[[#This Row],[Quantity Sold]] * SalesData[[#This Row],[Cleaned Unit Price]]</f>
        <v>250</v>
      </c>
      <c r="O898" s="15">
        <f>SalesData[[#This Row],[Quantity Sold]] * SalesData[[#This Row],[Unit Cost]]</f>
        <v>98.6</v>
      </c>
      <c r="P898" s="15">
        <f>SalesData[[#This Row],[Revenue]] - SalesData[[#This Row],[Cost]]</f>
        <v>151.4</v>
      </c>
      <c r="Q898" s="13">
        <f>IF(SalesData[[#This Row],[Revenue]]=0,0,SalesData[[#This Row],[Profit]]/SalesData[[#This Row],[Revenue]])</f>
        <v>0.60560000000000003</v>
      </c>
      <c r="R898" t="s">
        <v>1073</v>
      </c>
      <c r="S898" t="s">
        <v>1272</v>
      </c>
      <c r="T898" t="str">
        <f>PROPER(SalesData[[#This Row],[Customer Name]])</f>
        <v>Noah Smith</v>
      </c>
      <c r="U898" t="s">
        <v>1415</v>
      </c>
      <c r="V898" t="s">
        <v>1426</v>
      </c>
    </row>
    <row r="899" spans="1:22" x14ac:dyDescent="0.25">
      <c r="A899" t="s">
        <v>2325</v>
      </c>
      <c r="B899" s="5">
        <v>45617</v>
      </c>
      <c r="C899" s="2" t="str">
        <f>TEXT(SalesData[[#This Row],[Order Date]],"mmm")</f>
        <v>Nov</v>
      </c>
      <c r="D899" s="7">
        <f>MONTH(SalesData[[#This Row],[Order Date]])</f>
        <v>11</v>
      </c>
      <c r="E899" s="7">
        <f>YEAR(SalesData[[#This Row],[Order Date]])</f>
        <v>2024</v>
      </c>
      <c r="F899" t="s">
        <v>372</v>
      </c>
      <c r="G899" t="str">
        <f>PROPER(SalesData[[#This Row],[Product Name]])</f>
        <v>Compostable Plant Pots</v>
      </c>
      <c r="H899" t="s">
        <v>1011</v>
      </c>
      <c r="I899" t="str">
        <f>UPPER(SalesData[[#This Row],[Product Category]])</f>
        <v>GARDENING</v>
      </c>
      <c r="J899">
        <v>2</v>
      </c>
      <c r="K899">
        <v>12</v>
      </c>
      <c r="L899" s="15">
        <f>IF(SalesData[[#This Row],[Unit Price]]="",
    AVERAGEIFS(SalesData[Unit Price],
               SalesData[Product Name],SalesData[[#This Row],[Product Name]]),
    SalesData[[#This Row],[Unit Price]])</f>
        <v>12</v>
      </c>
      <c r="M899" s="15">
        <v>4.3899999999999997</v>
      </c>
      <c r="N899" s="15">
        <f>SalesData[[#This Row],[Quantity Sold]] * SalesData[[#This Row],[Cleaned Unit Price]]</f>
        <v>24</v>
      </c>
      <c r="O899" s="15">
        <f>SalesData[[#This Row],[Quantity Sold]] * SalesData[[#This Row],[Unit Cost]]</f>
        <v>8.7799999999999994</v>
      </c>
      <c r="P899" s="15">
        <f>SalesData[[#This Row],[Revenue]] - SalesData[[#This Row],[Cost]]</f>
        <v>15.22</v>
      </c>
      <c r="Q899" s="13">
        <f>IF(SalesData[[#This Row],[Revenue]]=0,0,SalesData[[#This Row],[Profit]]/SalesData[[#This Row],[Revenue]])</f>
        <v>0.63416666666666666</v>
      </c>
      <c r="R899" t="s">
        <v>1043</v>
      </c>
      <c r="S899" t="s">
        <v>1242</v>
      </c>
      <c r="T899" t="str">
        <f>PROPER(SalesData[[#This Row],[Customer Name]])</f>
        <v>Ethan Miller</v>
      </c>
      <c r="U899" t="s">
        <v>1414</v>
      </c>
      <c r="V899" t="s">
        <v>1426</v>
      </c>
    </row>
    <row r="900" spans="1:22" x14ac:dyDescent="0.25">
      <c r="A900" t="s">
        <v>2326</v>
      </c>
      <c r="B900" s="5">
        <v>45618</v>
      </c>
      <c r="C900" s="2" t="str">
        <f>TEXT(SalesData[[#This Row],[Order Date]],"mmm")</f>
        <v>Nov</v>
      </c>
      <c r="D900" s="7">
        <f>MONTH(SalesData[[#This Row],[Order Date]])</f>
        <v>11</v>
      </c>
      <c r="E900" s="7">
        <f>YEAR(SalesData[[#This Row],[Order Date]])</f>
        <v>2024</v>
      </c>
      <c r="F900" t="s">
        <v>341</v>
      </c>
      <c r="G900" t="str">
        <f>PROPER(SalesData[[#This Row],[Product Name]])</f>
        <v>Reusable Bamboo Utensil Set</v>
      </c>
      <c r="H900" t="s">
        <v>1014</v>
      </c>
      <c r="I900" t="str">
        <f>UPPER(SalesData[[#This Row],[Product Category]])</f>
        <v>KITCHENWARE</v>
      </c>
      <c r="J900">
        <v>1</v>
      </c>
      <c r="K900">
        <v>15</v>
      </c>
      <c r="L900" s="15">
        <f>IF(SalesData[[#This Row],[Unit Price]]="",
    AVERAGEIFS(SalesData[Unit Price],
               SalesData[Product Name],SalesData[[#This Row],[Product Name]]),
    SalesData[[#This Row],[Unit Price]])</f>
        <v>15</v>
      </c>
      <c r="M900" s="15">
        <v>3.55</v>
      </c>
      <c r="N900" s="15">
        <f>SalesData[[#This Row],[Quantity Sold]] * SalesData[[#This Row],[Cleaned Unit Price]]</f>
        <v>15</v>
      </c>
      <c r="O900" s="15">
        <f>SalesData[[#This Row],[Quantity Sold]] * SalesData[[#This Row],[Unit Cost]]</f>
        <v>3.55</v>
      </c>
      <c r="P900" s="15">
        <f>SalesData[[#This Row],[Revenue]] - SalesData[[#This Row],[Cost]]</f>
        <v>11.45</v>
      </c>
      <c r="Q900" s="13">
        <f>IF(SalesData[[#This Row],[Revenue]]=0,0,SalesData[[#This Row],[Profit]]/SalesData[[#This Row],[Revenue]])</f>
        <v>0.76333333333333331</v>
      </c>
      <c r="R900" t="s">
        <v>1100</v>
      </c>
      <c r="S900" t="s">
        <v>1299</v>
      </c>
      <c r="T900" t="str">
        <f>PROPER(SalesData[[#This Row],[Customer Name]])</f>
        <v>Mia Miller</v>
      </c>
      <c r="U900" t="s">
        <v>1414</v>
      </c>
      <c r="V900" t="s">
        <v>1423</v>
      </c>
    </row>
    <row r="901" spans="1:22" x14ac:dyDescent="0.25">
      <c r="A901" t="s">
        <v>2327</v>
      </c>
      <c r="B901" s="5">
        <v>45618</v>
      </c>
      <c r="C901" s="2" t="str">
        <f>TEXT(SalesData[[#This Row],[Order Date]],"mmm")</f>
        <v>Nov</v>
      </c>
      <c r="D901" s="7">
        <f>MONTH(SalesData[[#This Row],[Order Date]])</f>
        <v>11</v>
      </c>
      <c r="E901" s="7">
        <f>YEAR(SalesData[[#This Row],[Order Date]])</f>
        <v>2024</v>
      </c>
      <c r="F901" t="s">
        <v>719</v>
      </c>
      <c r="G901" t="str">
        <f>PROPER(SalesData[[#This Row],[Product Name]])</f>
        <v>Reusable Bamboo Utensil Set</v>
      </c>
      <c r="H901" t="s">
        <v>1014</v>
      </c>
      <c r="I901" t="str">
        <f>UPPER(SalesData[[#This Row],[Product Category]])</f>
        <v>KITCHENWARE</v>
      </c>
      <c r="J901">
        <v>7</v>
      </c>
      <c r="K901">
        <v>15</v>
      </c>
      <c r="L901" s="15">
        <f>IF(SalesData[[#This Row],[Unit Price]]="",
    AVERAGEIFS(SalesData[Unit Price],
               SalesData[Product Name],SalesData[[#This Row],[Product Name]]),
    SalesData[[#This Row],[Unit Price]])</f>
        <v>15</v>
      </c>
      <c r="M901" s="15">
        <v>4.03</v>
      </c>
      <c r="N901" s="15">
        <f>SalesData[[#This Row],[Quantity Sold]] * SalesData[[#This Row],[Cleaned Unit Price]]</f>
        <v>105</v>
      </c>
      <c r="O901" s="15">
        <f>SalesData[[#This Row],[Quantity Sold]] * SalesData[[#This Row],[Unit Cost]]</f>
        <v>28.21</v>
      </c>
      <c r="P901" s="15">
        <f>SalesData[[#This Row],[Revenue]] - SalesData[[#This Row],[Cost]]</f>
        <v>76.789999999999992</v>
      </c>
      <c r="Q901" s="13">
        <f>IF(SalesData[[#This Row],[Revenue]]=0,0,SalesData[[#This Row],[Profit]]/SalesData[[#This Row],[Revenue]])</f>
        <v>0.73133333333333328</v>
      </c>
      <c r="R901" t="s">
        <v>1105</v>
      </c>
      <c r="S901" t="s">
        <v>1304</v>
      </c>
      <c r="T901" t="str">
        <f>PROPER(SalesData[[#This Row],[Customer Name]])</f>
        <v>Lucas Smith</v>
      </c>
      <c r="U901" t="s">
        <v>1414</v>
      </c>
      <c r="V901" t="s">
        <v>1427</v>
      </c>
    </row>
    <row r="902" spans="1:22" x14ac:dyDescent="0.25">
      <c r="A902" t="s">
        <v>2328</v>
      </c>
      <c r="B902" s="5">
        <v>45619</v>
      </c>
      <c r="C902" s="2" t="str">
        <f>TEXT(SalesData[[#This Row],[Order Date]],"mmm")</f>
        <v>Nov</v>
      </c>
      <c r="D902" s="7">
        <f>MONTH(SalesData[[#This Row],[Order Date]])</f>
        <v>11</v>
      </c>
      <c r="E902" s="7">
        <f>YEAR(SalesData[[#This Row],[Order Date]])</f>
        <v>2024</v>
      </c>
      <c r="F902" t="s">
        <v>646</v>
      </c>
      <c r="G902" t="str">
        <f>PROPER(SalesData[[#This Row],[Product Name]])</f>
        <v>Eco Canvas Tote Bag</v>
      </c>
      <c r="H902" t="s">
        <v>1013</v>
      </c>
      <c r="I902" t="str">
        <f>UPPER(SalesData[[#This Row],[Product Category]])</f>
        <v>BAGS</v>
      </c>
      <c r="J902">
        <v>1</v>
      </c>
      <c r="K902">
        <v>25</v>
      </c>
      <c r="L902" s="15">
        <f>IF(SalesData[[#This Row],[Unit Price]]="",
    AVERAGEIFS(SalesData[Unit Price],
               SalesData[Product Name],SalesData[[#This Row],[Product Name]]),
    SalesData[[#This Row],[Unit Price]])</f>
        <v>25</v>
      </c>
      <c r="M902" s="15">
        <v>9.8800000000000008</v>
      </c>
      <c r="N902" s="15">
        <f>SalesData[[#This Row],[Quantity Sold]] * SalesData[[#This Row],[Cleaned Unit Price]]</f>
        <v>25</v>
      </c>
      <c r="O902" s="15">
        <f>SalesData[[#This Row],[Quantity Sold]] * SalesData[[#This Row],[Unit Cost]]</f>
        <v>9.8800000000000008</v>
      </c>
      <c r="P902" s="15">
        <f>SalesData[[#This Row],[Revenue]] - SalesData[[#This Row],[Cost]]</f>
        <v>15.12</v>
      </c>
      <c r="Q902" s="13">
        <f>IF(SalesData[[#This Row],[Revenue]]=0,0,SalesData[[#This Row],[Profit]]/SalesData[[#This Row],[Revenue]])</f>
        <v>0.6048</v>
      </c>
      <c r="R902" t="s">
        <v>1064</v>
      </c>
      <c r="S902" t="s">
        <v>1263</v>
      </c>
      <c r="T902" t="str">
        <f>PROPER(SalesData[[#This Row],[Customer Name]])</f>
        <v>Isabella Miller</v>
      </c>
      <c r="U902" t="s">
        <v>1414</v>
      </c>
      <c r="V902" t="s">
        <v>1423</v>
      </c>
    </row>
    <row r="903" spans="1:22" x14ac:dyDescent="0.25">
      <c r="A903" t="s">
        <v>2329</v>
      </c>
      <c r="B903" s="5">
        <v>45619</v>
      </c>
      <c r="C903" s="2" t="str">
        <f>TEXT(SalesData[[#This Row],[Order Date]],"mmm")</f>
        <v>Nov</v>
      </c>
      <c r="D903" s="7">
        <f>MONTH(SalesData[[#This Row],[Order Date]])</f>
        <v>11</v>
      </c>
      <c r="E903" s="7">
        <f>YEAR(SalesData[[#This Row],[Order Date]])</f>
        <v>2024</v>
      </c>
      <c r="F903" t="s">
        <v>651</v>
      </c>
      <c r="G903" t="str">
        <f>PROPER(SalesData[[#This Row],[Product Name]])</f>
        <v>Eco Canvas Tote Bag</v>
      </c>
      <c r="H903" t="s">
        <v>1013</v>
      </c>
      <c r="I903" t="str">
        <f>UPPER(SalesData[[#This Row],[Product Category]])</f>
        <v>BAGS</v>
      </c>
      <c r="J903">
        <v>8</v>
      </c>
      <c r="K903">
        <v>25</v>
      </c>
      <c r="L903" s="15">
        <f>IF(SalesData[[#This Row],[Unit Price]]="",
    AVERAGEIFS(SalesData[Unit Price],
               SalesData[Product Name],SalesData[[#This Row],[Product Name]]),
    SalesData[[#This Row],[Unit Price]])</f>
        <v>25</v>
      </c>
      <c r="M903" s="15">
        <v>6.58</v>
      </c>
      <c r="N903" s="15">
        <f>SalesData[[#This Row],[Quantity Sold]] * SalesData[[#This Row],[Cleaned Unit Price]]</f>
        <v>200</v>
      </c>
      <c r="O903" s="15">
        <f>SalesData[[#This Row],[Quantity Sold]] * SalesData[[#This Row],[Unit Cost]]</f>
        <v>52.64</v>
      </c>
      <c r="P903" s="15">
        <f>SalesData[[#This Row],[Revenue]] - SalesData[[#This Row],[Cost]]</f>
        <v>147.36000000000001</v>
      </c>
      <c r="Q903" s="13">
        <f>IF(SalesData[[#This Row],[Revenue]]=0,0,SalesData[[#This Row],[Profit]]/SalesData[[#This Row],[Revenue]])</f>
        <v>0.73680000000000012</v>
      </c>
      <c r="R903" t="s">
        <v>1050</v>
      </c>
      <c r="S903" t="s">
        <v>1249</v>
      </c>
      <c r="T903" t="str">
        <f>PROPER(SalesData[[#This Row],[Customer Name]])</f>
        <v>Charlotte Garcia</v>
      </c>
      <c r="U903" t="s">
        <v>1414</v>
      </c>
      <c r="V903" t="s">
        <v>1426</v>
      </c>
    </row>
    <row r="904" spans="1:22" x14ac:dyDescent="0.25">
      <c r="A904" t="s">
        <v>2330</v>
      </c>
      <c r="B904" s="5">
        <v>45619</v>
      </c>
      <c r="C904" s="2" t="str">
        <f>TEXT(SalesData[[#This Row],[Order Date]],"mmm")</f>
        <v>Nov</v>
      </c>
      <c r="D904" s="7">
        <f>MONTH(SalesData[[#This Row],[Order Date]])</f>
        <v>11</v>
      </c>
      <c r="E904" s="7">
        <f>YEAR(SalesData[[#This Row],[Order Date]])</f>
        <v>2024</v>
      </c>
      <c r="F904" t="s">
        <v>666</v>
      </c>
      <c r="G904" t="str">
        <f>PROPER(SalesData[[#This Row],[Product Name]])</f>
        <v>Eco Canvas Tote Bag</v>
      </c>
      <c r="H904" t="s">
        <v>1013</v>
      </c>
      <c r="I904" t="str">
        <f>UPPER(SalesData[[#This Row],[Product Category]])</f>
        <v>BAGS</v>
      </c>
      <c r="J904">
        <v>8</v>
      </c>
      <c r="K904">
        <v>25</v>
      </c>
      <c r="L904" s="15">
        <f>IF(SalesData[[#This Row],[Unit Price]]="",
    AVERAGEIFS(SalesData[Unit Price],
               SalesData[Product Name],SalesData[[#This Row],[Product Name]]),
    SalesData[[#This Row],[Unit Price]])</f>
        <v>25</v>
      </c>
      <c r="M904" s="15">
        <v>6.56</v>
      </c>
      <c r="N904" s="15">
        <f>SalesData[[#This Row],[Quantity Sold]] * SalesData[[#This Row],[Cleaned Unit Price]]</f>
        <v>200</v>
      </c>
      <c r="O904" s="15">
        <f>SalesData[[#This Row],[Quantity Sold]] * SalesData[[#This Row],[Unit Cost]]</f>
        <v>52.48</v>
      </c>
      <c r="P904" s="15">
        <f>SalesData[[#This Row],[Revenue]] - SalesData[[#This Row],[Cost]]</f>
        <v>147.52000000000001</v>
      </c>
      <c r="Q904" s="13">
        <f>IF(SalesData[[#This Row],[Revenue]]=0,0,SalesData[[#This Row],[Profit]]/SalesData[[#This Row],[Revenue]])</f>
        <v>0.73760000000000003</v>
      </c>
      <c r="R904" t="s">
        <v>1194</v>
      </c>
      <c r="S904" t="s">
        <v>1393</v>
      </c>
      <c r="T904" t="str">
        <f>PROPER(SalesData[[#This Row],[Customer Name]])</f>
        <v>James Williams</v>
      </c>
      <c r="U904" t="s">
        <v>1416</v>
      </c>
      <c r="V904" t="s">
        <v>1420</v>
      </c>
    </row>
    <row r="905" spans="1:22" x14ac:dyDescent="0.25">
      <c r="A905" t="s">
        <v>2331</v>
      </c>
      <c r="B905" s="5">
        <v>45620</v>
      </c>
      <c r="C905" s="2" t="str">
        <f>TEXT(SalesData[[#This Row],[Order Date]],"mmm")</f>
        <v>Nov</v>
      </c>
      <c r="D905" s="7">
        <f>MONTH(SalesData[[#This Row],[Order Date]])</f>
        <v>11</v>
      </c>
      <c r="E905" s="7">
        <f>YEAR(SalesData[[#This Row],[Order Date]])</f>
        <v>2024</v>
      </c>
      <c r="F905" t="s">
        <v>693</v>
      </c>
      <c r="G905" t="str">
        <f>PROPER(SalesData[[#This Row],[Product Name]])</f>
        <v>Biodegradable Cleaning Cloth</v>
      </c>
      <c r="H905" t="s">
        <v>1015</v>
      </c>
      <c r="I905" t="str">
        <f>UPPER(SalesData[[#This Row],[Product Category]])</f>
        <v>CLEANING</v>
      </c>
      <c r="J905">
        <v>9</v>
      </c>
      <c r="K905">
        <v>10</v>
      </c>
      <c r="L905" s="15">
        <f>IF(SalesData[[#This Row],[Unit Price]]="",
    AVERAGEIFS(SalesData[Unit Price],
               SalesData[Product Name],SalesData[[#This Row],[Product Name]]),
    SalesData[[#This Row],[Unit Price]])</f>
        <v>10</v>
      </c>
      <c r="M905" s="15">
        <v>2.66</v>
      </c>
      <c r="N905" s="15">
        <f>SalesData[[#This Row],[Quantity Sold]] * SalesData[[#This Row],[Cleaned Unit Price]]</f>
        <v>90</v>
      </c>
      <c r="O905" s="15">
        <f>SalesData[[#This Row],[Quantity Sold]] * SalesData[[#This Row],[Unit Cost]]</f>
        <v>23.94</v>
      </c>
      <c r="P905" s="15">
        <f>SalesData[[#This Row],[Revenue]] - SalesData[[#This Row],[Cost]]</f>
        <v>66.06</v>
      </c>
      <c r="Q905" s="13">
        <f>IF(SalesData[[#This Row],[Revenue]]=0,0,SalesData[[#This Row],[Profit]]/SalesData[[#This Row],[Revenue]])</f>
        <v>0.73399999999999999</v>
      </c>
      <c r="R905" t="s">
        <v>1022</v>
      </c>
      <c r="S905" t="s">
        <v>1221</v>
      </c>
      <c r="T905" t="str">
        <f>PROPER(SalesData[[#This Row],[Customer Name]])</f>
        <v>Liam Johnson</v>
      </c>
      <c r="U905" t="s">
        <v>1416</v>
      </c>
      <c r="V905" t="s">
        <v>1423</v>
      </c>
    </row>
    <row r="906" spans="1:22" x14ac:dyDescent="0.25">
      <c r="A906" t="s">
        <v>2332</v>
      </c>
      <c r="B906" s="5">
        <v>45622</v>
      </c>
      <c r="C906" s="2" t="str">
        <f>TEXT(SalesData[[#This Row],[Order Date]],"mmm")</f>
        <v>Nov</v>
      </c>
      <c r="D906" s="7">
        <f>MONTH(SalesData[[#This Row],[Order Date]])</f>
        <v>11</v>
      </c>
      <c r="E906" s="7">
        <f>YEAR(SalesData[[#This Row],[Order Date]])</f>
        <v>2024</v>
      </c>
      <c r="F906" t="s">
        <v>100</v>
      </c>
      <c r="G906" t="str">
        <f>PROPER(SalesData[[#This Row],[Product Name]])</f>
        <v>Solar Led Lantern</v>
      </c>
      <c r="H906" t="s">
        <v>1012</v>
      </c>
      <c r="I906" t="str">
        <f>UPPER(SalesData[[#This Row],[Product Category]])</f>
        <v>LIGHTING</v>
      </c>
      <c r="J906">
        <v>1</v>
      </c>
      <c r="K906">
        <v>40</v>
      </c>
      <c r="L906" s="15">
        <f>IF(SalesData[[#This Row],[Unit Price]]="",
    AVERAGEIFS(SalesData[Unit Price],
               SalesData[Product Name],SalesData[[#This Row],[Product Name]]),
    SalesData[[#This Row],[Unit Price]])</f>
        <v>40</v>
      </c>
      <c r="M906" s="15">
        <v>10.130000000000001</v>
      </c>
      <c r="N906" s="15">
        <f>SalesData[[#This Row],[Quantity Sold]] * SalesData[[#This Row],[Cleaned Unit Price]]</f>
        <v>40</v>
      </c>
      <c r="O906" s="15">
        <f>SalesData[[#This Row],[Quantity Sold]] * SalesData[[#This Row],[Unit Cost]]</f>
        <v>10.130000000000001</v>
      </c>
      <c r="P906" s="15">
        <f>SalesData[[#This Row],[Revenue]] - SalesData[[#This Row],[Cost]]</f>
        <v>29.869999999999997</v>
      </c>
      <c r="Q906" s="13">
        <f>IF(SalesData[[#This Row],[Revenue]]=0,0,SalesData[[#This Row],[Profit]]/SalesData[[#This Row],[Revenue]])</f>
        <v>0.74674999999999991</v>
      </c>
      <c r="R906" t="s">
        <v>1084</v>
      </c>
      <c r="S906" t="s">
        <v>1283</v>
      </c>
      <c r="T906" t="str">
        <f>PROPER(SalesData[[#This Row],[Customer Name]])</f>
        <v>Lucas Brown</v>
      </c>
      <c r="U906" t="s">
        <v>1414</v>
      </c>
      <c r="V906" t="s">
        <v>1422</v>
      </c>
    </row>
    <row r="907" spans="1:22" x14ac:dyDescent="0.25">
      <c r="A907" t="s">
        <v>2333</v>
      </c>
      <c r="B907" s="5">
        <v>45622</v>
      </c>
      <c r="C907" s="2" t="str">
        <f>TEXT(SalesData[[#This Row],[Order Date]],"mmm")</f>
        <v>Nov</v>
      </c>
      <c r="D907" s="7">
        <f>MONTH(SalesData[[#This Row],[Order Date]])</f>
        <v>11</v>
      </c>
      <c r="E907" s="7">
        <f>YEAR(SalesData[[#This Row],[Order Date]])</f>
        <v>2024</v>
      </c>
      <c r="F907" t="s">
        <v>156</v>
      </c>
      <c r="G907" t="str">
        <f>PROPER(SalesData[[#This Row],[Product Name]])</f>
        <v>Reusable Bamboo Utensil Set</v>
      </c>
      <c r="H907" t="s">
        <v>1014</v>
      </c>
      <c r="I907" t="str">
        <f>UPPER(SalesData[[#This Row],[Product Category]])</f>
        <v>KITCHENWARE</v>
      </c>
      <c r="J907">
        <v>2</v>
      </c>
      <c r="K907">
        <v>15</v>
      </c>
      <c r="L907" s="15">
        <f>IF(SalesData[[#This Row],[Unit Price]]="",
    AVERAGEIFS(SalesData[Unit Price],
               SalesData[Product Name],SalesData[[#This Row],[Product Name]]),
    SalesData[[#This Row],[Unit Price]])</f>
        <v>15</v>
      </c>
      <c r="M907" s="15">
        <v>3.3</v>
      </c>
      <c r="N907" s="15">
        <f>SalesData[[#This Row],[Quantity Sold]] * SalesData[[#This Row],[Cleaned Unit Price]]</f>
        <v>30</v>
      </c>
      <c r="O907" s="15">
        <f>SalesData[[#This Row],[Quantity Sold]] * SalesData[[#This Row],[Unit Cost]]</f>
        <v>6.6</v>
      </c>
      <c r="P907" s="15">
        <f>SalesData[[#This Row],[Revenue]] - SalesData[[#This Row],[Cost]]</f>
        <v>23.4</v>
      </c>
      <c r="Q907" s="13">
        <f>IF(SalesData[[#This Row],[Revenue]]=0,0,SalesData[[#This Row],[Profit]]/SalesData[[#This Row],[Revenue]])</f>
        <v>0.77999999999999992</v>
      </c>
      <c r="R907" t="s">
        <v>1094</v>
      </c>
      <c r="S907" t="s">
        <v>1293</v>
      </c>
      <c r="T907" t="str">
        <f>PROPER(SalesData[[#This Row],[Customer Name]])</f>
        <v>Sophia Davis</v>
      </c>
      <c r="U907" t="s">
        <v>1416</v>
      </c>
      <c r="V907" t="s">
        <v>1424</v>
      </c>
    </row>
    <row r="908" spans="1:22" x14ac:dyDescent="0.25">
      <c r="A908" t="s">
        <v>2334</v>
      </c>
      <c r="B908" s="5">
        <v>45622</v>
      </c>
      <c r="C908" s="2" t="str">
        <f>TEXT(SalesData[[#This Row],[Order Date]],"mmm")</f>
        <v>Nov</v>
      </c>
      <c r="D908" s="7">
        <f>MONTH(SalesData[[#This Row],[Order Date]])</f>
        <v>11</v>
      </c>
      <c r="E908" s="7">
        <f>YEAR(SalesData[[#This Row],[Order Date]])</f>
        <v>2024</v>
      </c>
      <c r="F908" t="s">
        <v>160</v>
      </c>
      <c r="G908" t="str">
        <f>PROPER(SalesData[[#This Row],[Product Name]])</f>
        <v>Reusable Bamboo Utensil Set</v>
      </c>
      <c r="H908" t="s">
        <v>1014</v>
      </c>
      <c r="I908" t="str">
        <f>UPPER(SalesData[[#This Row],[Product Category]])</f>
        <v>KITCHENWARE</v>
      </c>
      <c r="J908">
        <v>6</v>
      </c>
      <c r="K908">
        <v>15</v>
      </c>
      <c r="L908" s="15">
        <f>IF(SalesData[[#This Row],[Unit Price]]="",
    AVERAGEIFS(SalesData[Unit Price],
               SalesData[Product Name],SalesData[[#This Row],[Product Name]]),
    SalesData[[#This Row],[Unit Price]])</f>
        <v>15</v>
      </c>
      <c r="M908" s="15">
        <v>5.45</v>
      </c>
      <c r="N908" s="15">
        <f>SalesData[[#This Row],[Quantity Sold]] * SalesData[[#This Row],[Cleaned Unit Price]]</f>
        <v>90</v>
      </c>
      <c r="O908" s="15">
        <f>SalesData[[#This Row],[Quantity Sold]] * SalesData[[#This Row],[Unit Cost]]</f>
        <v>32.700000000000003</v>
      </c>
      <c r="P908" s="15">
        <f>SalesData[[#This Row],[Revenue]] - SalesData[[#This Row],[Cost]]</f>
        <v>57.3</v>
      </c>
      <c r="Q908" s="13">
        <f>IF(SalesData[[#This Row],[Revenue]]=0,0,SalesData[[#This Row],[Profit]]/SalesData[[#This Row],[Revenue]])</f>
        <v>0.6366666666666666</v>
      </c>
      <c r="R908" t="s">
        <v>1111</v>
      </c>
      <c r="S908" t="s">
        <v>1310</v>
      </c>
      <c r="T908" t="str">
        <f>PROPER(SalesData[[#This Row],[Customer Name]])</f>
        <v>Charlotte Garcia</v>
      </c>
      <c r="U908" t="s">
        <v>1416</v>
      </c>
      <c r="V908" t="s">
        <v>1419</v>
      </c>
    </row>
    <row r="909" spans="1:22" x14ac:dyDescent="0.25">
      <c r="A909" t="s">
        <v>2335</v>
      </c>
      <c r="B909" s="5">
        <v>45622</v>
      </c>
      <c r="C909" s="2" t="str">
        <f>TEXT(SalesData[[#This Row],[Order Date]],"mmm")</f>
        <v>Nov</v>
      </c>
      <c r="D909" s="7">
        <f>MONTH(SalesData[[#This Row],[Order Date]])</f>
        <v>11</v>
      </c>
      <c r="E909" s="7">
        <f>YEAR(SalesData[[#This Row],[Order Date]])</f>
        <v>2024</v>
      </c>
      <c r="F909" t="s">
        <v>325</v>
      </c>
      <c r="G909" t="str">
        <f>PROPER(SalesData[[#This Row],[Product Name]])</f>
        <v>Solar Led Lantern</v>
      </c>
      <c r="H909" t="s">
        <v>1012</v>
      </c>
      <c r="I909" t="str">
        <f>UPPER(SalesData[[#This Row],[Product Category]])</f>
        <v>LIGHTING</v>
      </c>
      <c r="J909">
        <v>2</v>
      </c>
      <c r="K909">
        <v>40</v>
      </c>
      <c r="L909" s="15">
        <f>IF(SalesData[[#This Row],[Unit Price]]="",
    AVERAGEIFS(SalesData[Unit Price],
               SalesData[Product Name],SalesData[[#This Row],[Product Name]]),
    SalesData[[#This Row],[Unit Price]])</f>
        <v>40</v>
      </c>
      <c r="M909" s="15">
        <v>12.19</v>
      </c>
      <c r="N909" s="15">
        <f>SalesData[[#This Row],[Quantity Sold]] * SalesData[[#This Row],[Cleaned Unit Price]]</f>
        <v>80</v>
      </c>
      <c r="O909" s="15">
        <f>SalesData[[#This Row],[Quantity Sold]] * SalesData[[#This Row],[Unit Cost]]</f>
        <v>24.38</v>
      </c>
      <c r="P909" s="15">
        <f>SalesData[[#This Row],[Revenue]] - SalesData[[#This Row],[Cost]]</f>
        <v>55.620000000000005</v>
      </c>
      <c r="Q909" s="13">
        <f>IF(SalesData[[#This Row],[Revenue]]=0,0,SalesData[[#This Row],[Profit]]/SalesData[[#This Row],[Revenue]])</f>
        <v>0.69525000000000003</v>
      </c>
      <c r="R909" t="s">
        <v>1065</v>
      </c>
      <c r="S909" t="s">
        <v>1264</v>
      </c>
      <c r="T909" t="str">
        <f>PROPER(SalesData[[#This Row],[Customer Name]])</f>
        <v>Elijah Jones</v>
      </c>
      <c r="U909" t="s">
        <v>1414</v>
      </c>
      <c r="V909" t="s">
        <v>1426</v>
      </c>
    </row>
    <row r="910" spans="1:22" x14ac:dyDescent="0.25">
      <c r="A910" t="s">
        <v>2336</v>
      </c>
      <c r="B910" s="5">
        <v>45622</v>
      </c>
      <c r="C910" s="2" t="str">
        <f>TEXT(SalesData[[#This Row],[Order Date]],"mmm")</f>
        <v>Nov</v>
      </c>
      <c r="D910" s="7">
        <f>MONTH(SalesData[[#This Row],[Order Date]])</f>
        <v>11</v>
      </c>
      <c r="E910" s="7">
        <f>YEAR(SalesData[[#This Row],[Order Date]])</f>
        <v>2024</v>
      </c>
      <c r="F910" t="s">
        <v>366</v>
      </c>
      <c r="G910" t="str">
        <f>PROPER(SalesData[[#This Row],[Product Name]])</f>
        <v>Eco Canvas Tote Bag</v>
      </c>
      <c r="H910" t="s">
        <v>1013</v>
      </c>
      <c r="I910" t="str">
        <f>UPPER(SalesData[[#This Row],[Product Category]])</f>
        <v>BAGS</v>
      </c>
      <c r="J910">
        <v>2</v>
      </c>
      <c r="K910">
        <v>25</v>
      </c>
      <c r="L910" s="15">
        <f>IF(SalesData[[#This Row],[Unit Price]]="",
    AVERAGEIFS(SalesData[Unit Price],
               SalesData[Product Name],SalesData[[#This Row],[Product Name]]),
    SalesData[[#This Row],[Unit Price]])</f>
        <v>25</v>
      </c>
      <c r="M910" s="15">
        <v>6.17</v>
      </c>
      <c r="N910" s="15">
        <f>SalesData[[#This Row],[Quantity Sold]] * SalesData[[#This Row],[Cleaned Unit Price]]</f>
        <v>50</v>
      </c>
      <c r="O910" s="15">
        <f>SalesData[[#This Row],[Quantity Sold]] * SalesData[[#This Row],[Unit Cost]]</f>
        <v>12.34</v>
      </c>
      <c r="P910" s="15">
        <f>SalesData[[#This Row],[Revenue]] - SalesData[[#This Row],[Cost]]</f>
        <v>37.659999999999997</v>
      </c>
      <c r="Q910" s="13">
        <f>IF(SalesData[[#This Row],[Revenue]]=0,0,SalesData[[#This Row],[Profit]]/SalesData[[#This Row],[Revenue]])</f>
        <v>0.75319999999999998</v>
      </c>
      <c r="R910" t="s">
        <v>1159</v>
      </c>
      <c r="S910" t="s">
        <v>1358</v>
      </c>
      <c r="T910" t="str">
        <f>PROPER(SalesData[[#This Row],[Customer Name]])</f>
        <v>Sophia Rodriguez</v>
      </c>
      <c r="U910" t="s">
        <v>1414</v>
      </c>
      <c r="V910" t="s">
        <v>1425</v>
      </c>
    </row>
    <row r="911" spans="1:22" x14ac:dyDescent="0.25">
      <c r="A911" t="s">
        <v>2337</v>
      </c>
      <c r="B911" s="5">
        <v>45622</v>
      </c>
      <c r="C911" s="2" t="str">
        <f>TEXT(SalesData[[#This Row],[Order Date]],"mmm")</f>
        <v>Nov</v>
      </c>
      <c r="D911" s="7">
        <f>MONTH(SalesData[[#This Row],[Order Date]])</f>
        <v>11</v>
      </c>
      <c r="E911" s="7">
        <f>YEAR(SalesData[[#This Row],[Order Date]])</f>
        <v>2024</v>
      </c>
      <c r="F911" t="s">
        <v>764</v>
      </c>
      <c r="G911" t="str">
        <f>PROPER(SalesData[[#This Row],[Product Name]])</f>
        <v>Eco Canvas Tote Bag</v>
      </c>
      <c r="H911" t="s">
        <v>1013</v>
      </c>
      <c r="I911" t="str">
        <f>UPPER(SalesData[[#This Row],[Product Category]])</f>
        <v>BAGS</v>
      </c>
      <c r="J911">
        <v>9</v>
      </c>
      <c r="K911">
        <v>25</v>
      </c>
      <c r="L911" s="15">
        <f>IF(SalesData[[#This Row],[Unit Price]]="",
    AVERAGEIFS(SalesData[Unit Price],
               SalesData[Product Name],SalesData[[#This Row],[Product Name]]),
    SalesData[[#This Row],[Unit Price]])</f>
        <v>25</v>
      </c>
      <c r="M911" s="15">
        <v>6.35</v>
      </c>
      <c r="N911" s="15">
        <f>SalesData[[#This Row],[Quantity Sold]] * SalesData[[#This Row],[Cleaned Unit Price]]</f>
        <v>225</v>
      </c>
      <c r="O911" s="15">
        <f>SalesData[[#This Row],[Quantity Sold]] * SalesData[[#This Row],[Unit Cost]]</f>
        <v>57.15</v>
      </c>
      <c r="P911" s="15">
        <f>SalesData[[#This Row],[Revenue]] - SalesData[[#This Row],[Cost]]</f>
        <v>167.85</v>
      </c>
      <c r="Q911" s="13">
        <f>IF(SalesData[[#This Row],[Revenue]]=0,0,SalesData[[#This Row],[Profit]]/SalesData[[#This Row],[Revenue]])</f>
        <v>0.746</v>
      </c>
      <c r="R911" t="s">
        <v>1205</v>
      </c>
      <c r="S911" t="s">
        <v>1404</v>
      </c>
      <c r="T911" t="str">
        <f>PROPER(SalesData[[#This Row],[Customer Name]])</f>
        <v>Logan Miller</v>
      </c>
      <c r="U911" t="s">
        <v>1417</v>
      </c>
      <c r="V911" t="s">
        <v>1427</v>
      </c>
    </row>
    <row r="912" spans="1:22" x14ac:dyDescent="0.25">
      <c r="A912" t="s">
        <v>2338</v>
      </c>
      <c r="B912" s="5">
        <v>45623</v>
      </c>
      <c r="C912" s="2" t="str">
        <f>TEXT(SalesData[[#This Row],[Order Date]],"mmm")</f>
        <v>Nov</v>
      </c>
      <c r="D912" s="7">
        <f>MONTH(SalesData[[#This Row],[Order Date]])</f>
        <v>11</v>
      </c>
      <c r="E912" s="7">
        <f>YEAR(SalesData[[#This Row],[Order Date]])</f>
        <v>2024</v>
      </c>
      <c r="F912" t="s">
        <v>241</v>
      </c>
      <c r="G912" t="str">
        <f>PROPER(SalesData[[#This Row],[Product Name]])</f>
        <v>Reusable Bamboo Utensil Set</v>
      </c>
      <c r="H912" t="s">
        <v>1014</v>
      </c>
      <c r="I912" t="str">
        <f>UPPER(SalesData[[#This Row],[Product Category]])</f>
        <v>KITCHENWARE</v>
      </c>
      <c r="J912">
        <v>2</v>
      </c>
      <c r="L912" s="15">
        <f>IF(SalesData[[#This Row],[Unit Price]]="",
    AVERAGEIFS(SalesData[Unit Price],
               SalesData[Product Name],SalesData[[#This Row],[Product Name]]),
    SalesData[[#This Row],[Unit Price]])</f>
        <v>15</v>
      </c>
      <c r="M912" s="15">
        <v>4.1500000000000004</v>
      </c>
      <c r="N912" s="15">
        <f>SalesData[[#This Row],[Quantity Sold]] * SalesData[[#This Row],[Cleaned Unit Price]]</f>
        <v>30</v>
      </c>
      <c r="O912" s="15">
        <f>SalesData[[#This Row],[Quantity Sold]] * SalesData[[#This Row],[Unit Cost]]</f>
        <v>8.3000000000000007</v>
      </c>
      <c r="P912" s="15">
        <f>SalesData[[#This Row],[Revenue]] - SalesData[[#This Row],[Cost]]</f>
        <v>21.7</v>
      </c>
      <c r="Q912" s="13">
        <f>IF(SalesData[[#This Row],[Revenue]]=0,0,SalesData[[#This Row],[Profit]]/SalesData[[#This Row],[Revenue]])</f>
        <v>0.72333333333333327</v>
      </c>
      <c r="R912" t="s">
        <v>1152</v>
      </c>
      <c r="S912" t="s">
        <v>1351</v>
      </c>
      <c r="T912" t="str">
        <f>PROPER(SalesData[[#This Row],[Customer Name]])</f>
        <v>Amelia Johnson</v>
      </c>
      <c r="U912" t="s">
        <v>1416</v>
      </c>
      <c r="V912" t="s">
        <v>1419</v>
      </c>
    </row>
    <row r="913" spans="1:22" x14ac:dyDescent="0.25">
      <c r="A913" t="s">
        <v>2339</v>
      </c>
      <c r="B913" s="5">
        <v>45623</v>
      </c>
      <c r="C913" s="2" t="str">
        <f>TEXT(SalesData[[#This Row],[Order Date]],"mmm")</f>
        <v>Nov</v>
      </c>
      <c r="D913" s="7">
        <f>MONTH(SalesData[[#This Row],[Order Date]])</f>
        <v>11</v>
      </c>
      <c r="E913" s="7">
        <f>YEAR(SalesData[[#This Row],[Order Date]])</f>
        <v>2024</v>
      </c>
      <c r="F913" t="s">
        <v>401</v>
      </c>
      <c r="G913" t="str">
        <f>PROPER(SalesData[[#This Row],[Product Name]])</f>
        <v>Eco Canvas Tote Bag</v>
      </c>
      <c r="H913" t="s">
        <v>1013</v>
      </c>
      <c r="I913" t="str">
        <f>UPPER(SalesData[[#This Row],[Product Category]])</f>
        <v>BAGS</v>
      </c>
      <c r="J913">
        <v>3</v>
      </c>
      <c r="K913">
        <v>25</v>
      </c>
      <c r="L913" s="15">
        <f>IF(SalesData[[#This Row],[Unit Price]]="",
    AVERAGEIFS(SalesData[Unit Price],
               SalesData[Product Name],SalesData[[#This Row],[Product Name]]),
    SalesData[[#This Row],[Unit Price]])</f>
        <v>25</v>
      </c>
      <c r="M913" s="15">
        <v>9.27</v>
      </c>
      <c r="N913" s="15">
        <f>SalesData[[#This Row],[Quantity Sold]] * SalesData[[#This Row],[Cleaned Unit Price]]</f>
        <v>75</v>
      </c>
      <c r="O913" s="15">
        <f>SalesData[[#This Row],[Quantity Sold]] * SalesData[[#This Row],[Unit Cost]]</f>
        <v>27.81</v>
      </c>
      <c r="P913" s="15">
        <f>SalesData[[#This Row],[Revenue]] - SalesData[[#This Row],[Cost]]</f>
        <v>47.19</v>
      </c>
      <c r="Q913" s="13">
        <f>IF(SalesData[[#This Row],[Revenue]]=0,0,SalesData[[#This Row],[Profit]]/SalesData[[#This Row],[Revenue]])</f>
        <v>0.62919999999999998</v>
      </c>
      <c r="R913" t="s">
        <v>1073</v>
      </c>
      <c r="S913" t="s">
        <v>1272</v>
      </c>
      <c r="T913" t="str">
        <f>PROPER(SalesData[[#This Row],[Customer Name]])</f>
        <v>Noah Smith</v>
      </c>
      <c r="U913" t="s">
        <v>1417</v>
      </c>
      <c r="V913" t="s">
        <v>1423</v>
      </c>
    </row>
    <row r="914" spans="1:22" x14ac:dyDescent="0.25">
      <c r="A914" t="s">
        <v>2340</v>
      </c>
      <c r="B914" s="5">
        <v>45623</v>
      </c>
      <c r="C914" s="2" t="str">
        <f>TEXT(SalesData[[#This Row],[Order Date]],"mmm")</f>
        <v>Nov</v>
      </c>
      <c r="D914" s="7">
        <f>MONTH(SalesData[[#This Row],[Order Date]])</f>
        <v>11</v>
      </c>
      <c r="E914" s="7">
        <f>YEAR(SalesData[[#This Row],[Order Date]])</f>
        <v>2024</v>
      </c>
      <c r="F914" t="s">
        <v>408</v>
      </c>
      <c r="G914" t="str">
        <f>PROPER(SalesData[[#This Row],[Product Name]])</f>
        <v>Compostable Plant Pots</v>
      </c>
      <c r="H914" t="s">
        <v>1011</v>
      </c>
      <c r="I914" t="str">
        <f>UPPER(SalesData[[#This Row],[Product Category]])</f>
        <v>GARDENING</v>
      </c>
      <c r="J914">
        <v>4</v>
      </c>
      <c r="K914">
        <v>12</v>
      </c>
      <c r="L914" s="15">
        <f>IF(SalesData[[#This Row],[Unit Price]]="",
    AVERAGEIFS(SalesData[Unit Price],
               SalesData[Product Name],SalesData[[#This Row],[Product Name]]),
    SalesData[[#This Row],[Unit Price]])</f>
        <v>12</v>
      </c>
      <c r="M914" s="15">
        <v>4.3899999999999997</v>
      </c>
      <c r="N914" s="15">
        <f>SalesData[[#This Row],[Quantity Sold]] * SalesData[[#This Row],[Cleaned Unit Price]]</f>
        <v>48</v>
      </c>
      <c r="O914" s="15">
        <f>SalesData[[#This Row],[Quantity Sold]] * SalesData[[#This Row],[Unit Cost]]</f>
        <v>17.559999999999999</v>
      </c>
      <c r="P914" s="15">
        <f>SalesData[[#This Row],[Revenue]] - SalesData[[#This Row],[Cost]]</f>
        <v>30.44</v>
      </c>
      <c r="Q914" s="13">
        <f>IF(SalesData[[#This Row],[Revenue]]=0,0,SalesData[[#This Row],[Profit]]/SalesData[[#This Row],[Revenue]])</f>
        <v>0.63416666666666666</v>
      </c>
      <c r="R914" t="s">
        <v>1102</v>
      </c>
      <c r="S914" t="s">
        <v>1301</v>
      </c>
      <c r="T914" t="str">
        <f>PROPER(SalesData[[#This Row],[Customer Name]])</f>
        <v>Aiden Garcia</v>
      </c>
      <c r="U914" t="s">
        <v>1414</v>
      </c>
      <c r="V914" t="s">
        <v>1421</v>
      </c>
    </row>
    <row r="915" spans="1:22" x14ac:dyDescent="0.25">
      <c r="A915" t="s">
        <v>2341</v>
      </c>
      <c r="B915" s="5">
        <v>45623</v>
      </c>
      <c r="C915" s="2" t="str">
        <f>TEXT(SalesData[[#This Row],[Order Date]],"mmm")</f>
        <v>Nov</v>
      </c>
      <c r="D915" s="7">
        <f>MONTH(SalesData[[#This Row],[Order Date]])</f>
        <v>11</v>
      </c>
      <c r="E915" s="7">
        <f>YEAR(SalesData[[#This Row],[Order Date]])</f>
        <v>2024</v>
      </c>
      <c r="F915" t="s">
        <v>668</v>
      </c>
      <c r="G915" t="str">
        <f>PROPER(SalesData[[#This Row],[Product Name]])</f>
        <v>Eco Canvas Tote Bag</v>
      </c>
      <c r="H915" t="s">
        <v>1013</v>
      </c>
      <c r="I915" t="str">
        <f>UPPER(SalesData[[#This Row],[Product Category]])</f>
        <v>BAGS</v>
      </c>
      <c r="J915">
        <v>10</v>
      </c>
      <c r="K915">
        <v>25</v>
      </c>
      <c r="L915" s="15">
        <f>IF(SalesData[[#This Row],[Unit Price]]="",
    AVERAGEIFS(SalesData[Unit Price],
               SalesData[Product Name],SalesData[[#This Row],[Product Name]]),
    SalesData[[#This Row],[Unit Price]])</f>
        <v>25</v>
      </c>
      <c r="M915" s="15">
        <v>9.83</v>
      </c>
      <c r="N915" s="15">
        <f>SalesData[[#This Row],[Quantity Sold]] * SalesData[[#This Row],[Cleaned Unit Price]]</f>
        <v>250</v>
      </c>
      <c r="O915" s="15">
        <f>SalesData[[#This Row],[Quantity Sold]] * SalesData[[#This Row],[Unit Cost]]</f>
        <v>98.3</v>
      </c>
      <c r="P915" s="15">
        <f>SalesData[[#This Row],[Revenue]] - SalesData[[#This Row],[Cost]]</f>
        <v>151.69999999999999</v>
      </c>
      <c r="Q915" s="13">
        <f>IF(SalesData[[#This Row],[Revenue]]=0,0,SalesData[[#This Row],[Profit]]/SalesData[[#This Row],[Revenue]])</f>
        <v>0.60680000000000001</v>
      </c>
      <c r="R915" t="s">
        <v>1108</v>
      </c>
      <c r="S915" t="s">
        <v>1307</v>
      </c>
      <c r="T915" t="str">
        <f>PROPER(SalesData[[#This Row],[Customer Name]])</f>
        <v>Aiden Rodriguez</v>
      </c>
      <c r="U915" t="s">
        <v>1416</v>
      </c>
      <c r="V915" t="s">
        <v>1423</v>
      </c>
    </row>
    <row r="916" spans="1:22" x14ac:dyDescent="0.25">
      <c r="A916" t="s">
        <v>2342</v>
      </c>
      <c r="B916" s="5">
        <v>45623</v>
      </c>
      <c r="C916" s="2" t="str">
        <f>TEXT(SalesData[[#This Row],[Order Date]],"mmm")</f>
        <v>Nov</v>
      </c>
      <c r="D916" s="7">
        <f>MONTH(SalesData[[#This Row],[Order Date]])</f>
        <v>11</v>
      </c>
      <c r="E916" s="7">
        <f>YEAR(SalesData[[#This Row],[Order Date]])</f>
        <v>2024</v>
      </c>
      <c r="F916" t="s">
        <v>807</v>
      </c>
      <c r="G916" t="str">
        <f>PROPER(SalesData[[#This Row],[Product Name]])</f>
        <v>Compostable Plant Pots</v>
      </c>
      <c r="H916" t="s">
        <v>1011</v>
      </c>
      <c r="I916" t="str">
        <f>UPPER(SalesData[[#This Row],[Product Category]])</f>
        <v>GARDENING</v>
      </c>
      <c r="J916">
        <v>2</v>
      </c>
      <c r="K916">
        <v>12</v>
      </c>
      <c r="L916" s="15">
        <f>IF(SalesData[[#This Row],[Unit Price]]="",
    AVERAGEIFS(SalesData[Unit Price],
               SalesData[Product Name],SalesData[[#This Row],[Product Name]]),
    SalesData[[#This Row],[Unit Price]])</f>
        <v>12</v>
      </c>
      <c r="M916" s="15">
        <v>3.46</v>
      </c>
      <c r="N916" s="15">
        <f>SalesData[[#This Row],[Quantity Sold]] * SalesData[[#This Row],[Cleaned Unit Price]]</f>
        <v>24</v>
      </c>
      <c r="O916" s="15">
        <f>SalesData[[#This Row],[Quantity Sold]] * SalesData[[#This Row],[Unit Cost]]</f>
        <v>6.92</v>
      </c>
      <c r="P916" s="15">
        <f>SalesData[[#This Row],[Revenue]] - SalesData[[#This Row],[Cost]]</f>
        <v>17.079999999999998</v>
      </c>
      <c r="Q916" s="13">
        <f>IF(SalesData[[#This Row],[Revenue]]=0,0,SalesData[[#This Row],[Profit]]/SalesData[[#This Row],[Revenue]])</f>
        <v>0.71166666666666656</v>
      </c>
      <c r="R916" t="s">
        <v>1070</v>
      </c>
      <c r="S916" t="s">
        <v>1269</v>
      </c>
      <c r="T916" t="str">
        <f>PROPER(SalesData[[#This Row],[Customer Name]])</f>
        <v>Amelia Garcia</v>
      </c>
      <c r="U916" t="s">
        <v>1416</v>
      </c>
      <c r="V916" t="s">
        <v>1422</v>
      </c>
    </row>
    <row r="917" spans="1:22" x14ac:dyDescent="0.25">
      <c r="A917" t="s">
        <v>2343</v>
      </c>
      <c r="B917" s="5">
        <v>45624</v>
      </c>
      <c r="C917" s="2" t="str">
        <f>TEXT(SalesData[[#This Row],[Order Date]],"mmm")</f>
        <v>Nov</v>
      </c>
      <c r="D917" s="7">
        <f>MONTH(SalesData[[#This Row],[Order Date]])</f>
        <v>11</v>
      </c>
      <c r="E917" s="7">
        <f>YEAR(SalesData[[#This Row],[Order Date]])</f>
        <v>2024</v>
      </c>
      <c r="F917" t="s">
        <v>198</v>
      </c>
      <c r="G917" t="str">
        <f>PROPER(SalesData[[#This Row],[Product Name]])</f>
        <v>Eco Canvas Tote Bag</v>
      </c>
      <c r="H917" t="s">
        <v>1013</v>
      </c>
      <c r="I917" t="str">
        <f>UPPER(SalesData[[#This Row],[Product Category]])</f>
        <v>BAGS</v>
      </c>
      <c r="J917">
        <v>2</v>
      </c>
      <c r="K917">
        <v>25</v>
      </c>
      <c r="L917" s="15">
        <f>IF(SalesData[[#This Row],[Unit Price]]="",
    AVERAGEIFS(SalesData[Unit Price],
               SalesData[Product Name],SalesData[[#This Row],[Product Name]]),
    SalesData[[#This Row],[Unit Price]])</f>
        <v>25</v>
      </c>
      <c r="M917" s="15">
        <v>7.66</v>
      </c>
      <c r="N917" s="15">
        <f>SalesData[[#This Row],[Quantity Sold]] * SalesData[[#This Row],[Cleaned Unit Price]]</f>
        <v>50</v>
      </c>
      <c r="O917" s="15">
        <f>SalesData[[#This Row],[Quantity Sold]] * SalesData[[#This Row],[Unit Cost]]</f>
        <v>15.32</v>
      </c>
      <c r="P917" s="15">
        <f>SalesData[[#This Row],[Revenue]] - SalesData[[#This Row],[Cost]]</f>
        <v>34.68</v>
      </c>
      <c r="Q917" s="13">
        <f>IF(SalesData[[#This Row],[Revenue]]=0,0,SalesData[[#This Row],[Profit]]/SalesData[[#This Row],[Revenue]])</f>
        <v>0.69359999999999999</v>
      </c>
      <c r="R917" t="s">
        <v>1139</v>
      </c>
      <c r="S917" t="s">
        <v>1338</v>
      </c>
      <c r="T917" t="str">
        <f>PROPER(SalesData[[#This Row],[Customer Name]])</f>
        <v>Oliver Miller</v>
      </c>
      <c r="U917" t="s">
        <v>1414</v>
      </c>
      <c r="V917" t="s">
        <v>1423</v>
      </c>
    </row>
    <row r="918" spans="1:22" x14ac:dyDescent="0.25">
      <c r="A918" t="s">
        <v>2344</v>
      </c>
      <c r="B918" s="5">
        <v>45625</v>
      </c>
      <c r="C918" s="2" t="str">
        <f>TEXT(SalesData[[#This Row],[Order Date]],"mmm")</f>
        <v>Nov</v>
      </c>
      <c r="D918" s="7">
        <f>MONTH(SalesData[[#This Row],[Order Date]])</f>
        <v>11</v>
      </c>
      <c r="E918" s="7">
        <f>YEAR(SalesData[[#This Row],[Order Date]])</f>
        <v>2024</v>
      </c>
      <c r="F918" t="s">
        <v>458</v>
      </c>
      <c r="G918" t="str">
        <f>PROPER(SalesData[[#This Row],[Product Name]])</f>
        <v>Biodegradable Cleaning Cloth</v>
      </c>
      <c r="H918" t="s">
        <v>1015</v>
      </c>
      <c r="I918" t="str">
        <f>UPPER(SalesData[[#This Row],[Product Category]])</f>
        <v>CLEANING</v>
      </c>
      <c r="J918">
        <v>10</v>
      </c>
      <c r="K918">
        <v>10</v>
      </c>
      <c r="L918" s="15">
        <f>IF(SalesData[[#This Row],[Unit Price]]="",
    AVERAGEIFS(SalesData[Unit Price],
               SalesData[Product Name],SalesData[[#This Row],[Product Name]]),
    SalesData[[#This Row],[Unit Price]])</f>
        <v>10</v>
      </c>
      <c r="M918" s="15">
        <v>2.0299999999999998</v>
      </c>
      <c r="N918" s="15">
        <f>SalesData[[#This Row],[Quantity Sold]] * SalesData[[#This Row],[Cleaned Unit Price]]</f>
        <v>100</v>
      </c>
      <c r="O918" s="15">
        <f>SalesData[[#This Row],[Quantity Sold]] * SalesData[[#This Row],[Unit Cost]]</f>
        <v>20.299999999999997</v>
      </c>
      <c r="P918" s="15">
        <f>SalesData[[#This Row],[Revenue]] - SalesData[[#This Row],[Cost]]</f>
        <v>79.7</v>
      </c>
      <c r="Q918" s="13">
        <f>IF(SalesData[[#This Row],[Revenue]]=0,0,SalesData[[#This Row],[Profit]]/SalesData[[#This Row],[Revenue]])</f>
        <v>0.79700000000000004</v>
      </c>
      <c r="R918" t="s">
        <v>1057</v>
      </c>
      <c r="S918" t="s">
        <v>1256</v>
      </c>
      <c r="T918" t="str">
        <f>PROPER(SalesData[[#This Row],[Customer Name]])</f>
        <v>Isabella Garcia</v>
      </c>
      <c r="U918" t="s">
        <v>1416</v>
      </c>
      <c r="V918" t="s">
        <v>1426</v>
      </c>
    </row>
    <row r="919" spans="1:22" x14ac:dyDescent="0.25">
      <c r="A919" t="s">
        <v>2345</v>
      </c>
      <c r="B919" s="5">
        <v>45625</v>
      </c>
      <c r="C919" s="2" t="str">
        <f>TEXT(SalesData[[#This Row],[Order Date]],"mmm")</f>
        <v>Nov</v>
      </c>
      <c r="D919" s="7">
        <f>MONTH(SalesData[[#This Row],[Order Date]])</f>
        <v>11</v>
      </c>
      <c r="E919" s="7">
        <f>YEAR(SalesData[[#This Row],[Order Date]])</f>
        <v>2024</v>
      </c>
      <c r="F919" t="s">
        <v>564</v>
      </c>
      <c r="G919" t="str">
        <f>PROPER(SalesData[[#This Row],[Product Name]])</f>
        <v>Biodegradable Cleaning Cloth</v>
      </c>
      <c r="H919" t="s">
        <v>1015</v>
      </c>
      <c r="I919" t="str">
        <f>UPPER(SalesData[[#This Row],[Product Category]])</f>
        <v>CLEANING</v>
      </c>
      <c r="J919">
        <v>10</v>
      </c>
      <c r="K919">
        <v>10</v>
      </c>
      <c r="L919" s="15">
        <f>IF(SalesData[[#This Row],[Unit Price]]="",
    AVERAGEIFS(SalesData[Unit Price],
               SalesData[Product Name],SalesData[[#This Row],[Product Name]]),
    SalesData[[#This Row],[Unit Price]])</f>
        <v>10</v>
      </c>
      <c r="M919" s="15">
        <v>3.83</v>
      </c>
      <c r="N919" s="15">
        <f>SalesData[[#This Row],[Quantity Sold]] * SalesData[[#This Row],[Cleaned Unit Price]]</f>
        <v>100</v>
      </c>
      <c r="O919" s="15">
        <f>SalesData[[#This Row],[Quantity Sold]] * SalesData[[#This Row],[Unit Cost]]</f>
        <v>38.299999999999997</v>
      </c>
      <c r="P919" s="15">
        <f>SalesData[[#This Row],[Revenue]] - SalesData[[#This Row],[Cost]]</f>
        <v>61.7</v>
      </c>
      <c r="Q919" s="13">
        <f>IF(SalesData[[#This Row],[Revenue]]=0,0,SalesData[[#This Row],[Profit]]/SalesData[[#This Row],[Revenue]])</f>
        <v>0.61699999999999999</v>
      </c>
      <c r="R919" t="s">
        <v>1153</v>
      </c>
      <c r="S919" t="s">
        <v>1352</v>
      </c>
      <c r="T919" t="str">
        <f>PROPER(SalesData[[#This Row],[Customer Name]])</f>
        <v>Logan Johnson</v>
      </c>
      <c r="U919" t="s">
        <v>1417</v>
      </c>
      <c r="V919" t="s">
        <v>1423</v>
      </c>
    </row>
    <row r="920" spans="1:22" x14ac:dyDescent="0.25">
      <c r="A920" t="s">
        <v>2346</v>
      </c>
      <c r="B920" s="5">
        <v>45625</v>
      </c>
      <c r="C920" s="2" t="str">
        <f>TEXT(SalesData[[#This Row],[Order Date]],"mmm")</f>
        <v>Nov</v>
      </c>
      <c r="D920" s="7">
        <f>MONTH(SalesData[[#This Row],[Order Date]])</f>
        <v>11</v>
      </c>
      <c r="E920" s="7">
        <f>YEAR(SalesData[[#This Row],[Order Date]])</f>
        <v>2024</v>
      </c>
      <c r="F920" t="s">
        <v>655</v>
      </c>
      <c r="G920" t="str">
        <f>PROPER(SalesData[[#This Row],[Product Name]])</f>
        <v>Eco Canvas Tote Bag</v>
      </c>
      <c r="H920" t="s">
        <v>1013</v>
      </c>
      <c r="I920" t="str">
        <f>UPPER(SalesData[[#This Row],[Product Category]])</f>
        <v>BAGS</v>
      </c>
      <c r="J920">
        <v>2</v>
      </c>
      <c r="K920">
        <v>25</v>
      </c>
      <c r="L920" s="15">
        <f>IF(SalesData[[#This Row],[Unit Price]]="",
    AVERAGEIFS(SalesData[Unit Price],
               SalesData[Product Name],SalesData[[#This Row],[Product Name]]),
    SalesData[[#This Row],[Unit Price]])</f>
        <v>25</v>
      </c>
      <c r="M920" s="15">
        <v>7.63</v>
      </c>
      <c r="N920" s="15">
        <f>SalesData[[#This Row],[Quantity Sold]] * SalesData[[#This Row],[Cleaned Unit Price]]</f>
        <v>50</v>
      </c>
      <c r="O920" s="15">
        <f>SalesData[[#This Row],[Quantity Sold]] * SalesData[[#This Row],[Unit Cost]]</f>
        <v>15.26</v>
      </c>
      <c r="P920" s="15">
        <f>SalesData[[#This Row],[Revenue]] - SalesData[[#This Row],[Cost]]</f>
        <v>34.74</v>
      </c>
      <c r="Q920" s="13">
        <f>IF(SalesData[[#This Row],[Revenue]]=0,0,SalesData[[#This Row],[Profit]]/SalesData[[#This Row],[Revenue]])</f>
        <v>0.69480000000000008</v>
      </c>
      <c r="R920" t="s">
        <v>1133</v>
      </c>
      <c r="S920" t="s">
        <v>1332</v>
      </c>
      <c r="T920" t="str">
        <f>PROPER(SalesData[[#This Row],[Customer Name]])</f>
        <v>Charlotte Garcia</v>
      </c>
      <c r="U920" t="s">
        <v>1415</v>
      </c>
      <c r="V920" t="s">
        <v>1426</v>
      </c>
    </row>
    <row r="921" spans="1:22" x14ac:dyDescent="0.25">
      <c r="A921" t="s">
        <v>2347</v>
      </c>
      <c r="B921" s="5">
        <v>45625</v>
      </c>
      <c r="C921" s="2" t="str">
        <f>TEXT(SalesData[[#This Row],[Order Date]],"mmm")</f>
        <v>Nov</v>
      </c>
      <c r="D921" s="7">
        <f>MONTH(SalesData[[#This Row],[Order Date]])</f>
        <v>11</v>
      </c>
      <c r="E921" s="7">
        <f>YEAR(SalesData[[#This Row],[Order Date]])</f>
        <v>2024</v>
      </c>
      <c r="F921" t="s">
        <v>660</v>
      </c>
      <c r="G921" t="str">
        <f>PROPER(SalesData[[#This Row],[Product Name]])</f>
        <v>Reusable Bamboo Utensil Set</v>
      </c>
      <c r="H921" t="s">
        <v>1014</v>
      </c>
      <c r="I921" t="str">
        <f>UPPER(SalesData[[#This Row],[Product Category]])</f>
        <v>KITCHENWARE</v>
      </c>
      <c r="J921">
        <v>4</v>
      </c>
      <c r="K921">
        <v>15</v>
      </c>
      <c r="L921" s="15">
        <f>IF(SalesData[[#This Row],[Unit Price]]="",
    AVERAGEIFS(SalesData[Unit Price],
               SalesData[Product Name],SalesData[[#This Row],[Product Name]]),
    SalesData[[#This Row],[Unit Price]])</f>
        <v>15</v>
      </c>
      <c r="M921" s="15">
        <v>4.93</v>
      </c>
      <c r="N921" s="15">
        <f>SalesData[[#This Row],[Quantity Sold]] * SalesData[[#This Row],[Cleaned Unit Price]]</f>
        <v>60</v>
      </c>
      <c r="O921" s="15">
        <f>SalesData[[#This Row],[Quantity Sold]] * SalesData[[#This Row],[Unit Cost]]</f>
        <v>19.72</v>
      </c>
      <c r="P921" s="15">
        <f>SalesData[[#This Row],[Revenue]] - SalesData[[#This Row],[Cost]]</f>
        <v>40.28</v>
      </c>
      <c r="Q921" s="13">
        <f>IF(SalesData[[#This Row],[Revenue]]=0,0,SalesData[[#This Row],[Profit]]/SalesData[[#This Row],[Revenue]])</f>
        <v>0.67133333333333334</v>
      </c>
      <c r="R921" t="s">
        <v>1170</v>
      </c>
      <c r="S921" t="s">
        <v>1369</v>
      </c>
      <c r="T921" t="str">
        <f>PROPER(SalesData[[#This Row],[Customer Name]])</f>
        <v>Aiden Brown</v>
      </c>
      <c r="U921" t="s">
        <v>1414</v>
      </c>
      <c r="V921" t="s">
        <v>1421</v>
      </c>
    </row>
    <row r="922" spans="1:22" x14ac:dyDescent="0.25">
      <c r="A922" t="s">
        <v>2348</v>
      </c>
      <c r="B922" s="5">
        <v>45627</v>
      </c>
      <c r="C922" s="2" t="str">
        <f>TEXT(SalesData[[#This Row],[Order Date]],"mmm")</f>
        <v>Dec</v>
      </c>
      <c r="D922" s="7">
        <f>MONTH(SalesData[[#This Row],[Order Date]])</f>
        <v>12</v>
      </c>
      <c r="E922" s="7">
        <f>YEAR(SalesData[[#This Row],[Order Date]])</f>
        <v>2024</v>
      </c>
      <c r="F922" t="s">
        <v>215</v>
      </c>
      <c r="G922" t="str">
        <f>PROPER(SalesData[[#This Row],[Product Name]])</f>
        <v>Eco Canvas Tote Bag</v>
      </c>
      <c r="H922" t="s">
        <v>1013</v>
      </c>
      <c r="I922" t="str">
        <f>UPPER(SalesData[[#This Row],[Product Category]])</f>
        <v>BAGS</v>
      </c>
      <c r="J922">
        <v>8</v>
      </c>
      <c r="K922">
        <v>25</v>
      </c>
      <c r="L922" s="15">
        <f>IF(SalesData[[#This Row],[Unit Price]]="",
    AVERAGEIFS(SalesData[Unit Price],
               SalesData[Product Name],SalesData[[#This Row],[Product Name]]),
    SalesData[[#This Row],[Unit Price]])</f>
        <v>25</v>
      </c>
      <c r="M922" s="15">
        <v>7.07</v>
      </c>
      <c r="N922" s="15">
        <f>SalesData[[#This Row],[Quantity Sold]] * SalesData[[#This Row],[Cleaned Unit Price]]</f>
        <v>200</v>
      </c>
      <c r="O922" s="15">
        <f>SalesData[[#This Row],[Quantity Sold]] * SalesData[[#This Row],[Unit Cost]]</f>
        <v>56.56</v>
      </c>
      <c r="P922" s="15">
        <f>SalesData[[#This Row],[Revenue]] - SalesData[[#This Row],[Cost]]</f>
        <v>143.44</v>
      </c>
      <c r="Q922" s="13">
        <f>IF(SalesData[[#This Row],[Revenue]]=0,0,SalesData[[#This Row],[Profit]]/SalesData[[#This Row],[Revenue]])</f>
        <v>0.71719999999999995</v>
      </c>
      <c r="R922" t="s">
        <v>1106</v>
      </c>
      <c r="S922" t="s">
        <v>1305</v>
      </c>
      <c r="T922" t="str">
        <f>PROPER(SalesData[[#This Row],[Customer Name]])</f>
        <v>Aiden Smith</v>
      </c>
      <c r="U922" t="s">
        <v>1414</v>
      </c>
      <c r="V922" t="s">
        <v>1419</v>
      </c>
    </row>
    <row r="923" spans="1:22" x14ac:dyDescent="0.25">
      <c r="A923" t="s">
        <v>2349</v>
      </c>
      <c r="B923" s="5">
        <v>45627</v>
      </c>
      <c r="C923" s="2" t="str">
        <f>TEXT(SalesData[[#This Row],[Order Date]],"mmm")</f>
        <v>Dec</v>
      </c>
      <c r="D923" s="7">
        <f>MONTH(SalesData[[#This Row],[Order Date]])</f>
        <v>12</v>
      </c>
      <c r="E923" s="7">
        <f>YEAR(SalesData[[#This Row],[Order Date]])</f>
        <v>2024</v>
      </c>
      <c r="F923" t="s">
        <v>723</v>
      </c>
      <c r="G923" t="str">
        <f>PROPER(SalesData[[#This Row],[Product Name]])</f>
        <v>Compostable Plant Pots</v>
      </c>
      <c r="H923" t="s">
        <v>1011</v>
      </c>
      <c r="I923" t="str">
        <f>UPPER(SalesData[[#This Row],[Product Category]])</f>
        <v>GARDENING</v>
      </c>
      <c r="J923">
        <v>9</v>
      </c>
      <c r="K923">
        <v>12</v>
      </c>
      <c r="L923" s="15">
        <f>IF(SalesData[[#This Row],[Unit Price]]="",
    AVERAGEIFS(SalesData[Unit Price],
               SalesData[Product Name],SalesData[[#This Row],[Product Name]]),
    SalesData[[#This Row],[Unit Price]])</f>
        <v>12</v>
      </c>
      <c r="M923" s="15">
        <v>2.78</v>
      </c>
      <c r="N923" s="15">
        <f>SalesData[[#This Row],[Quantity Sold]] * SalesData[[#This Row],[Cleaned Unit Price]]</f>
        <v>108</v>
      </c>
      <c r="O923" s="15">
        <f>SalesData[[#This Row],[Quantity Sold]] * SalesData[[#This Row],[Unit Cost]]</f>
        <v>25.02</v>
      </c>
      <c r="P923" s="15">
        <f>SalesData[[#This Row],[Revenue]] - SalesData[[#This Row],[Cost]]</f>
        <v>82.98</v>
      </c>
      <c r="Q923" s="13">
        <f>IF(SalesData[[#This Row],[Revenue]]=0,0,SalesData[[#This Row],[Profit]]/SalesData[[#This Row],[Revenue]])</f>
        <v>0.76833333333333342</v>
      </c>
      <c r="R923" t="s">
        <v>1157</v>
      </c>
      <c r="S923" t="s">
        <v>1356</v>
      </c>
      <c r="T923" t="str">
        <f>PROPER(SalesData[[#This Row],[Customer Name]])</f>
        <v>Mason Rodriguez</v>
      </c>
      <c r="U923" t="s">
        <v>1416</v>
      </c>
      <c r="V923" t="s">
        <v>1422</v>
      </c>
    </row>
    <row r="924" spans="1:22" x14ac:dyDescent="0.25">
      <c r="A924" t="s">
        <v>2350</v>
      </c>
      <c r="B924" s="5">
        <v>45627</v>
      </c>
      <c r="C924" s="2" t="str">
        <f>TEXT(SalesData[[#This Row],[Order Date]],"mmm")</f>
        <v>Dec</v>
      </c>
      <c r="D924" s="7">
        <f>MONTH(SalesData[[#This Row],[Order Date]])</f>
        <v>12</v>
      </c>
      <c r="E924" s="7">
        <f>YEAR(SalesData[[#This Row],[Order Date]])</f>
        <v>2024</v>
      </c>
      <c r="F924" t="s">
        <v>734</v>
      </c>
      <c r="G924" t="str">
        <f>PROPER(SalesData[[#This Row],[Product Name]])</f>
        <v>Solar Led Lantern</v>
      </c>
      <c r="H924" t="s">
        <v>1012</v>
      </c>
      <c r="I924" t="str">
        <f>UPPER(SalesData[[#This Row],[Product Category]])</f>
        <v>LIGHTING</v>
      </c>
      <c r="J924">
        <v>3</v>
      </c>
      <c r="K924">
        <v>40</v>
      </c>
      <c r="L924" s="15">
        <f>IF(SalesData[[#This Row],[Unit Price]]="",
    AVERAGEIFS(SalesData[Unit Price],
               SalesData[Product Name],SalesData[[#This Row],[Product Name]]),
    SalesData[[#This Row],[Unit Price]])</f>
        <v>40</v>
      </c>
      <c r="M924" s="15">
        <v>15.33</v>
      </c>
      <c r="N924" s="15">
        <f>SalesData[[#This Row],[Quantity Sold]] * SalesData[[#This Row],[Cleaned Unit Price]]</f>
        <v>120</v>
      </c>
      <c r="O924" s="15">
        <f>SalesData[[#This Row],[Quantity Sold]] * SalesData[[#This Row],[Unit Cost]]</f>
        <v>45.99</v>
      </c>
      <c r="P924" s="15">
        <f>SalesData[[#This Row],[Revenue]] - SalesData[[#This Row],[Cost]]</f>
        <v>74.009999999999991</v>
      </c>
      <c r="Q924" s="13">
        <f>IF(SalesData[[#This Row],[Revenue]]=0,0,SalesData[[#This Row],[Profit]]/SalesData[[#This Row],[Revenue]])</f>
        <v>0.61674999999999991</v>
      </c>
      <c r="R924" t="s">
        <v>1101</v>
      </c>
      <c r="S924" t="s">
        <v>1300</v>
      </c>
      <c r="T924" t="str">
        <f>PROPER(SalesData[[#This Row],[Customer Name]])</f>
        <v>James Miller</v>
      </c>
      <c r="U924" t="s">
        <v>1414</v>
      </c>
      <c r="V924" t="s">
        <v>1418</v>
      </c>
    </row>
    <row r="925" spans="1:22" x14ac:dyDescent="0.25">
      <c r="A925" t="s">
        <v>2351</v>
      </c>
      <c r="B925" s="5">
        <v>45628</v>
      </c>
      <c r="C925" s="2" t="str">
        <f>TEXT(SalesData[[#This Row],[Order Date]],"mmm")</f>
        <v>Dec</v>
      </c>
      <c r="D925" s="7">
        <f>MONTH(SalesData[[#This Row],[Order Date]])</f>
        <v>12</v>
      </c>
      <c r="E925" s="7">
        <f>YEAR(SalesData[[#This Row],[Order Date]])</f>
        <v>2024</v>
      </c>
      <c r="F925" t="s">
        <v>661</v>
      </c>
      <c r="G925" t="str">
        <f>PROPER(SalesData[[#This Row],[Product Name]])</f>
        <v>Compostable Plant Pots</v>
      </c>
      <c r="H925" t="s">
        <v>1011</v>
      </c>
      <c r="I925" t="str">
        <f>UPPER(SalesData[[#This Row],[Product Category]])</f>
        <v>GARDENING</v>
      </c>
      <c r="J925">
        <v>1</v>
      </c>
      <c r="K925">
        <v>12</v>
      </c>
      <c r="L925" s="15">
        <f>IF(SalesData[[#This Row],[Unit Price]]="",
    AVERAGEIFS(SalesData[Unit Price],
               SalesData[Product Name],SalesData[[#This Row],[Product Name]]),
    SalesData[[#This Row],[Unit Price]])</f>
        <v>12</v>
      </c>
      <c r="M925" s="15">
        <v>4.46</v>
      </c>
      <c r="N925" s="15">
        <f>SalesData[[#This Row],[Quantity Sold]] * SalesData[[#This Row],[Cleaned Unit Price]]</f>
        <v>12</v>
      </c>
      <c r="O925" s="15">
        <f>SalesData[[#This Row],[Quantity Sold]] * SalesData[[#This Row],[Unit Cost]]</f>
        <v>4.46</v>
      </c>
      <c r="P925" s="15">
        <f>SalesData[[#This Row],[Revenue]] - SalesData[[#This Row],[Cost]]</f>
        <v>7.54</v>
      </c>
      <c r="Q925" s="13">
        <f>IF(SalesData[[#This Row],[Revenue]]=0,0,SalesData[[#This Row],[Profit]]/SalesData[[#This Row],[Revenue]])</f>
        <v>0.6283333333333333</v>
      </c>
      <c r="R925" t="s">
        <v>1067</v>
      </c>
      <c r="S925" t="s">
        <v>1266</v>
      </c>
      <c r="T925" t="str">
        <f>PROPER(SalesData[[#This Row],[Customer Name]])</f>
        <v>Charlotte Jones</v>
      </c>
      <c r="U925" t="s">
        <v>1416</v>
      </c>
      <c r="V925" t="s">
        <v>1422</v>
      </c>
    </row>
    <row r="926" spans="1:22" x14ac:dyDescent="0.25">
      <c r="A926" t="s">
        <v>2352</v>
      </c>
      <c r="B926" s="5">
        <v>45629</v>
      </c>
      <c r="C926" s="2" t="str">
        <f>TEXT(SalesData[[#This Row],[Order Date]],"mmm")</f>
        <v>Dec</v>
      </c>
      <c r="D926" s="7">
        <f>MONTH(SalesData[[#This Row],[Order Date]])</f>
        <v>12</v>
      </c>
      <c r="E926" s="7">
        <f>YEAR(SalesData[[#This Row],[Order Date]])</f>
        <v>2024</v>
      </c>
      <c r="F926" t="s">
        <v>68</v>
      </c>
      <c r="G926" t="str">
        <f>PROPER(SalesData[[#This Row],[Product Name]])</f>
        <v>Reusable Bamboo Utensil Set</v>
      </c>
      <c r="H926" t="s">
        <v>1014</v>
      </c>
      <c r="I926" t="str">
        <f>UPPER(SalesData[[#This Row],[Product Category]])</f>
        <v>KITCHENWARE</v>
      </c>
      <c r="J926">
        <v>10</v>
      </c>
      <c r="K926">
        <v>15</v>
      </c>
      <c r="L926" s="15">
        <f>IF(SalesData[[#This Row],[Unit Price]]="",
    AVERAGEIFS(SalesData[Unit Price],
               SalesData[Product Name],SalesData[[#This Row],[Product Name]]),
    SalesData[[#This Row],[Unit Price]])</f>
        <v>15</v>
      </c>
      <c r="M926" s="15">
        <v>3.12</v>
      </c>
      <c r="N926" s="15">
        <f>SalesData[[#This Row],[Quantity Sold]] * SalesData[[#This Row],[Cleaned Unit Price]]</f>
        <v>150</v>
      </c>
      <c r="O926" s="15">
        <f>SalesData[[#This Row],[Quantity Sold]] * SalesData[[#This Row],[Unit Cost]]</f>
        <v>31.200000000000003</v>
      </c>
      <c r="P926" s="15">
        <f>SalesData[[#This Row],[Revenue]] - SalesData[[#This Row],[Cost]]</f>
        <v>118.8</v>
      </c>
      <c r="Q926" s="13">
        <f>IF(SalesData[[#This Row],[Revenue]]=0,0,SalesData[[#This Row],[Profit]]/SalesData[[#This Row],[Revenue]])</f>
        <v>0.79199999999999993</v>
      </c>
      <c r="R926" t="s">
        <v>1063</v>
      </c>
      <c r="S926" t="s">
        <v>1262</v>
      </c>
      <c r="T926" t="str">
        <f>PROPER(SalesData[[#This Row],[Customer Name]])</f>
        <v>Aiden Martinez</v>
      </c>
      <c r="U926" t="s">
        <v>1414</v>
      </c>
      <c r="V926" t="s">
        <v>1423</v>
      </c>
    </row>
    <row r="927" spans="1:22" x14ac:dyDescent="0.25">
      <c r="A927" t="s">
        <v>2353</v>
      </c>
      <c r="B927" s="5">
        <v>45629</v>
      </c>
      <c r="C927" s="2" t="str">
        <f>TEXT(SalesData[[#This Row],[Order Date]],"mmm")</f>
        <v>Dec</v>
      </c>
      <c r="D927" s="7">
        <f>MONTH(SalesData[[#This Row],[Order Date]])</f>
        <v>12</v>
      </c>
      <c r="E927" s="7">
        <f>YEAR(SalesData[[#This Row],[Order Date]])</f>
        <v>2024</v>
      </c>
      <c r="F927" t="s">
        <v>176</v>
      </c>
      <c r="G927" t="str">
        <f>PROPER(SalesData[[#This Row],[Product Name]])</f>
        <v>Eco Canvas Tote Bag</v>
      </c>
      <c r="H927" t="s">
        <v>1013</v>
      </c>
      <c r="I927" t="str">
        <f>UPPER(SalesData[[#This Row],[Product Category]])</f>
        <v>BAGS</v>
      </c>
      <c r="J927">
        <v>5</v>
      </c>
      <c r="K927">
        <v>25</v>
      </c>
      <c r="L927" s="15">
        <f>IF(SalesData[[#This Row],[Unit Price]]="",
    AVERAGEIFS(SalesData[Unit Price],
               SalesData[Product Name],SalesData[[#This Row],[Product Name]]),
    SalesData[[#This Row],[Unit Price]])</f>
        <v>25</v>
      </c>
      <c r="M927" s="15">
        <v>5.22</v>
      </c>
      <c r="N927" s="15">
        <f>SalesData[[#This Row],[Quantity Sold]] * SalesData[[#This Row],[Cleaned Unit Price]]</f>
        <v>125</v>
      </c>
      <c r="O927" s="15">
        <f>SalesData[[#This Row],[Quantity Sold]] * SalesData[[#This Row],[Unit Cost]]</f>
        <v>26.099999999999998</v>
      </c>
      <c r="P927" s="15">
        <f>SalesData[[#This Row],[Revenue]] - SalesData[[#This Row],[Cost]]</f>
        <v>98.9</v>
      </c>
      <c r="Q927" s="13">
        <f>IF(SalesData[[#This Row],[Revenue]]=0,0,SalesData[[#This Row],[Profit]]/SalesData[[#This Row],[Revenue]])</f>
        <v>0.79120000000000001</v>
      </c>
      <c r="R927" t="s">
        <v>1129</v>
      </c>
      <c r="S927" t="s">
        <v>1328</v>
      </c>
      <c r="T927" t="str">
        <f>PROPER(SalesData[[#This Row],[Customer Name]])</f>
        <v>Ava Brown</v>
      </c>
      <c r="U927" t="s">
        <v>1415</v>
      </c>
      <c r="V927" t="s">
        <v>1426</v>
      </c>
    </row>
    <row r="928" spans="1:22" x14ac:dyDescent="0.25">
      <c r="A928" t="s">
        <v>2354</v>
      </c>
      <c r="B928" s="5">
        <v>45630</v>
      </c>
      <c r="C928" s="2" t="str">
        <f>TEXT(SalesData[[#This Row],[Order Date]],"mmm")</f>
        <v>Dec</v>
      </c>
      <c r="D928" s="7">
        <f>MONTH(SalesData[[#This Row],[Order Date]])</f>
        <v>12</v>
      </c>
      <c r="E928" s="7">
        <f>YEAR(SalesData[[#This Row],[Order Date]])</f>
        <v>2024</v>
      </c>
      <c r="F928" t="s">
        <v>852</v>
      </c>
      <c r="G928" t="str">
        <f>PROPER(SalesData[[#This Row],[Product Name]])</f>
        <v>Eco Canvas Tote Bag</v>
      </c>
      <c r="H928" t="s">
        <v>1013</v>
      </c>
      <c r="I928" t="str">
        <f>UPPER(SalesData[[#This Row],[Product Category]])</f>
        <v>BAGS</v>
      </c>
      <c r="J928">
        <v>2</v>
      </c>
      <c r="K928">
        <v>25</v>
      </c>
      <c r="L928" s="15">
        <f>IF(SalesData[[#This Row],[Unit Price]]="",
    AVERAGEIFS(SalesData[Unit Price],
               SalesData[Product Name],SalesData[[#This Row],[Product Name]]),
    SalesData[[#This Row],[Unit Price]])</f>
        <v>25</v>
      </c>
      <c r="M928" s="15">
        <v>7.12</v>
      </c>
      <c r="N928" s="15">
        <f>SalesData[[#This Row],[Quantity Sold]] * SalesData[[#This Row],[Cleaned Unit Price]]</f>
        <v>50</v>
      </c>
      <c r="O928" s="15">
        <f>SalesData[[#This Row],[Quantity Sold]] * SalesData[[#This Row],[Unit Cost]]</f>
        <v>14.24</v>
      </c>
      <c r="P928" s="15">
        <f>SalesData[[#This Row],[Revenue]] - SalesData[[#This Row],[Cost]]</f>
        <v>35.76</v>
      </c>
      <c r="Q928" s="13">
        <f>IF(SalesData[[#This Row],[Revenue]]=0,0,SalesData[[#This Row],[Profit]]/SalesData[[#This Row],[Revenue]])</f>
        <v>0.71519999999999995</v>
      </c>
      <c r="R928" t="s">
        <v>1096</v>
      </c>
      <c r="S928" t="s">
        <v>1295</v>
      </c>
      <c r="T928" t="str">
        <f>PROPER(SalesData[[#This Row],[Customer Name]])</f>
        <v>Mason Davis</v>
      </c>
      <c r="U928" t="s">
        <v>1415</v>
      </c>
      <c r="V928" t="s">
        <v>1420</v>
      </c>
    </row>
    <row r="929" spans="1:22" x14ac:dyDescent="0.25">
      <c r="A929" t="s">
        <v>2355</v>
      </c>
      <c r="B929" s="5">
        <v>45631</v>
      </c>
      <c r="C929" s="2" t="str">
        <f>TEXT(SalesData[[#This Row],[Order Date]],"mmm")</f>
        <v>Dec</v>
      </c>
      <c r="D929" s="7">
        <f>MONTH(SalesData[[#This Row],[Order Date]])</f>
        <v>12</v>
      </c>
      <c r="E929" s="7">
        <f>YEAR(SalesData[[#This Row],[Order Date]])</f>
        <v>2024</v>
      </c>
      <c r="F929" t="s">
        <v>30</v>
      </c>
      <c r="G929" t="str">
        <f>PROPER(SalesData[[#This Row],[Product Name]])</f>
        <v>Compostable Plant Pots</v>
      </c>
      <c r="H929" t="s">
        <v>1011</v>
      </c>
      <c r="I929" t="str">
        <f>UPPER(SalesData[[#This Row],[Product Category]])</f>
        <v>GARDENING</v>
      </c>
      <c r="J929">
        <v>4</v>
      </c>
      <c r="L929" s="15">
        <f>IF(SalesData[[#This Row],[Unit Price]]="",
    AVERAGEIFS(SalesData[Unit Price],
               SalesData[Product Name],SalesData[[#This Row],[Product Name]]),
    SalesData[[#This Row],[Unit Price]])</f>
        <v>12</v>
      </c>
      <c r="M929" s="15">
        <v>4.01</v>
      </c>
      <c r="N929" s="15">
        <f>SalesData[[#This Row],[Quantity Sold]] * SalesData[[#This Row],[Cleaned Unit Price]]</f>
        <v>48</v>
      </c>
      <c r="O929" s="15">
        <f>SalesData[[#This Row],[Quantity Sold]] * SalesData[[#This Row],[Unit Cost]]</f>
        <v>16.04</v>
      </c>
      <c r="P929" s="15">
        <f>SalesData[[#This Row],[Revenue]] - SalesData[[#This Row],[Cost]]</f>
        <v>31.96</v>
      </c>
      <c r="Q929" s="13">
        <f>IF(SalesData[[#This Row],[Revenue]]=0,0,SalesData[[#This Row],[Profit]]/SalesData[[#This Row],[Revenue]])</f>
        <v>0.66583333333333339</v>
      </c>
      <c r="R929" t="s">
        <v>1033</v>
      </c>
      <c r="S929" t="s">
        <v>1232</v>
      </c>
      <c r="T929" t="str">
        <f>PROPER(SalesData[[#This Row],[Customer Name]])</f>
        <v>Harper Martinez</v>
      </c>
      <c r="U929" t="s">
        <v>1414</v>
      </c>
      <c r="V929" t="s">
        <v>1426</v>
      </c>
    </row>
    <row r="930" spans="1:22" x14ac:dyDescent="0.25">
      <c r="A930" t="s">
        <v>2356</v>
      </c>
      <c r="B930" s="5">
        <v>45631</v>
      </c>
      <c r="C930" s="2" t="str">
        <f>TEXT(SalesData[[#This Row],[Order Date]],"mmm")</f>
        <v>Dec</v>
      </c>
      <c r="D930" s="7">
        <f>MONTH(SalesData[[#This Row],[Order Date]])</f>
        <v>12</v>
      </c>
      <c r="E930" s="7">
        <f>YEAR(SalesData[[#This Row],[Order Date]])</f>
        <v>2024</v>
      </c>
      <c r="F930" t="s">
        <v>698</v>
      </c>
      <c r="G930" t="str">
        <f>PROPER(SalesData[[#This Row],[Product Name]])</f>
        <v>Solar Led Lantern</v>
      </c>
      <c r="H930" t="s">
        <v>1012</v>
      </c>
      <c r="I930" t="str">
        <f>UPPER(SalesData[[#This Row],[Product Category]])</f>
        <v>LIGHTING</v>
      </c>
      <c r="J930">
        <v>8</v>
      </c>
      <c r="K930">
        <v>40</v>
      </c>
      <c r="L930" s="15">
        <f>IF(SalesData[[#This Row],[Unit Price]]="",
    AVERAGEIFS(SalesData[Unit Price],
               SalesData[Product Name],SalesData[[#This Row],[Product Name]]),
    SalesData[[#This Row],[Unit Price]])</f>
        <v>40</v>
      </c>
      <c r="M930" s="15">
        <v>8.52</v>
      </c>
      <c r="N930" s="15">
        <f>SalesData[[#This Row],[Quantity Sold]] * SalesData[[#This Row],[Cleaned Unit Price]]</f>
        <v>320</v>
      </c>
      <c r="O930" s="15">
        <f>SalesData[[#This Row],[Quantity Sold]] * SalesData[[#This Row],[Unit Cost]]</f>
        <v>68.16</v>
      </c>
      <c r="P930" s="15">
        <f>SalesData[[#This Row],[Revenue]] - SalesData[[#This Row],[Cost]]</f>
        <v>251.84</v>
      </c>
      <c r="Q930" s="13">
        <f>IF(SalesData[[#This Row],[Revenue]]=0,0,SalesData[[#This Row],[Profit]]/SalesData[[#This Row],[Revenue]])</f>
        <v>0.78700000000000003</v>
      </c>
      <c r="R930" t="s">
        <v>1093</v>
      </c>
      <c r="S930" t="s">
        <v>1292</v>
      </c>
      <c r="T930" t="str">
        <f>PROPER(SalesData[[#This Row],[Customer Name]])</f>
        <v>Ava Miller</v>
      </c>
      <c r="U930" t="s">
        <v>1414</v>
      </c>
      <c r="V930" t="s">
        <v>1418</v>
      </c>
    </row>
    <row r="931" spans="1:22" x14ac:dyDescent="0.25">
      <c r="A931" t="s">
        <v>2357</v>
      </c>
      <c r="B931" s="5">
        <v>45631</v>
      </c>
      <c r="C931" s="2" t="str">
        <f>TEXT(SalesData[[#This Row],[Order Date]],"mmm")</f>
        <v>Dec</v>
      </c>
      <c r="D931" s="7">
        <f>MONTH(SalesData[[#This Row],[Order Date]])</f>
        <v>12</v>
      </c>
      <c r="E931" s="7">
        <f>YEAR(SalesData[[#This Row],[Order Date]])</f>
        <v>2024</v>
      </c>
      <c r="F931" t="s">
        <v>791</v>
      </c>
      <c r="G931" t="str">
        <f>PROPER(SalesData[[#This Row],[Product Name]])</f>
        <v>Eco Canvas Tote Bag</v>
      </c>
      <c r="H931" t="s">
        <v>1013</v>
      </c>
      <c r="I931" t="str">
        <f>UPPER(SalesData[[#This Row],[Product Category]])</f>
        <v>BAGS</v>
      </c>
      <c r="J931">
        <v>10</v>
      </c>
      <c r="K931">
        <v>25</v>
      </c>
      <c r="L931" s="15">
        <f>IF(SalesData[[#This Row],[Unit Price]]="",
    AVERAGEIFS(SalesData[Unit Price],
               SalesData[Product Name],SalesData[[#This Row],[Product Name]]),
    SalesData[[#This Row],[Unit Price]])</f>
        <v>25</v>
      </c>
      <c r="M931" s="15">
        <v>6.39</v>
      </c>
      <c r="N931" s="15">
        <f>SalesData[[#This Row],[Quantity Sold]] * SalesData[[#This Row],[Cleaned Unit Price]]</f>
        <v>250</v>
      </c>
      <c r="O931" s="15">
        <f>SalesData[[#This Row],[Quantity Sold]] * SalesData[[#This Row],[Unit Cost]]</f>
        <v>63.9</v>
      </c>
      <c r="P931" s="15">
        <f>SalesData[[#This Row],[Revenue]] - SalesData[[#This Row],[Cost]]</f>
        <v>186.1</v>
      </c>
      <c r="Q931" s="13">
        <f>IF(SalesData[[#This Row],[Revenue]]=0,0,SalesData[[#This Row],[Profit]]/SalesData[[#This Row],[Revenue]])</f>
        <v>0.74439999999999995</v>
      </c>
      <c r="R931" t="s">
        <v>1038</v>
      </c>
      <c r="S931" t="s">
        <v>1237</v>
      </c>
      <c r="T931" t="str">
        <f>PROPER(SalesData[[#This Row],[Customer Name]])</f>
        <v>Harper Garcia</v>
      </c>
      <c r="U931" t="s">
        <v>1416</v>
      </c>
      <c r="V931" t="s">
        <v>1425</v>
      </c>
    </row>
    <row r="932" spans="1:22" x14ac:dyDescent="0.25">
      <c r="A932" t="s">
        <v>2358</v>
      </c>
      <c r="B932" s="5">
        <v>45631</v>
      </c>
      <c r="C932" s="2" t="str">
        <f>TEXT(SalesData[[#This Row],[Order Date]],"mmm")</f>
        <v>Dec</v>
      </c>
      <c r="D932" s="7">
        <f>MONTH(SalesData[[#This Row],[Order Date]])</f>
        <v>12</v>
      </c>
      <c r="E932" s="7">
        <f>YEAR(SalesData[[#This Row],[Order Date]])</f>
        <v>2024</v>
      </c>
      <c r="F932" t="s">
        <v>980</v>
      </c>
      <c r="G932" t="str">
        <f>PROPER(SalesData[[#This Row],[Product Name]])</f>
        <v>Eco Canvas Tote Bag</v>
      </c>
      <c r="H932" t="s">
        <v>1013</v>
      </c>
      <c r="I932" t="str">
        <f>UPPER(SalesData[[#This Row],[Product Category]])</f>
        <v>BAGS</v>
      </c>
      <c r="J932">
        <v>6</v>
      </c>
      <c r="K932">
        <v>25</v>
      </c>
      <c r="L932" s="15">
        <f>IF(SalesData[[#This Row],[Unit Price]]="",
    AVERAGEIFS(SalesData[Unit Price],
               SalesData[Product Name],SalesData[[#This Row],[Product Name]]),
    SalesData[[#This Row],[Unit Price]])</f>
        <v>25</v>
      </c>
      <c r="M932" s="15">
        <v>7.8</v>
      </c>
      <c r="N932" s="15">
        <f>SalesData[[#This Row],[Quantity Sold]] * SalesData[[#This Row],[Cleaned Unit Price]]</f>
        <v>150</v>
      </c>
      <c r="O932" s="15">
        <f>SalesData[[#This Row],[Quantity Sold]] * SalesData[[#This Row],[Unit Cost]]</f>
        <v>46.8</v>
      </c>
      <c r="P932" s="15">
        <f>SalesData[[#This Row],[Revenue]] - SalesData[[#This Row],[Cost]]</f>
        <v>103.2</v>
      </c>
      <c r="Q932" s="13">
        <f>IF(SalesData[[#This Row],[Revenue]]=0,0,SalesData[[#This Row],[Profit]]/SalesData[[#This Row],[Revenue]])</f>
        <v>0.68800000000000006</v>
      </c>
      <c r="R932" t="s">
        <v>1077</v>
      </c>
      <c r="S932" t="s">
        <v>1276</v>
      </c>
      <c r="T932" t="str">
        <f>PROPER(SalesData[[#This Row],[Customer Name]])</f>
        <v>Noah Williams</v>
      </c>
      <c r="U932" t="s">
        <v>1416</v>
      </c>
      <c r="V932" t="s">
        <v>1420</v>
      </c>
    </row>
    <row r="933" spans="1:22" x14ac:dyDescent="0.25">
      <c r="A933" t="s">
        <v>2359</v>
      </c>
      <c r="B933" s="5">
        <v>45631</v>
      </c>
      <c r="C933" s="2" t="str">
        <f>TEXT(SalesData[[#This Row],[Order Date]],"mmm")</f>
        <v>Dec</v>
      </c>
      <c r="D933" s="7">
        <f>MONTH(SalesData[[#This Row],[Order Date]])</f>
        <v>12</v>
      </c>
      <c r="E933" s="7">
        <f>YEAR(SalesData[[#This Row],[Order Date]])</f>
        <v>2024</v>
      </c>
      <c r="F933" t="s">
        <v>986</v>
      </c>
      <c r="G933" t="str">
        <f>PROPER(SalesData[[#This Row],[Product Name]])</f>
        <v>Solar Led Lantern</v>
      </c>
      <c r="H933" t="s">
        <v>1012</v>
      </c>
      <c r="I933" t="str">
        <f>UPPER(SalesData[[#This Row],[Product Category]])</f>
        <v>LIGHTING</v>
      </c>
      <c r="J933">
        <v>4</v>
      </c>
      <c r="K933">
        <v>40</v>
      </c>
      <c r="L933" s="15">
        <f>IF(SalesData[[#This Row],[Unit Price]]="",
    AVERAGEIFS(SalesData[Unit Price],
               SalesData[Product Name],SalesData[[#This Row],[Product Name]]),
    SalesData[[#This Row],[Unit Price]])</f>
        <v>40</v>
      </c>
      <c r="M933" s="15">
        <v>8.2899999999999991</v>
      </c>
      <c r="N933" s="15">
        <f>SalesData[[#This Row],[Quantity Sold]] * SalesData[[#This Row],[Cleaned Unit Price]]</f>
        <v>160</v>
      </c>
      <c r="O933" s="15">
        <f>SalesData[[#This Row],[Quantity Sold]] * SalesData[[#This Row],[Unit Cost]]</f>
        <v>33.159999999999997</v>
      </c>
      <c r="P933" s="15">
        <f>SalesData[[#This Row],[Revenue]] - SalesData[[#This Row],[Cost]]</f>
        <v>126.84</v>
      </c>
      <c r="Q933" s="13">
        <f>IF(SalesData[[#This Row],[Revenue]]=0,0,SalesData[[#This Row],[Profit]]/SalesData[[#This Row],[Revenue]])</f>
        <v>0.79275000000000007</v>
      </c>
      <c r="R933" t="s">
        <v>1186</v>
      </c>
      <c r="S933" t="s">
        <v>1385</v>
      </c>
      <c r="T933" t="str">
        <f>PROPER(SalesData[[#This Row],[Customer Name]])</f>
        <v>Ava Martinez</v>
      </c>
      <c r="U933" t="s">
        <v>1416</v>
      </c>
      <c r="V933" t="s">
        <v>1422</v>
      </c>
    </row>
    <row r="934" spans="1:22" x14ac:dyDescent="0.25">
      <c r="A934" t="s">
        <v>2360</v>
      </c>
      <c r="B934" s="5">
        <v>45632</v>
      </c>
      <c r="C934" s="2" t="str">
        <f>TEXT(SalesData[[#This Row],[Order Date]],"mmm")</f>
        <v>Dec</v>
      </c>
      <c r="D934" s="7">
        <f>MONTH(SalesData[[#This Row],[Order Date]])</f>
        <v>12</v>
      </c>
      <c r="E934" s="7">
        <f>YEAR(SalesData[[#This Row],[Order Date]])</f>
        <v>2024</v>
      </c>
      <c r="F934" t="s">
        <v>300</v>
      </c>
      <c r="G934" t="str">
        <f>PROPER(SalesData[[#This Row],[Product Name]])</f>
        <v>Biodegradable Cleaning Cloth</v>
      </c>
      <c r="H934" t="s">
        <v>1015</v>
      </c>
      <c r="I934" t="str">
        <f>UPPER(SalesData[[#This Row],[Product Category]])</f>
        <v>CLEANING</v>
      </c>
      <c r="J934">
        <v>10</v>
      </c>
      <c r="K934">
        <v>10</v>
      </c>
      <c r="L934" s="15">
        <f>IF(SalesData[[#This Row],[Unit Price]]="",
    AVERAGEIFS(SalesData[Unit Price],
               SalesData[Product Name],SalesData[[#This Row],[Product Name]]),
    SalesData[[#This Row],[Unit Price]])</f>
        <v>10</v>
      </c>
      <c r="M934" s="15">
        <v>3.14</v>
      </c>
      <c r="N934" s="15">
        <f>SalesData[[#This Row],[Quantity Sold]] * SalesData[[#This Row],[Cleaned Unit Price]]</f>
        <v>100</v>
      </c>
      <c r="O934" s="15">
        <f>SalesData[[#This Row],[Quantity Sold]] * SalesData[[#This Row],[Unit Cost]]</f>
        <v>31.400000000000002</v>
      </c>
      <c r="P934" s="15">
        <f>SalesData[[#This Row],[Revenue]] - SalesData[[#This Row],[Cost]]</f>
        <v>68.599999999999994</v>
      </c>
      <c r="Q934" s="13">
        <f>IF(SalesData[[#This Row],[Revenue]]=0,0,SalesData[[#This Row],[Profit]]/SalesData[[#This Row],[Revenue]])</f>
        <v>0.68599999999999994</v>
      </c>
      <c r="R934" t="s">
        <v>1169</v>
      </c>
      <c r="S934" t="s">
        <v>1368</v>
      </c>
      <c r="T934" t="str">
        <f>PROPER(SalesData[[#This Row],[Customer Name]])</f>
        <v>Aiden Jones</v>
      </c>
      <c r="U934" t="s">
        <v>1414</v>
      </c>
      <c r="V934" t="s">
        <v>1421</v>
      </c>
    </row>
    <row r="935" spans="1:22" x14ac:dyDescent="0.25">
      <c r="A935" t="s">
        <v>2361</v>
      </c>
      <c r="B935" s="5">
        <v>45632</v>
      </c>
      <c r="C935" s="2" t="str">
        <f>TEXT(SalesData[[#This Row],[Order Date]],"mmm")</f>
        <v>Dec</v>
      </c>
      <c r="D935" s="7">
        <f>MONTH(SalesData[[#This Row],[Order Date]])</f>
        <v>12</v>
      </c>
      <c r="E935" s="7">
        <f>YEAR(SalesData[[#This Row],[Order Date]])</f>
        <v>2024</v>
      </c>
      <c r="F935" t="s">
        <v>370</v>
      </c>
      <c r="G935" t="str">
        <f>PROPER(SalesData[[#This Row],[Product Name]])</f>
        <v>Eco Canvas Tote Bag</v>
      </c>
      <c r="H935" t="s">
        <v>1013</v>
      </c>
      <c r="I935" t="str">
        <f>UPPER(SalesData[[#This Row],[Product Category]])</f>
        <v>BAGS</v>
      </c>
      <c r="J935">
        <v>3</v>
      </c>
      <c r="K935">
        <v>25</v>
      </c>
      <c r="L935" s="15">
        <f>IF(SalesData[[#This Row],[Unit Price]]="",
    AVERAGEIFS(SalesData[Unit Price],
               SalesData[Product Name],SalesData[[#This Row],[Product Name]]),
    SalesData[[#This Row],[Unit Price]])</f>
        <v>25</v>
      </c>
      <c r="M935" s="15">
        <v>8.4700000000000006</v>
      </c>
      <c r="N935" s="15">
        <f>SalesData[[#This Row],[Quantity Sold]] * SalesData[[#This Row],[Cleaned Unit Price]]</f>
        <v>75</v>
      </c>
      <c r="O935" s="15">
        <f>SalesData[[#This Row],[Quantity Sold]] * SalesData[[#This Row],[Unit Cost]]</f>
        <v>25.410000000000004</v>
      </c>
      <c r="P935" s="15">
        <f>SalesData[[#This Row],[Revenue]] - SalesData[[#This Row],[Cost]]</f>
        <v>49.589999999999996</v>
      </c>
      <c r="Q935" s="13">
        <f>IF(SalesData[[#This Row],[Revenue]]=0,0,SalesData[[#This Row],[Profit]]/SalesData[[#This Row],[Revenue]])</f>
        <v>0.6611999999999999</v>
      </c>
      <c r="R935" t="s">
        <v>1179</v>
      </c>
      <c r="S935" t="s">
        <v>1378</v>
      </c>
      <c r="T935" t="str">
        <f>PROPER(SalesData[[#This Row],[Customer Name]])</f>
        <v>Olivia Williams</v>
      </c>
      <c r="U935" t="s">
        <v>1416</v>
      </c>
      <c r="V935" t="s">
        <v>1422</v>
      </c>
    </row>
    <row r="936" spans="1:22" x14ac:dyDescent="0.25">
      <c r="A936" t="s">
        <v>2362</v>
      </c>
      <c r="B936" s="5">
        <v>45632</v>
      </c>
      <c r="C936" s="2" t="str">
        <f>TEXT(SalesData[[#This Row],[Order Date]],"mmm")</f>
        <v>Dec</v>
      </c>
      <c r="D936" s="7">
        <f>MONTH(SalesData[[#This Row],[Order Date]])</f>
        <v>12</v>
      </c>
      <c r="E936" s="7">
        <f>YEAR(SalesData[[#This Row],[Order Date]])</f>
        <v>2024</v>
      </c>
      <c r="F936" t="s">
        <v>451</v>
      </c>
      <c r="G936" t="str">
        <f>PROPER(SalesData[[#This Row],[Product Name]])</f>
        <v>Solar Led Lantern</v>
      </c>
      <c r="H936" t="s">
        <v>1012</v>
      </c>
      <c r="I936" t="str">
        <f>UPPER(SalesData[[#This Row],[Product Category]])</f>
        <v>LIGHTING</v>
      </c>
      <c r="J936">
        <v>9</v>
      </c>
      <c r="K936">
        <v>40</v>
      </c>
      <c r="L936" s="15">
        <f>IF(SalesData[[#This Row],[Unit Price]]="",
    AVERAGEIFS(SalesData[Unit Price],
               SalesData[Product Name],SalesData[[#This Row],[Product Name]]),
    SalesData[[#This Row],[Unit Price]])</f>
        <v>40</v>
      </c>
      <c r="M936" s="15">
        <v>14.84</v>
      </c>
      <c r="N936" s="15">
        <f>SalesData[[#This Row],[Quantity Sold]] * SalesData[[#This Row],[Cleaned Unit Price]]</f>
        <v>360</v>
      </c>
      <c r="O936" s="15">
        <f>SalesData[[#This Row],[Quantity Sold]] * SalesData[[#This Row],[Unit Cost]]</f>
        <v>133.56</v>
      </c>
      <c r="P936" s="15">
        <f>SalesData[[#This Row],[Revenue]] - SalesData[[#This Row],[Cost]]</f>
        <v>226.44</v>
      </c>
      <c r="Q936" s="13">
        <f>IF(SalesData[[#This Row],[Revenue]]=0,0,SalesData[[#This Row],[Profit]]/SalesData[[#This Row],[Revenue]])</f>
        <v>0.629</v>
      </c>
      <c r="R936" t="s">
        <v>1121</v>
      </c>
      <c r="S936" t="s">
        <v>1320</v>
      </c>
      <c r="T936" t="str">
        <f>PROPER(SalesData[[#This Row],[Customer Name]])</f>
        <v>Mason Williams</v>
      </c>
      <c r="U936" t="s">
        <v>1414</v>
      </c>
      <c r="V936" t="s">
        <v>1418</v>
      </c>
    </row>
    <row r="937" spans="1:22" x14ac:dyDescent="0.25">
      <c r="A937" t="s">
        <v>2363</v>
      </c>
      <c r="B937" s="5">
        <v>45633</v>
      </c>
      <c r="C937" s="2" t="str">
        <f>TEXT(SalesData[[#This Row],[Order Date]],"mmm")</f>
        <v>Dec</v>
      </c>
      <c r="D937" s="7">
        <f>MONTH(SalesData[[#This Row],[Order Date]])</f>
        <v>12</v>
      </c>
      <c r="E937" s="7">
        <f>YEAR(SalesData[[#This Row],[Order Date]])</f>
        <v>2024</v>
      </c>
      <c r="F937" t="s">
        <v>271</v>
      </c>
      <c r="G937" t="str">
        <f>PROPER(SalesData[[#This Row],[Product Name]])</f>
        <v>Biodegradable Cleaning Cloth</v>
      </c>
      <c r="H937" t="s">
        <v>1015</v>
      </c>
      <c r="I937" t="str">
        <f>UPPER(SalesData[[#This Row],[Product Category]])</f>
        <v>CLEANING</v>
      </c>
      <c r="J937">
        <v>6</v>
      </c>
      <c r="K937">
        <v>10</v>
      </c>
      <c r="L937" s="15">
        <f>IF(SalesData[[#This Row],[Unit Price]]="",
    AVERAGEIFS(SalesData[Unit Price],
               SalesData[Product Name],SalesData[[#This Row],[Product Name]]),
    SalesData[[#This Row],[Unit Price]])</f>
        <v>10</v>
      </c>
      <c r="M937" s="15">
        <v>3.49</v>
      </c>
      <c r="N937" s="15">
        <f>SalesData[[#This Row],[Quantity Sold]] * SalesData[[#This Row],[Cleaned Unit Price]]</f>
        <v>60</v>
      </c>
      <c r="O937" s="15">
        <f>SalesData[[#This Row],[Quantity Sold]] * SalesData[[#This Row],[Unit Cost]]</f>
        <v>20.94</v>
      </c>
      <c r="P937" s="15">
        <f>SalesData[[#This Row],[Revenue]] - SalesData[[#This Row],[Cost]]</f>
        <v>39.06</v>
      </c>
      <c r="Q937" s="13">
        <f>IF(SalesData[[#This Row],[Revenue]]=0,0,SalesData[[#This Row],[Profit]]/SalesData[[#This Row],[Revenue]])</f>
        <v>0.65100000000000002</v>
      </c>
      <c r="R937" t="s">
        <v>1095</v>
      </c>
      <c r="S937" t="s">
        <v>1294</v>
      </c>
      <c r="T937" t="str">
        <f>PROPER(SalesData[[#This Row],[Customer Name]])</f>
        <v>Evelyn Miller</v>
      </c>
      <c r="U937" t="s">
        <v>1414</v>
      </c>
      <c r="V937" t="s">
        <v>1421</v>
      </c>
    </row>
    <row r="938" spans="1:22" x14ac:dyDescent="0.25">
      <c r="A938" t="s">
        <v>2364</v>
      </c>
      <c r="B938" s="5">
        <v>45633</v>
      </c>
      <c r="C938" s="2" t="str">
        <f>TEXT(SalesData[[#This Row],[Order Date]],"mmm")</f>
        <v>Dec</v>
      </c>
      <c r="D938" s="7">
        <f>MONTH(SalesData[[#This Row],[Order Date]])</f>
        <v>12</v>
      </c>
      <c r="E938" s="7">
        <f>YEAR(SalesData[[#This Row],[Order Date]])</f>
        <v>2024</v>
      </c>
      <c r="F938" t="s">
        <v>702</v>
      </c>
      <c r="G938" t="str">
        <f>PROPER(SalesData[[#This Row],[Product Name]])</f>
        <v>Reusable Bamboo Utensil Set</v>
      </c>
      <c r="H938" t="s">
        <v>1014</v>
      </c>
      <c r="I938" t="str">
        <f>UPPER(SalesData[[#This Row],[Product Category]])</f>
        <v>KITCHENWARE</v>
      </c>
      <c r="J938">
        <v>2</v>
      </c>
      <c r="K938">
        <v>15</v>
      </c>
      <c r="L938" s="15">
        <f>IF(SalesData[[#This Row],[Unit Price]]="",
    AVERAGEIFS(SalesData[Unit Price],
               SalesData[Product Name],SalesData[[#This Row],[Product Name]]),
    SalesData[[#This Row],[Unit Price]])</f>
        <v>15</v>
      </c>
      <c r="M938" s="15">
        <v>5.61</v>
      </c>
      <c r="N938" s="15">
        <f>SalesData[[#This Row],[Quantity Sold]] * SalesData[[#This Row],[Cleaned Unit Price]]</f>
        <v>30</v>
      </c>
      <c r="O938" s="15">
        <f>SalesData[[#This Row],[Quantity Sold]] * SalesData[[#This Row],[Unit Cost]]</f>
        <v>11.22</v>
      </c>
      <c r="P938" s="15">
        <f>SalesData[[#This Row],[Revenue]] - SalesData[[#This Row],[Cost]]</f>
        <v>18.78</v>
      </c>
      <c r="Q938" s="13">
        <f>IF(SalesData[[#This Row],[Revenue]]=0,0,SalesData[[#This Row],[Profit]]/SalesData[[#This Row],[Revenue]])</f>
        <v>0.626</v>
      </c>
      <c r="R938" t="s">
        <v>1112</v>
      </c>
      <c r="S938" t="s">
        <v>1311</v>
      </c>
      <c r="T938" t="str">
        <f>PROPER(SalesData[[#This Row],[Customer Name]])</f>
        <v>Mia Rodriguez</v>
      </c>
      <c r="U938" t="s">
        <v>1414</v>
      </c>
      <c r="V938" t="s">
        <v>1418</v>
      </c>
    </row>
    <row r="939" spans="1:22" x14ac:dyDescent="0.25">
      <c r="A939" t="s">
        <v>2365</v>
      </c>
      <c r="B939" s="5">
        <v>45633</v>
      </c>
      <c r="C939" s="2" t="str">
        <f>TEXT(SalesData[[#This Row],[Order Date]],"mmm")</f>
        <v>Dec</v>
      </c>
      <c r="D939" s="7">
        <f>MONTH(SalesData[[#This Row],[Order Date]])</f>
        <v>12</v>
      </c>
      <c r="E939" s="7">
        <f>YEAR(SalesData[[#This Row],[Order Date]])</f>
        <v>2024</v>
      </c>
      <c r="F939" t="s">
        <v>999</v>
      </c>
      <c r="G939" t="str">
        <f>PROPER(SalesData[[#This Row],[Product Name]])</f>
        <v>Eco Canvas Tote Bag</v>
      </c>
      <c r="H939" t="s">
        <v>1013</v>
      </c>
      <c r="I939" t="str">
        <f>UPPER(SalesData[[#This Row],[Product Category]])</f>
        <v>BAGS</v>
      </c>
      <c r="J939">
        <v>7</v>
      </c>
      <c r="L939" s="15">
        <f>IF(SalesData[[#This Row],[Unit Price]]="",
    AVERAGEIFS(SalesData[Unit Price],
               SalesData[Product Name],SalesData[[#This Row],[Product Name]]),
    SalesData[[#This Row],[Unit Price]])</f>
        <v>25</v>
      </c>
      <c r="M939" s="15">
        <v>7.45</v>
      </c>
      <c r="N939" s="15">
        <f>SalesData[[#This Row],[Quantity Sold]] * SalesData[[#This Row],[Cleaned Unit Price]]</f>
        <v>175</v>
      </c>
      <c r="O939" s="15">
        <f>SalesData[[#This Row],[Quantity Sold]] * SalesData[[#This Row],[Unit Cost]]</f>
        <v>52.15</v>
      </c>
      <c r="P939" s="15">
        <f>SalesData[[#This Row],[Revenue]] - SalesData[[#This Row],[Cost]]</f>
        <v>122.85</v>
      </c>
      <c r="Q939" s="13">
        <f>IF(SalesData[[#This Row],[Revenue]]=0,0,SalesData[[#This Row],[Profit]]/SalesData[[#This Row],[Revenue]])</f>
        <v>0.70199999999999996</v>
      </c>
      <c r="R939" t="s">
        <v>1047</v>
      </c>
      <c r="S939" t="s">
        <v>1246</v>
      </c>
      <c r="T939" t="str">
        <f>PROPER(SalesData[[#This Row],[Customer Name]])</f>
        <v>Mia Johnson</v>
      </c>
      <c r="U939" t="s">
        <v>1414</v>
      </c>
      <c r="V939" t="s">
        <v>1420</v>
      </c>
    </row>
    <row r="940" spans="1:22" x14ac:dyDescent="0.25">
      <c r="A940" t="s">
        <v>2366</v>
      </c>
      <c r="B940" s="5">
        <v>45635</v>
      </c>
      <c r="C940" s="2" t="str">
        <f>TEXT(SalesData[[#This Row],[Order Date]],"mmm")</f>
        <v>Dec</v>
      </c>
      <c r="D940" s="7">
        <f>MONTH(SalesData[[#This Row],[Order Date]])</f>
        <v>12</v>
      </c>
      <c r="E940" s="7">
        <f>YEAR(SalesData[[#This Row],[Order Date]])</f>
        <v>2024</v>
      </c>
      <c r="F940" t="s">
        <v>536</v>
      </c>
      <c r="G940" t="str">
        <f>PROPER(SalesData[[#This Row],[Product Name]])</f>
        <v>Solar Led Lantern</v>
      </c>
      <c r="H940" t="s">
        <v>1012</v>
      </c>
      <c r="I940" t="str">
        <f>UPPER(SalesData[[#This Row],[Product Category]])</f>
        <v>LIGHTING</v>
      </c>
      <c r="J940">
        <v>3</v>
      </c>
      <c r="K940">
        <v>40</v>
      </c>
      <c r="L940" s="15">
        <f>IF(SalesData[[#This Row],[Unit Price]]="",
    AVERAGEIFS(SalesData[Unit Price],
               SalesData[Product Name],SalesData[[#This Row],[Product Name]]),
    SalesData[[#This Row],[Unit Price]])</f>
        <v>40</v>
      </c>
      <c r="M940" s="15">
        <v>13.88</v>
      </c>
      <c r="N940" s="15">
        <f>SalesData[[#This Row],[Quantity Sold]] * SalesData[[#This Row],[Cleaned Unit Price]]</f>
        <v>120</v>
      </c>
      <c r="O940" s="15">
        <f>SalesData[[#This Row],[Quantity Sold]] * SalesData[[#This Row],[Unit Cost]]</f>
        <v>41.64</v>
      </c>
      <c r="P940" s="15">
        <f>SalesData[[#This Row],[Revenue]] - SalesData[[#This Row],[Cost]]</f>
        <v>78.36</v>
      </c>
      <c r="Q940" s="13">
        <f>IF(SalesData[[#This Row],[Revenue]]=0,0,SalesData[[#This Row],[Profit]]/SalesData[[#This Row],[Revenue]])</f>
        <v>0.65300000000000002</v>
      </c>
      <c r="R940" t="s">
        <v>1200</v>
      </c>
      <c r="S940" t="s">
        <v>1399</v>
      </c>
      <c r="T940" t="str">
        <f>PROPER(SalesData[[#This Row],[Customer Name]])</f>
        <v>James Miller</v>
      </c>
      <c r="U940" t="s">
        <v>1414</v>
      </c>
      <c r="V940" t="s">
        <v>1426</v>
      </c>
    </row>
    <row r="941" spans="1:22" x14ac:dyDescent="0.25">
      <c r="A941" t="s">
        <v>2367</v>
      </c>
      <c r="B941" s="5">
        <v>45635</v>
      </c>
      <c r="C941" s="2" t="str">
        <f>TEXT(SalesData[[#This Row],[Order Date]],"mmm")</f>
        <v>Dec</v>
      </c>
      <c r="D941" s="7">
        <f>MONTH(SalesData[[#This Row],[Order Date]])</f>
        <v>12</v>
      </c>
      <c r="E941" s="7">
        <f>YEAR(SalesData[[#This Row],[Order Date]])</f>
        <v>2024</v>
      </c>
      <c r="F941" t="s">
        <v>898</v>
      </c>
      <c r="G941" t="str">
        <f>PROPER(SalesData[[#This Row],[Product Name]])</f>
        <v>Solar Led Lantern</v>
      </c>
      <c r="H941" t="s">
        <v>1012</v>
      </c>
      <c r="I941" t="str">
        <f>UPPER(SalesData[[#This Row],[Product Category]])</f>
        <v>LIGHTING</v>
      </c>
      <c r="J941">
        <v>10</v>
      </c>
      <c r="K941">
        <v>40</v>
      </c>
      <c r="L941" s="15">
        <f>IF(SalesData[[#This Row],[Unit Price]]="",
    AVERAGEIFS(SalesData[Unit Price],
               SalesData[Product Name],SalesData[[#This Row],[Product Name]]),
    SalesData[[#This Row],[Unit Price]])</f>
        <v>40</v>
      </c>
      <c r="M941" s="15">
        <v>10.5</v>
      </c>
      <c r="N941" s="15">
        <f>SalesData[[#This Row],[Quantity Sold]] * SalesData[[#This Row],[Cleaned Unit Price]]</f>
        <v>400</v>
      </c>
      <c r="O941" s="15">
        <f>SalesData[[#This Row],[Quantity Sold]] * SalesData[[#This Row],[Unit Cost]]</f>
        <v>105</v>
      </c>
      <c r="P941" s="15">
        <f>SalesData[[#This Row],[Revenue]] - SalesData[[#This Row],[Cost]]</f>
        <v>295</v>
      </c>
      <c r="Q941" s="13">
        <f>IF(SalesData[[#This Row],[Revenue]]=0,0,SalesData[[#This Row],[Profit]]/SalesData[[#This Row],[Revenue]])</f>
        <v>0.73750000000000004</v>
      </c>
      <c r="R941" t="s">
        <v>1072</v>
      </c>
      <c r="S941" t="s">
        <v>1271</v>
      </c>
      <c r="T941" t="str">
        <f>PROPER(SalesData[[#This Row],[Customer Name]])</f>
        <v>Ethan Garcia</v>
      </c>
      <c r="U941" t="s">
        <v>1414</v>
      </c>
      <c r="V941" t="s">
        <v>1425</v>
      </c>
    </row>
    <row r="942" spans="1:22" x14ac:dyDescent="0.25">
      <c r="A942" t="s">
        <v>2368</v>
      </c>
      <c r="B942" s="5">
        <v>45636</v>
      </c>
      <c r="C942" s="2" t="str">
        <f>TEXT(SalesData[[#This Row],[Order Date]],"mmm")</f>
        <v>Dec</v>
      </c>
      <c r="D942" s="7">
        <f>MONTH(SalesData[[#This Row],[Order Date]])</f>
        <v>12</v>
      </c>
      <c r="E942" s="7">
        <f>YEAR(SalesData[[#This Row],[Order Date]])</f>
        <v>2024</v>
      </c>
      <c r="F942" t="s">
        <v>124</v>
      </c>
      <c r="G942" t="str">
        <f>PROPER(SalesData[[#This Row],[Product Name]])</f>
        <v>Reusable Bamboo Utensil Set</v>
      </c>
      <c r="H942" t="s">
        <v>1014</v>
      </c>
      <c r="I942" t="str">
        <f>UPPER(SalesData[[#This Row],[Product Category]])</f>
        <v>KITCHENWARE</v>
      </c>
      <c r="J942">
        <v>3</v>
      </c>
      <c r="K942">
        <v>15</v>
      </c>
      <c r="L942" s="15">
        <f>IF(SalesData[[#This Row],[Unit Price]]="",
    AVERAGEIFS(SalesData[Unit Price],
               SalesData[Product Name],SalesData[[#This Row],[Product Name]]),
    SalesData[[#This Row],[Unit Price]])</f>
        <v>15</v>
      </c>
      <c r="M942" s="15">
        <v>3.32</v>
      </c>
      <c r="N942" s="15">
        <f>SalesData[[#This Row],[Quantity Sold]] * SalesData[[#This Row],[Cleaned Unit Price]]</f>
        <v>45</v>
      </c>
      <c r="O942" s="15">
        <f>SalesData[[#This Row],[Quantity Sold]] * SalesData[[#This Row],[Unit Cost]]</f>
        <v>9.9599999999999991</v>
      </c>
      <c r="P942" s="15">
        <f>SalesData[[#This Row],[Revenue]] - SalesData[[#This Row],[Cost]]</f>
        <v>35.04</v>
      </c>
      <c r="Q942" s="13">
        <f>IF(SalesData[[#This Row],[Revenue]]=0,0,SalesData[[#This Row],[Profit]]/SalesData[[#This Row],[Revenue]])</f>
        <v>0.77866666666666662</v>
      </c>
      <c r="R942" t="s">
        <v>1103</v>
      </c>
      <c r="S942" t="s">
        <v>1302</v>
      </c>
      <c r="T942" t="str">
        <f>PROPER(SalesData[[#This Row],[Customer Name]])</f>
        <v>Ava Rodriguez</v>
      </c>
      <c r="U942" t="s">
        <v>1414</v>
      </c>
      <c r="V942" t="s">
        <v>1419</v>
      </c>
    </row>
    <row r="943" spans="1:22" x14ac:dyDescent="0.25">
      <c r="A943" t="s">
        <v>2369</v>
      </c>
      <c r="B943" s="5">
        <v>45636</v>
      </c>
      <c r="C943" s="2" t="str">
        <f>TEXT(SalesData[[#This Row],[Order Date]],"mmm")</f>
        <v>Dec</v>
      </c>
      <c r="D943" s="7">
        <f>MONTH(SalesData[[#This Row],[Order Date]])</f>
        <v>12</v>
      </c>
      <c r="E943" s="7">
        <f>YEAR(SalesData[[#This Row],[Order Date]])</f>
        <v>2024</v>
      </c>
      <c r="F943" t="s">
        <v>298</v>
      </c>
      <c r="G943" t="str">
        <f>PROPER(SalesData[[#This Row],[Product Name]])</f>
        <v>Solar Led Lantern</v>
      </c>
      <c r="H943" t="s">
        <v>1012</v>
      </c>
      <c r="I943" t="str">
        <f>UPPER(SalesData[[#This Row],[Product Category]])</f>
        <v>LIGHTING</v>
      </c>
      <c r="J943">
        <v>10</v>
      </c>
      <c r="K943">
        <v>40</v>
      </c>
      <c r="L943" s="15">
        <f>IF(SalesData[[#This Row],[Unit Price]]="",
    AVERAGEIFS(SalesData[Unit Price],
               SalesData[Product Name],SalesData[[#This Row],[Product Name]]),
    SalesData[[#This Row],[Unit Price]])</f>
        <v>40</v>
      </c>
      <c r="M943" s="15">
        <v>11.45</v>
      </c>
      <c r="N943" s="15">
        <f>SalesData[[#This Row],[Quantity Sold]] * SalesData[[#This Row],[Cleaned Unit Price]]</f>
        <v>400</v>
      </c>
      <c r="O943" s="15">
        <f>SalesData[[#This Row],[Quantity Sold]] * SalesData[[#This Row],[Unit Cost]]</f>
        <v>114.5</v>
      </c>
      <c r="P943" s="15">
        <f>SalesData[[#This Row],[Revenue]] - SalesData[[#This Row],[Cost]]</f>
        <v>285.5</v>
      </c>
      <c r="Q943" s="13">
        <f>IF(SalesData[[#This Row],[Revenue]]=0,0,SalesData[[#This Row],[Profit]]/SalesData[[#This Row],[Revenue]])</f>
        <v>0.71375</v>
      </c>
      <c r="R943" t="s">
        <v>1100</v>
      </c>
      <c r="S943" t="s">
        <v>1299</v>
      </c>
      <c r="T943" t="str">
        <f>PROPER(SalesData[[#This Row],[Customer Name]])</f>
        <v>Mia Miller</v>
      </c>
      <c r="U943" t="s">
        <v>1415</v>
      </c>
      <c r="V943" t="s">
        <v>1425</v>
      </c>
    </row>
    <row r="944" spans="1:22" x14ac:dyDescent="0.25">
      <c r="A944" t="s">
        <v>2370</v>
      </c>
      <c r="B944" s="5">
        <v>45637</v>
      </c>
      <c r="C944" s="2" t="str">
        <f>TEXT(SalesData[[#This Row],[Order Date]],"mmm")</f>
        <v>Dec</v>
      </c>
      <c r="D944" s="7">
        <f>MONTH(SalesData[[#This Row],[Order Date]])</f>
        <v>12</v>
      </c>
      <c r="E944" s="7">
        <f>YEAR(SalesData[[#This Row],[Order Date]])</f>
        <v>2024</v>
      </c>
      <c r="F944" t="s">
        <v>98</v>
      </c>
      <c r="G944" t="str">
        <f>PROPER(SalesData[[#This Row],[Product Name]])</f>
        <v>Eco Canvas Tote Bag</v>
      </c>
      <c r="H944" t="s">
        <v>1013</v>
      </c>
      <c r="I944" t="str">
        <f>UPPER(SalesData[[#This Row],[Product Category]])</f>
        <v>BAGS</v>
      </c>
      <c r="J944">
        <v>10</v>
      </c>
      <c r="K944">
        <v>25</v>
      </c>
      <c r="L944" s="15">
        <f>IF(SalesData[[#This Row],[Unit Price]]="",
    AVERAGEIFS(SalesData[Unit Price],
               SalesData[Product Name],SalesData[[#This Row],[Product Name]]),
    SalesData[[#This Row],[Unit Price]])</f>
        <v>25</v>
      </c>
      <c r="M944" s="15">
        <v>9.69</v>
      </c>
      <c r="N944" s="15">
        <f>SalesData[[#This Row],[Quantity Sold]] * SalesData[[#This Row],[Cleaned Unit Price]]</f>
        <v>250</v>
      </c>
      <c r="O944" s="15">
        <f>SalesData[[#This Row],[Quantity Sold]] * SalesData[[#This Row],[Unit Cost]]</f>
        <v>96.899999999999991</v>
      </c>
      <c r="P944" s="15">
        <f>SalesData[[#This Row],[Revenue]] - SalesData[[#This Row],[Cost]]</f>
        <v>153.10000000000002</v>
      </c>
      <c r="Q944" s="13">
        <f>IF(SalesData[[#This Row],[Revenue]]=0,0,SalesData[[#This Row],[Profit]]/SalesData[[#This Row],[Revenue]])</f>
        <v>0.61240000000000006</v>
      </c>
      <c r="R944" t="s">
        <v>1083</v>
      </c>
      <c r="S944" t="s">
        <v>1282</v>
      </c>
      <c r="T944" t="str">
        <f>PROPER(SalesData[[#This Row],[Customer Name]])</f>
        <v>Mason Davis</v>
      </c>
      <c r="U944" t="s">
        <v>1414</v>
      </c>
      <c r="V944" t="s">
        <v>1419</v>
      </c>
    </row>
    <row r="945" spans="1:22" x14ac:dyDescent="0.25">
      <c r="A945" t="s">
        <v>2371</v>
      </c>
      <c r="B945" s="5">
        <v>45637</v>
      </c>
      <c r="C945" s="2" t="str">
        <f>TEXT(SalesData[[#This Row],[Order Date]],"mmm")</f>
        <v>Dec</v>
      </c>
      <c r="D945" s="7">
        <f>MONTH(SalesData[[#This Row],[Order Date]])</f>
        <v>12</v>
      </c>
      <c r="E945" s="7">
        <f>YEAR(SalesData[[#This Row],[Order Date]])</f>
        <v>2024</v>
      </c>
      <c r="F945" t="s">
        <v>369</v>
      </c>
      <c r="G945" t="str">
        <f>PROPER(SalesData[[#This Row],[Product Name]])</f>
        <v>Compostable Plant Pots</v>
      </c>
      <c r="H945" t="s">
        <v>1011</v>
      </c>
      <c r="I945" t="str">
        <f>UPPER(SalesData[[#This Row],[Product Category]])</f>
        <v>GARDENING</v>
      </c>
      <c r="J945">
        <v>9</v>
      </c>
      <c r="K945">
        <v>12</v>
      </c>
      <c r="L945" s="15">
        <f>IF(SalesData[[#This Row],[Unit Price]]="",
    AVERAGEIFS(SalesData[Unit Price],
               SalesData[Product Name],SalesData[[#This Row],[Product Name]]),
    SalesData[[#This Row],[Unit Price]])</f>
        <v>12</v>
      </c>
      <c r="M945" s="15">
        <v>3.65</v>
      </c>
      <c r="N945" s="15">
        <f>SalesData[[#This Row],[Quantity Sold]] * SalesData[[#This Row],[Cleaned Unit Price]]</f>
        <v>108</v>
      </c>
      <c r="O945" s="15">
        <f>SalesData[[#This Row],[Quantity Sold]] * SalesData[[#This Row],[Unit Cost]]</f>
        <v>32.85</v>
      </c>
      <c r="P945" s="15">
        <f>SalesData[[#This Row],[Revenue]] - SalesData[[#This Row],[Cost]]</f>
        <v>75.150000000000006</v>
      </c>
      <c r="Q945" s="13">
        <f>IF(SalesData[[#This Row],[Revenue]]=0,0,SalesData[[#This Row],[Profit]]/SalesData[[#This Row],[Revenue]])</f>
        <v>0.69583333333333341</v>
      </c>
      <c r="R945" t="s">
        <v>1171</v>
      </c>
      <c r="S945" t="s">
        <v>1370</v>
      </c>
      <c r="T945" t="str">
        <f>PROPER(SalesData[[#This Row],[Customer Name]])</f>
        <v>Ava Rodriguez</v>
      </c>
      <c r="U945" t="s">
        <v>1415</v>
      </c>
      <c r="V945" t="s">
        <v>1418</v>
      </c>
    </row>
    <row r="946" spans="1:22" x14ac:dyDescent="0.25">
      <c r="A946" t="s">
        <v>2372</v>
      </c>
      <c r="B946" s="5">
        <v>45637</v>
      </c>
      <c r="C946" s="2" t="str">
        <f>TEXT(SalesData[[#This Row],[Order Date]],"mmm")</f>
        <v>Dec</v>
      </c>
      <c r="D946" s="7">
        <f>MONTH(SalesData[[#This Row],[Order Date]])</f>
        <v>12</v>
      </c>
      <c r="E946" s="7">
        <f>YEAR(SalesData[[#This Row],[Order Date]])</f>
        <v>2024</v>
      </c>
      <c r="F946" t="s">
        <v>529</v>
      </c>
      <c r="G946" t="str">
        <f>PROPER(SalesData[[#This Row],[Product Name]])</f>
        <v>Eco Canvas Tote Bag</v>
      </c>
      <c r="H946" t="s">
        <v>1013</v>
      </c>
      <c r="I946" t="str">
        <f>UPPER(SalesData[[#This Row],[Product Category]])</f>
        <v>BAGS</v>
      </c>
      <c r="J946">
        <v>5</v>
      </c>
      <c r="K946">
        <v>25</v>
      </c>
      <c r="L946" s="15">
        <f>IF(SalesData[[#This Row],[Unit Price]]="",
    AVERAGEIFS(SalesData[Unit Price],
               SalesData[Product Name],SalesData[[#This Row],[Product Name]]),
    SalesData[[#This Row],[Unit Price]])</f>
        <v>25</v>
      </c>
      <c r="M946" s="15">
        <v>8.9600000000000009</v>
      </c>
      <c r="N946" s="15">
        <f>SalesData[[#This Row],[Quantity Sold]] * SalesData[[#This Row],[Cleaned Unit Price]]</f>
        <v>125</v>
      </c>
      <c r="O946" s="15">
        <f>SalesData[[#This Row],[Quantity Sold]] * SalesData[[#This Row],[Unit Cost]]</f>
        <v>44.800000000000004</v>
      </c>
      <c r="P946" s="15">
        <f>SalesData[[#This Row],[Revenue]] - SalesData[[#This Row],[Cost]]</f>
        <v>80.199999999999989</v>
      </c>
      <c r="Q946" s="13">
        <f>IF(SalesData[[#This Row],[Revenue]]=0,0,SalesData[[#This Row],[Profit]]/SalesData[[#This Row],[Revenue]])</f>
        <v>0.64159999999999995</v>
      </c>
      <c r="R946" t="s">
        <v>1179</v>
      </c>
      <c r="S946" t="s">
        <v>1378</v>
      </c>
      <c r="T946" t="str">
        <f>PROPER(SalesData[[#This Row],[Customer Name]])</f>
        <v>Olivia Williams</v>
      </c>
      <c r="U946" t="s">
        <v>1414</v>
      </c>
      <c r="V946" t="s">
        <v>1422</v>
      </c>
    </row>
    <row r="947" spans="1:22" x14ac:dyDescent="0.25">
      <c r="A947" t="s">
        <v>2373</v>
      </c>
      <c r="B947" s="5">
        <v>45637</v>
      </c>
      <c r="C947" s="2" t="str">
        <f>TEXT(SalesData[[#This Row],[Order Date]],"mmm")</f>
        <v>Dec</v>
      </c>
      <c r="D947" s="7">
        <f>MONTH(SalesData[[#This Row],[Order Date]])</f>
        <v>12</v>
      </c>
      <c r="E947" s="7">
        <f>YEAR(SalesData[[#This Row],[Order Date]])</f>
        <v>2024</v>
      </c>
      <c r="F947" t="s">
        <v>674</v>
      </c>
      <c r="G947" t="str">
        <f>PROPER(SalesData[[#This Row],[Product Name]])</f>
        <v>Eco Canvas Tote Bag</v>
      </c>
      <c r="H947" t="s">
        <v>1013</v>
      </c>
      <c r="I947" t="str">
        <f>UPPER(SalesData[[#This Row],[Product Category]])</f>
        <v>BAGS</v>
      </c>
      <c r="J947">
        <v>4</v>
      </c>
      <c r="K947">
        <v>25</v>
      </c>
      <c r="L947" s="15">
        <f>IF(SalesData[[#This Row],[Unit Price]]="",
    AVERAGEIFS(SalesData[Unit Price],
               SalesData[Product Name],SalesData[[#This Row],[Product Name]]),
    SalesData[[#This Row],[Unit Price]])</f>
        <v>25</v>
      </c>
      <c r="M947" s="15">
        <v>9.9499999999999993</v>
      </c>
      <c r="N947" s="15">
        <f>SalesData[[#This Row],[Quantity Sold]] * SalesData[[#This Row],[Cleaned Unit Price]]</f>
        <v>100</v>
      </c>
      <c r="O947" s="15">
        <f>SalesData[[#This Row],[Quantity Sold]] * SalesData[[#This Row],[Unit Cost]]</f>
        <v>39.799999999999997</v>
      </c>
      <c r="P947" s="15">
        <f>SalesData[[#This Row],[Revenue]] - SalesData[[#This Row],[Cost]]</f>
        <v>60.2</v>
      </c>
      <c r="Q947" s="13">
        <f>IF(SalesData[[#This Row],[Revenue]]=0,0,SalesData[[#This Row],[Profit]]/SalesData[[#This Row],[Revenue]])</f>
        <v>0.60199999999999998</v>
      </c>
      <c r="R947" t="s">
        <v>1052</v>
      </c>
      <c r="S947" t="s">
        <v>1251</v>
      </c>
      <c r="T947" t="str">
        <f>PROPER(SalesData[[#This Row],[Customer Name]])</f>
        <v>Charlotte Davis</v>
      </c>
      <c r="U947" t="s">
        <v>1414</v>
      </c>
      <c r="V947" t="s">
        <v>1422</v>
      </c>
    </row>
    <row r="948" spans="1:22" x14ac:dyDescent="0.25">
      <c r="A948" t="s">
        <v>2374</v>
      </c>
      <c r="B948" s="5">
        <v>45637</v>
      </c>
      <c r="C948" s="2" t="str">
        <f>TEXT(SalesData[[#This Row],[Order Date]],"mmm")</f>
        <v>Dec</v>
      </c>
      <c r="D948" s="7">
        <f>MONTH(SalesData[[#This Row],[Order Date]])</f>
        <v>12</v>
      </c>
      <c r="E948" s="7">
        <f>YEAR(SalesData[[#This Row],[Order Date]])</f>
        <v>2024</v>
      </c>
      <c r="F948" t="s">
        <v>707</v>
      </c>
      <c r="G948" t="str">
        <f>PROPER(SalesData[[#This Row],[Product Name]])</f>
        <v>Compostable Plant Pots</v>
      </c>
      <c r="H948" t="s">
        <v>1011</v>
      </c>
      <c r="I948" t="str">
        <f>UPPER(SalesData[[#This Row],[Product Category]])</f>
        <v>GARDENING</v>
      </c>
      <c r="J948">
        <v>3</v>
      </c>
      <c r="K948">
        <v>12</v>
      </c>
      <c r="L948" s="15">
        <f>IF(SalesData[[#This Row],[Unit Price]]="",
    AVERAGEIFS(SalesData[Unit Price],
               SalesData[Product Name],SalesData[[#This Row],[Product Name]]),
    SalesData[[#This Row],[Unit Price]])</f>
        <v>12</v>
      </c>
      <c r="M948" s="15">
        <v>4.3899999999999997</v>
      </c>
      <c r="N948" s="15">
        <f>SalesData[[#This Row],[Quantity Sold]] * SalesData[[#This Row],[Cleaned Unit Price]]</f>
        <v>36</v>
      </c>
      <c r="O948" s="15">
        <f>SalesData[[#This Row],[Quantity Sold]] * SalesData[[#This Row],[Unit Cost]]</f>
        <v>13.169999999999998</v>
      </c>
      <c r="P948" s="15">
        <f>SalesData[[#This Row],[Revenue]] - SalesData[[#This Row],[Cost]]</f>
        <v>22.830000000000002</v>
      </c>
      <c r="Q948" s="13">
        <f>IF(SalesData[[#This Row],[Revenue]]=0,0,SalesData[[#This Row],[Profit]]/SalesData[[#This Row],[Revenue]])</f>
        <v>0.63416666666666677</v>
      </c>
      <c r="R948" t="s">
        <v>1129</v>
      </c>
      <c r="S948" t="s">
        <v>1328</v>
      </c>
      <c r="T948" t="str">
        <f>PROPER(SalesData[[#This Row],[Customer Name]])</f>
        <v>Ava Brown</v>
      </c>
      <c r="U948" t="s">
        <v>1416</v>
      </c>
      <c r="V948" t="s">
        <v>1422</v>
      </c>
    </row>
    <row r="949" spans="1:22" x14ac:dyDescent="0.25">
      <c r="A949" t="s">
        <v>2375</v>
      </c>
      <c r="B949" s="5">
        <v>45638</v>
      </c>
      <c r="C949" s="2" t="str">
        <f>TEXT(SalesData[[#This Row],[Order Date]],"mmm")</f>
        <v>Dec</v>
      </c>
      <c r="D949" s="7">
        <f>MONTH(SalesData[[#This Row],[Order Date]])</f>
        <v>12</v>
      </c>
      <c r="E949" s="7">
        <f>YEAR(SalesData[[#This Row],[Order Date]])</f>
        <v>2024</v>
      </c>
      <c r="F949" t="s">
        <v>24</v>
      </c>
      <c r="G949" t="str">
        <f>PROPER(SalesData[[#This Row],[Product Name]])</f>
        <v>Eco Canvas Tote Bag</v>
      </c>
      <c r="H949" t="s">
        <v>1013</v>
      </c>
      <c r="I949" t="str">
        <f>UPPER(SalesData[[#This Row],[Product Category]])</f>
        <v>BAGS</v>
      </c>
      <c r="J949">
        <v>5</v>
      </c>
      <c r="K949">
        <v>25</v>
      </c>
      <c r="L949" s="15">
        <f>IF(SalesData[[#This Row],[Unit Price]]="",
    AVERAGEIFS(SalesData[Unit Price],
               SalesData[Product Name],SalesData[[#This Row],[Product Name]]),
    SalesData[[#This Row],[Unit Price]])</f>
        <v>25</v>
      </c>
      <c r="M949" s="15">
        <v>9.1199999999999992</v>
      </c>
      <c r="N949" s="15">
        <f>SalesData[[#This Row],[Quantity Sold]] * SalesData[[#This Row],[Cleaned Unit Price]]</f>
        <v>125</v>
      </c>
      <c r="O949" s="15">
        <f>SalesData[[#This Row],[Quantity Sold]] * SalesData[[#This Row],[Unit Cost]]</f>
        <v>45.599999999999994</v>
      </c>
      <c r="P949" s="15">
        <f>SalesData[[#This Row],[Revenue]] - SalesData[[#This Row],[Cost]]</f>
        <v>79.400000000000006</v>
      </c>
      <c r="Q949" s="13">
        <f>IF(SalesData[[#This Row],[Revenue]]=0,0,SalesData[[#This Row],[Profit]]/SalesData[[#This Row],[Revenue]])</f>
        <v>0.6352000000000001</v>
      </c>
      <c r="R949" t="s">
        <v>1028</v>
      </c>
      <c r="S949" t="s">
        <v>1227</v>
      </c>
      <c r="T949" t="str">
        <f>PROPER(SalesData[[#This Row],[Customer Name]])</f>
        <v>Liam Brown</v>
      </c>
      <c r="U949" t="s">
        <v>1414</v>
      </c>
      <c r="V949" t="s">
        <v>1427</v>
      </c>
    </row>
    <row r="950" spans="1:22" x14ac:dyDescent="0.25">
      <c r="A950" t="s">
        <v>2376</v>
      </c>
      <c r="B950" s="5">
        <v>45638</v>
      </c>
      <c r="C950" s="2" t="str">
        <f>TEXT(SalesData[[#This Row],[Order Date]],"mmm")</f>
        <v>Dec</v>
      </c>
      <c r="D950" s="7">
        <f>MONTH(SalesData[[#This Row],[Order Date]])</f>
        <v>12</v>
      </c>
      <c r="E950" s="7">
        <f>YEAR(SalesData[[#This Row],[Order Date]])</f>
        <v>2024</v>
      </c>
      <c r="F950" t="s">
        <v>571</v>
      </c>
      <c r="G950" t="str">
        <f>PROPER(SalesData[[#This Row],[Product Name]])</f>
        <v>Biodegradable Cleaning Cloth</v>
      </c>
      <c r="H950" t="s">
        <v>1015</v>
      </c>
      <c r="I950" t="str">
        <f>UPPER(SalesData[[#This Row],[Product Category]])</f>
        <v>CLEANING</v>
      </c>
      <c r="J950">
        <v>5</v>
      </c>
      <c r="K950">
        <v>10</v>
      </c>
      <c r="L950" s="15">
        <f>IF(SalesData[[#This Row],[Unit Price]]="",
    AVERAGEIFS(SalesData[Unit Price],
               SalesData[Product Name],SalesData[[#This Row],[Product Name]]),
    SalesData[[#This Row],[Unit Price]])</f>
        <v>10</v>
      </c>
      <c r="M950" s="15">
        <v>2.04</v>
      </c>
      <c r="N950" s="15">
        <f>SalesData[[#This Row],[Quantity Sold]] * SalesData[[#This Row],[Cleaned Unit Price]]</f>
        <v>50</v>
      </c>
      <c r="O950" s="15">
        <f>SalesData[[#This Row],[Quantity Sold]] * SalesData[[#This Row],[Unit Cost]]</f>
        <v>10.199999999999999</v>
      </c>
      <c r="P950" s="15">
        <f>SalesData[[#This Row],[Revenue]] - SalesData[[#This Row],[Cost]]</f>
        <v>39.799999999999997</v>
      </c>
      <c r="Q950" s="13">
        <f>IF(SalesData[[#This Row],[Revenue]]=0,0,SalesData[[#This Row],[Profit]]/SalesData[[#This Row],[Revenue]])</f>
        <v>0.79599999999999993</v>
      </c>
      <c r="R950" t="s">
        <v>1152</v>
      </c>
      <c r="S950" t="s">
        <v>1351</v>
      </c>
      <c r="T950" t="str">
        <f>PROPER(SalesData[[#This Row],[Customer Name]])</f>
        <v>Amelia Johnson</v>
      </c>
      <c r="U950" t="s">
        <v>1414</v>
      </c>
      <c r="V950" t="s">
        <v>1418</v>
      </c>
    </row>
    <row r="951" spans="1:22" x14ac:dyDescent="0.25">
      <c r="A951" t="s">
        <v>2377</v>
      </c>
      <c r="B951" s="5">
        <v>45639</v>
      </c>
      <c r="C951" s="2" t="str">
        <f>TEXT(SalesData[[#This Row],[Order Date]],"mmm")</f>
        <v>Dec</v>
      </c>
      <c r="D951" s="7">
        <f>MONTH(SalesData[[#This Row],[Order Date]])</f>
        <v>12</v>
      </c>
      <c r="E951" s="7">
        <f>YEAR(SalesData[[#This Row],[Order Date]])</f>
        <v>2024</v>
      </c>
      <c r="F951" t="s">
        <v>244</v>
      </c>
      <c r="G951" t="str">
        <f>PROPER(SalesData[[#This Row],[Product Name]])</f>
        <v>Reusable Bamboo Utensil Set</v>
      </c>
      <c r="H951" t="s">
        <v>1014</v>
      </c>
      <c r="I951" t="str">
        <f>UPPER(SalesData[[#This Row],[Product Category]])</f>
        <v>KITCHENWARE</v>
      </c>
      <c r="J951">
        <v>5</v>
      </c>
      <c r="K951">
        <v>15</v>
      </c>
      <c r="L951" s="15">
        <f>IF(SalesData[[#This Row],[Unit Price]]="",
    AVERAGEIFS(SalesData[Unit Price],
               SalesData[Product Name],SalesData[[#This Row],[Product Name]]),
    SalesData[[#This Row],[Unit Price]])</f>
        <v>15</v>
      </c>
      <c r="M951" s="15">
        <v>5.67</v>
      </c>
      <c r="N951" s="15">
        <f>SalesData[[#This Row],[Quantity Sold]] * SalesData[[#This Row],[Cleaned Unit Price]]</f>
        <v>75</v>
      </c>
      <c r="O951" s="15">
        <f>SalesData[[#This Row],[Quantity Sold]] * SalesData[[#This Row],[Unit Cost]]</f>
        <v>28.35</v>
      </c>
      <c r="P951" s="15">
        <f>SalesData[[#This Row],[Revenue]] - SalesData[[#This Row],[Cost]]</f>
        <v>46.65</v>
      </c>
      <c r="Q951" s="13">
        <f>IF(SalesData[[#This Row],[Revenue]]=0,0,SalesData[[#This Row],[Profit]]/SalesData[[#This Row],[Revenue]])</f>
        <v>0.622</v>
      </c>
      <c r="R951" t="s">
        <v>1154</v>
      </c>
      <c r="S951" t="s">
        <v>1353</v>
      </c>
      <c r="T951" t="str">
        <f>PROPER(SalesData[[#This Row],[Customer Name]])</f>
        <v>Olivia Miller</v>
      </c>
      <c r="U951" t="s">
        <v>1414</v>
      </c>
      <c r="V951" t="s">
        <v>1420</v>
      </c>
    </row>
    <row r="952" spans="1:22" x14ac:dyDescent="0.25">
      <c r="A952" t="s">
        <v>2378</v>
      </c>
      <c r="B952" s="5">
        <v>45639</v>
      </c>
      <c r="C952" s="2" t="str">
        <f>TEXT(SalesData[[#This Row],[Order Date]],"mmm")</f>
        <v>Dec</v>
      </c>
      <c r="D952" s="7">
        <f>MONTH(SalesData[[#This Row],[Order Date]])</f>
        <v>12</v>
      </c>
      <c r="E952" s="7">
        <f>YEAR(SalesData[[#This Row],[Order Date]])</f>
        <v>2024</v>
      </c>
      <c r="F952" t="s">
        <v>355</v>
      </c>
      <c r="G952" t="str">
        <f>PROPER(SalesData[[#This Row],[Product Name]])</f>
        <v>Reusable Bamboo Utensil Set</v>
      </c>
      <c r="H952" t="s">
        <v>1014</v>
      </c>
      <c r="I952" t="str">
        <f>UPPER(SalesData[[#This Row],[Product Category]])</f>
        <v>KITCHENWARE</v>
      </c>
      <c r="J952">
        <v>1</v>
      </c>
      <c r="K952">
        <v>15</v>
      </c>
      <c r="L952" s="15">
        <f>IF(SalesData[[#This Row],[Unit Price]]="",
    AVERAGEIFS(SalesData[Unit Price],
               SalesData[Product Name],SalesData[[#This Row],[Product Name]]),
    SalesData[[#This Row],[Unit Price]])</f>
        <v>15</v>
      </c>
      <c r="M952" s="15">
        <v>5.36</v>
      </c>
      <c r="N952" s="15">
        <f>SalesData[[#This Row],[Quantity Sold]] * SalesData[[#This Row],[Cleaned Unit Price]]</f>
        <v>15</v>
      </c>
      <c r="O952" s="15">
        <f>SalesData[[#This Row],[Quantity Sold]] * SalesData[[#This Row],[Unit Cost]]</f>
        <v>5.36</v>
      </c>
      <c r="P952" s="15">
        <f>SalesData[[#This Row],[Revenue]] - SalesData[[#This Row],[Cost]]</f>
        <v>9.64</v>
      </c>
      <c r="Q952" s="13">
        <f>IF(SalesData[[#This Row],[Revenue]]=0,0,SalesData[[#This Row],[Profit]]/SalesData[[#This Row],[Revenue]])</f>
        <v>0.64266666666666672</v>
      </c>
      <c r="R952" t="s">
        <v>1151</v>
      </c>
      <c r="S952" t="s">
        <v>1350</v>
      </c>
      <c r="T952" t="str">
        <f>PROPER(SalesData[[#This Row],[Customer Name]])</f>
        <v>Isabella Brown</v>
      </c>
      <c r="U952" t="s">
        <v>1417</v>
      </c>
      <c r="V952" t="s">
        <v>1424</v>
      </c>
    </row>
    <row r="953" spans="1:22" x14ac:dyDescent="0.25">
      <c r="A953" t="s">
        <v>2379</v>
      </c>
      <c r="B953" s="5">
        <v>45640</v>
      </c>
      <c r="C953" s="2" t="str">
        <f>TEXT(SalesData[[#This Row],[Order Date]],"mmm")</f>
        <v>Dec</v>
      </c>
      <c r="D953" s="7">
        <f>MONTH(SalesData[[#This Row],[Order Date]])</f>
        <v>12</v>
      </c>
      <c r="E953" s="7">
        <f>YEAR(SalesData[[#This Row],[Order Date]])</f>
        <v>2024</v>
      </c>
      <c r="F953" t="s">
        <v>439</v>
      </c>
      <c r="G953" t="str">
        <f>PROPER(SalesData[[#This Row],[Product Name]])</f>
        <v>Reusable Bamboo Utensil Set</v>
      </c>
      <c r="H953" t="s">
        <v>1014</v>
      </c>
      <c r="I953" t="str">
        <f>UPPER(SalesData[[#This Row],[Product Category]])</f>
        <v>KITCHENWARE</v>
      </c>
      <c r="J953">
        <v>5</v>
      </c>
      <c r="K953">
        <v>15</v>
      </c>
      <c r="L953" s="15">
        <f>IF(SalesData[[#This Row],[Unit Price]]="",
    AVERAGEIFS(SalesData[Unit Price],
               SalesData[Product Name],SalesData[[#This Row],[Product Name]]),
    SalesData[[#This Row],[Unit Price]])</f>
        <v>15</v>
      </c>
      <c r="M953" s="15">
        <v>3.45</v>
      </c>
      <c r="N953" s="15">
        <f>SalesData[[#This Row],[Quantity Sold]] * SalesData[[#This Row],[Cleaned Unit Price]]</f>
        <v>75</v>
      </c>
      <c r="O953" s="15">
        <f>SalesData[[#This Row],[Quantity Sold]] * SalesData[[#This Row],[Unit Cost]]</f>
        <v>17.25</v>
      </c>
      <c r="P953" s="15">
        <f>SalesData[[#This Row],[Revenue]] - SalesData[[#This Row],[Cost]]</f>
        <v>57.75</v>
      </c>
      <c r="Q953" s="13">
        <f>IF(SalesData[[#This Row],[Revenue]]=0,0,SalesData[[#This Row],[Profit]]/SalesData[[#This Row],[Revenue]])</f>
        <v>0.77</v>
      </c>
      <c r="R953" t="s">
        <v>1063</v>
      </c>
      <c r="S953" t="s">
        <v>1262</v>
      </c>
      <c r="T953" t="str">
        <f>PROPER(SalesData[[#This Row],[Customer Name]])</f>
        <v>Aiden Martinez</v>
      </c>
      <c r="U953" t="s">
        <v>1414</v>
      </c>
      <c r="V953" t="s">
        <v>1424</v>
      </c>
    </row>
    <row r="954" spans="1:22" x14ac:dyDescent="0.25">
      <c r="A954" t="s">
        <v>2380</v>
      </c>
      <c r="B954" s="5">
        <v>45641</v>
      </c>
      <c r="C954" s="2" t="str">
        <f>TEXT(SalesData[[#This Row],[Order Date]],"mmm")</f>
        <v>Dec</v>
      </c>
      <c r="D954" s="7">
        <f>MONTH(SalesData[[#This Row],[Order Date]])</f>
        <v>12</v>
      </c>
      <c r="E954" s="7">
        <f>YEAR(SalesData[[#This Row],[Order Date]])</f>
        <v>2024</v>
      </c>
      <c r="F954" t="s">
        <v>293</v>
      </c>
      <c r="G954" t="str">
        <f>PROPER(SalesData[[#This Row],[Product Name]])</f>
        <v>Compostable Plant Pots</v>
      </c>
      <c r="H954" t="s">
        <v>1011</v>
      </c>
      <c r="I954" t="str">
        <f>UPPER(SalesData[[#This Row],[Product Category]])</f>
        <v>GARDENING</v>
      </c>
      <c r="J954">
        <v>9</v>
      </c>
      <c r="K954">
        <v>12</v>
      </c>
      <c r="L954" s="15">
        <f>IF(SalesData[[#This Row],[Unit Price]]="",
    AVERAGEIFS(SalesData[Unit Price],
               SalesData[Product Name],SalesData[[#This Row],[Product Name]]),
    SalesData[[#This Row],[Unit Price]])</f>
        <v>12</v>
      </c>
      <c r="M954" s="15">
        <v>3.54</v>
      </c>
      <c r="N954" s="15">
        <f>SalesData[[#This Row],[Quantity Sold]] * SalesData[[#This Row],[Cleaned Unit Price]]</f>
        <v>108</v>
      </c>
      <c r="O954" s="15">
        <f>SalesData[[#This Row],[Quantity Sold]] * SalesData[[#This Row],[Unit Cost]]</f>
        <v>31.86</v>
      </c>
      <c r="P954" s="15">
        <f>SalesData[[#This Row],[Revenue]] - SalesData[[#This Row],[Cost]]</f>
        <v>76.14</v>
      </c>
      <c r="Q954" s="13">
        <f>IF(SalesData[[#This Row],[Revenue]]=0,0,SalesData[[#This Row],[Profit]]/SalesData[[#This Row],[Revenue]])</f>
        <v>0.70499999999999996</v>
      </c>
      <c r="R954" t="s">
        <v>1149</v>
      </c>
      <c r="S954" t="s">
        <v>1348</v>
      </c>
      <c r="T954" t="str">
        <f>PROPER(SalesData[[#This Row],[Customer Name]])</f>
        <v>Oliver Johnson</v>
      </c>
      <c r="U954" t="s">
        <v>1414</v>
      </c>
      <c r="V954" t="s">
        <v>1421</v>
      </c>
    </row>
    <row r="955" spans="1:22" x14ac:dyDescent="0.25">
      <c r="A955" t="s">
        <v>2381</v>
      </c>
      <c r="B955" s="5">
        <v>45641</v>
      </c>
      <c r="C955" s="2" t="str">
        <f>TEXT(SalesData[[#This Row],[Order Date]],"mmm")</f>
        <v>Dec</v>
      </c>
      <c r="D955" s="7">
        <f>MONTH(SalesData[[#This Row],[Order Date]])</f>
        <v>12</v>
      </c>
      <c r="E955" s="7">
        <f>YEAR(SalesData[[#This Row],[Order Date]])</f>
        <v>2024</v>
      </c>
      <c r="F955" t="s">
        <v>379</v>
      </c>
      <c r="G955" t="str">
        <f>PROPER(SalesData[[#This Row],[Product Name]])</f>
        <v>Compostable Plant Pots</v>
      </c>
      <c r="H955" t="s">
        <v>1011</v>
      </c>
      <c r="I955" t="str">
        <f>UPPER(SalesData[[#This Row],[Product Category]])</f>
        <v>GARDENING</v>
      </c>
      <c r="J955">
        <v>5</v>
      </c>
      <c r="K955">
        <v>12</v>
      </c>
      <c r="L955" s="15">
        <f>IF(SalesData[[#This Row],[Unit Price]]="",
    AVERAGEIFS(SalesData[Unit Price],
               SalesData[Product Name],SalesData[[#This Row],[Product Name]]),
    SalesData[[#This Row],[Unit Price]])</f>
        <v>12</v>
      </c>
      <c r="M955" s="15">
        <v>4.01</v>
      </c>
      <c r="N955" s="15">
        <f>SalesData[[#This Row],[Quantity Sold]] * SalesData[[#This Row],[Cleaned Unit Price]]</f>
        <v>60</v>
      </c>
      <c r="O955" s="15">
        <f>SalesData[[#This Row],[Quantity Sold]] * SalesData[[#This Row],[Unit Cost]]</f>
        <v>20.049999999999997</v>
      </c>
      <c r="P955" s="15">
        <f>SalesData[[#This Row],[Revenue]] - SalesData[[#This Row],[Cost]]</f>
        <v>39.950000000000003</v>
      </c>
      <c r="Q955" s="13">
        <f>IF(SalesData[[#This Row],[Revenue]]=0,0,SalesData[[#This Row],[Profit]]/SalesData[[#This Row],[Revenue]])</f>
        <v>0.66583333333333339</v>
      </c>
      <c r="R955" t="s">
        <v>1037</v>
      </c>
      <c r="S955" t="s">
        <v>1236</v>
      </c>
      <c r="T955" t="str">
        <f>PROPER(SalesData[[#This Row],[Customer Name]])</f>
        <v>Amelia Johnson</v>
      </c>
      <c r="U955" t="s">
        <v>1414</v>
      </c>
      <c r="V955" t="s">
        <v>1424</v>
      </c>
    </row>
    <row r="956" spans="1:22" x14ac:dyDescent="0.25">
      <c r="A956" t="s">
        <v>2382</v>
      </c>
      <c r="B956" s="5">
        <v>45641</v>
      </c>
      <c r="C956" s="2" t="str">
        <f>TEXT(SalesData[[#This Row],[Order Date]],"mmm")</f>
        <v>Dec</v>
      </c>
      <c r="D956" s="7">
        <f>MONTH(SalesData[[#This Row],[Order Date]])</f>
        <v>12</v>
      </c>
      <c r="E956" s="7">
        <f>YEAR(SalesData[[#This Row],[Order Date]])</f>
        <v>2024</v>
      </c>
      <c r="F956" t="s">
        <v>497</v>
      </c>
      <c r="G956" t="str">
        <f>PROPER(SalesData[[#This Row],[Product Name]])</f>
        <v>Solar Led Lantern</v>
      </c>
      <c r="H956" t="s">
        <v>1012</v>
      </c>
      <c r="I956" t="str">
        <f>UPPER(SalesData[[#This Row],[Product Category]])</f>
        <v>LIGHTING</v>
      </c>
      <c r="J956">
        <v>10</v>
      </c>
      <c r="K956">
        <v>40</v>
      </c>
      <c r="L956" s="15">
        <f>IF(SalesData[[#This Row],[Unit Price]]="",
    AVERAGEIFS(SalesData[Unit Price],
               SalesData[Product Name],SalesData[[#This Row],[Product Name]]),
    SalesData[[#This Row],[Unit Price]])</f>
        <v>40</v>
      </c>
      <c r="M956" s="15">
        <v>15.7</v>
      </c>
      <c r="N956" s="15">
        <f>SalesData[[#This Row],[Quantity Sold]] * SalesData[[#This Row],[Cleaned Unit Price]]</f>
        <v>400</v>
      </c>
      <c r="O956" s="15">
        <f>SalesData[[#This Row],[Quantity Sold]] * SalesData[[#This Row],[Unit Cost]]</f>
        <v>157</v>
      </c>
      <c r="P956" s="15">
        <f>SalesData[[#This Row],[Revenue]] - SalesData[[#This Row],[Cost]]</f>
        <v>243</v>
      </c>
      <c r="Q956" s="13">
        <f>IF(SalesData[[#This Row],[Revenue]]=0,0,SalesData[[#This Row],[Profit]]/SalesData[[#This Row],[Revenue]])</f>
        <v>0.60750000000000004</v>
      </c>
      <c r="R956" t="s">
        <v>1032</v>
      </c>
      <c r="S956" t="s">
        <v>1231</v>
      </c>
      <c r="T956" t="str">
        <f>PROPER(SalesData[[#This Row],[Customer Name]])</f>
        <v>Sophia Garcia</v>
      </c>
      <c r="U956" t="s">
        <v>1416</v>
      </c>
      <c r="V956" t="s">
        <v>1422</v>
      </c>
    </row>
    <row r="957" spans="1:22" x14ac:dyDescent="0.25">
      <c r="A957" t="s">
        <v>2383</v>
      </c>
      <c r="B957" s="5">
        <v>45641</v>
      </c>
      <c r="C957" s="2" t="str">
        <f>TEXT(SalesData[[#This Row],[Order Date]],"mmm")</f>
        <v>Dec</v>
      </c>
      <c r="D957" s="7">
        <f>MONTH(SalesData[[#This Row],[Order Date]])</f>
        <v>12</v>
      </c>
      <c r="E957" s="7">
        <f>YEAR(SalesData[[#This Row],[Order Date]])</f>
        <v>2024</v>
      </c>
      <c r="F957" t="s">
        <v>542</v>
      </c>
      <c r="G957" t="str">
        <f>PROPER(SalesData[[#This Row],[Product Name]])</f>
        <v>Solar Led Lantern</v>
      </c>
      <c r="H957" t="s">
        <v>1012</v>
      </c>
      <c r="I957" t="str">
        <f>UPPER(SalesData[[#This Row],[Product Category]])</f>
        <v>LIGHTING</v>
      </c>
      <c r="J957">
        <v>3</v>
      </c>
      <c r="K957">
        <v>40</v>
      </c>
      <c r="L957" s="15">
        <f>IF(SalesData[[#This Row],[Unit Price]]="",
    AVERAGEIFS(SalesData[Unit Price],
               SalesData[Product Name],SalesData[[#This Row],[Product Name]]),
    SalesData[[#This Row],[Unit Price]])</f>
        <v>40</v>
      </c>
      <c r="M957" s="15">
        <v>12.54</v>
      </c>
      <c r="N957" s="15">
        <f>SalesData[[#This Row],[Quantity Sold]] * SalesData[[#This Row],[Cleaned Unit Price]]</f>
        <v>120</v>
      </c>
      <c r="O957" s="15">
        <f>SalesData[[#This Row],[Quantity Sold]] * SalesData[[#This Row],[Unit Cost]]</f>
        <v>37.619999999999997</v>
      </c>
      <c r="P957" s="15">
        <f>SalesData[[#This Row],[Revenue]] - SalesData[[#This Row],[Cost]]</f>
        <v>82.38</v>
      </c>
      <c r="Q957" s="13">
        <f>IF(SalesData[[#This Row],[Revenue]]=0,0,SalesData[[#This Row],[Profit]]/SalesData[[#This Row],[Revenue]])</f>
        <v>0.6865</v>
      </c>
      <c r="R957" t="s">
        <v>1091</v>
      </c>
      <c r="S957" t="s">
        <v>1290</v>
      </c>
      <c r="T957" t="str">
        <f>PROPER(SalesData[[#This Row],[Customer Name]])</f>
        <v>Elijah Garcia</v>
      </c>
      <c r="U957" t="s">
        <v>1414</v>
      </c>
      <c r="V957" t="s">
        <v>1422</v>
      </c>
    </row>
    <row r="958" spans="1:22" x14ac:dyDescent="0.25">
      <c r="A958" t="s">
        <v>2384</v>
      </c>
      <c r="B958" s="5">
        <v>45641</v>
      </c>
      <c r="C958" s="2" t="str">
        <f>TEXT(SalesData[[#This Row],[Order Date]],"mmm")</f>
        <v>Dec</v>
      </c>
      <c r="D958" s="7">
        <f>MONTH(SalesData[[#This Row],[Order Date]])</f>
        <v>12</v>
      </c>
      <c r="E958" s="7">
        <f>YEAR(SalesData[[#This Row],[Order Date]])</f>
        <v>2024</v>
      </c>
      <c r="F958" t="s">
        <v>771</v>
      </c>
      <c r="G958" t="str">
        <f>PROPER(SalesData[[#This Row],[Product Name]])</f>
        <v>Eco Canvas Tote Bag</v>
      </c>
      <c r="H958" t="s">
        <v>1013</v>
      </c>
      <c r="I958" t="str">
        <f>UPPER(SalesData[[#This Row],[Product Category]])</f>
        <v>BAGS</v>
      </c>
      <c r="J958">
        <v>5</v>
      </c>
      <c r="K958">
        <v>25</v>
      </c>
      <c r="L958" s="15">
        <f>IF(SalesData[[#This Row],[Unit Price]]="",
    AVERAGEIFS(SalesData[Unit Price],
               SalesData[Product Name],SalesData[[#This Row],[Product Name]]),
    SalesData[[#This Row],[Unit Price]])</f>
        <v>25</v>
      </c>
      <c r="M958" s="15">
        <v>8.98</v>
      </c>
      <c r="N958" s="15">
        <f>SalesData[[#This Row],[Quantity Sold]] * SalesData[[#This Row],[Cleaned Unit Price]]</f>
        <v>125</v>
      </c>
      <c r="O958" s="15">
        <f>SalesData[[#This Row],[Quantity Sold]] * SalesData[[#This Row],[Unit Cost]]</f>
        <v>44.900000000000006</v>
      </c>
      <c r="P958" s="15">
        <f>SalesData[[#This Row],[Revenue]] - SalesData[[#This Row],[Cost]]</f>
        <v>80.099999999999994</v>
      </c>
      <c r="Q958" s="13">
        <f>IF(SalesData[[#This Row],[Revenue]]=0,0,SalesData[[#This Row],[Profit]]/SalesData[[#This Row],[Revenue]])</f>
        <v>0.64079999999999993</v>
      </c>
      <c r="R958" t="s">
        <v>1113</v>
      </c>
      <c r="S958" t="s">
        <v>1312</v>
      </c>
      <c r="T958" t="str">
        <f>PROPER(SalesData[[#This Row],[Customer Name]])</f>
        <v>Elijah Williams</v>
      </c>
      <c r="U958" t="s">
        <v>1415</v>
      </c>
      <c r="V958" t="s">
        <v>1418</v>
      </c>
    </row>
    <row r="959" spans="1:22" x14ac:dyDescent="0.25">
      <c r="A959" t="s">
        <v>2385</v>
      </c>
      <c r="B959" s="5">
        <v>45642</v>
      </c>
      <c r="C959" s="2" t="str">
        <f>TEXT(SalesData[[#This Row],[Order Date]],"mmm")</f>
        <v>Dec</v>
      </c>
      <c r="D959" s="7">
        <f>MONTH(SalesData[[#This Row],[Order Date]])</f>
        <v>12</v>
      </c>
      <c r="E959" s="7">
        <f>YEAR(SalesData[[#This Row],[Order Date]])</f>
        <v>2024</v>
      </c>
      <c r="F959" t="s">
        <v>49</v>
      </c>
      <c r="G959" t="str">
        <f>PROPER(SalesData[[#This Row],[Product Name]])</f>
        <v>Solar Led Lantern</v>
      </c>
      <c r="H959" t="s">
        <v>1012</v>
      </c>
      <c r="I959" t="str">
        <f>UPPER(SalesData[[#This Row],[Product Category]])</f>
        <v>LIGHTING</v>
      </c>
      <c r="J959">
        <v>7</v>
      </c>
      <c r="K959">
        <v>40</v>
      </c>
      <c r="L959" s="15">
        <f>IF(SalesData[[#This Row],[Unit Price]]="",
    AVERAGEIFS(SalesData[Unit Price],
               SalesData[Product Name],SalesData[[#This Row],[Product Name]]),
    SalesData[[#This Row],[Unit Price]])</f>
        <v>40</v>
      </c>
      <c r="M959" s="15">
        <v>14.44</v>
      </c>
      <c r="N959" s="15">
        <f>SalesData[[#This Row],[Quantity Sold]] * SalesData[[#This Row],[Cleaned Unit Price]]</f>
        <v>280</v>
      </c>
      <c r="O959" s="15">
        <f>SalesData[[#This Row],[Quantity Sold]] * SalesData[[#This Row],[Unit Cost]]</f>
        <v>101.08</v>
      </c>
      <c r="P959" s="15">
        <f>SalesData[[#This Row],[Revenue]] - SalesData[[#This Row],[Cost]]</f>
        <v>178.92000000000002</v>
      </c>
      <c r="Q959" s="13">
        <f>IF(SalesData[[#This Row],[Revenue]]=0,0,SalesData[[#This Row],[Profit]]/SalesData[[#This Row],[Revenue]])</f>
        <v>0.63900000000000001</v>
      </c>
      <c r="R959" t="s">
        <v>1048</v>
      </c>
      <c r="S959" t="s">
        <v>1247</v>
      </c>
      <c r="T959" t="str">
        <f>PROPER(SalesData[[#This Row],[Customer Name]])</f>
        <v>Mason Davis</v>
      </c>
      <c r="U959" t="s">
        <v>1414</v>
      </c>
      <c r="V959" t="s">
        <v>1420</v>
      </c>
    </row>
    <row r="960" spans="1:22" x14ac:dyDescent="0.25">
      <c r="A960" t="s">
        <v>2386</v>
      </c>
      <c r="B960" s="5">
        <v>45642</v>
      </c>
      <c r="C960" s="2" t="str">
        <f>TEXT(SalesData[[#This Row],[Order Date]],"mmm")</f>
        <v>Dec</v>
      </c>
      <c r="D960" s="7">
        <f>MONTH(SalesData[[#This Row],[Order Date]])</f>
        <v>12</v>
      </c>
      <c r="E960" s="7">
        <f>YEAR(SalesData[[#This Row],[Order Date]])</f>
        <v>2024</v>
      </c>
      <c r="F960" t="s">
        <v>90</v>
      </c>
      <c r="G960" t="str">
        <f>PROPER(SalesData[[#This Row],[Product Name]])</f>
        <v>Solar Led Lantern</v>
      </c>
      <c r="H960" t="s">
        <v>1012</v>
      </c>
      <c r="I960" t="str">
        <f>UPPER(SalesData[[#This Row],[Product Category]])</f>
        <v>LIGHTING</v>
      </c>
      <c r="J960">
        <v>8</v>
      </c>
      <c r="K960">
        <v>40</v>
      </c>
      <c r="L960" s="15">
        <f>IF(SalesData[[#This Row],[Unit Price]]="",
    AVERAGEIFS(SalesData[Unit Price],
               SalesData[Product Name],SalesData[[#This Row],[Product Name]]),
    SalesData[[#This Row],[Unit Price]])</f>
        <v>40</v>
      </c>
      <c r="M960" s="15">
        <v>9.3699999999999992</v>
      </c>
      <c r="N960" s="15">
        <f>SalesData[[#This Row],[Quantity Sold]] * SalesData[[#This Row],[Cleaned Unit Price]]</f>
        <v>320</v>
      </c>
      <c r="O960" s="15">
        <f>SalesData[[#This Row],[Quantity Sold]] * SalesData[[#This Row],[Unit Cost]]</f>
        <v>74.959999999999994</v>
      </c>
      <c r="P960" s="15">
        <f>SalesData[[#This Row],[Revenue]] - SalesData[[#This Row],[Cost]]</f>
        <v>245.04000000000002</v>
      </c>
      <c r="Q960" s="13">
        <f>IF(SalesData[[#This Row],[Revenue]]=0,0,SalesData[[#This Row],[Profit]]/SalesData[[#This Row],[Revenue]])</f>
        <v>0.76575000000000004</v>
      </c>
      <c r="R960" t="s">
        <v>1077</v>
      </c>
      <c r="S960" t="s">
        <v>1276</v>
      </c>
      <c r="T960" t="str">
        <f>PROPER(SalesData[[#This Row],[Customer Name]])</f>
        <v>Noah Williams</v>
      </c>
      <c r="U960" t="s">
        <v>1414</v>
      </c>
      <c r="V960" t="s">
        <v>1420</v>
      </c>
    </row>
    <row r="961" spans="1:22" x14ac:dyDescent="0.25">
      <c r="A961" t="s">
        <v>2387</v>
      </c>
      <c r="B961" s="5">
        <v>45642</v>
      </c>
      <c r="C961" s="2" t="str">
        <f>TEXT(SalesData[[#This Row],[Order Date]],"mmm")</f>
        <v>Dec</v>
      </c>
      <c r="D961" s="7">
        <f>MONTH(SalesData[[#This Row],[Order Date]])</f>
        <v>12</v>
      </c>
      <c r="E961" s="7">
        <f>YEAR(SalesData[[#This Row],[Order Date]])</f>
        <v>2024</v>
      </c>
      <c r="F961" t="s">
        <v>602</v>
      </c>
      <c r="G961" t="str">
        <f>PROPER(SalesData[[#This Row],[Product Name]])</f>
        <v>Compostable Plant Pots</v>
      </c>
      <c r="H961" t="s">
        <v>1011</v>
      </c>
      <c r="I961" t="str">
        <f>UPPER(SalesData[[#This Row],[Product Category]])</f>
        <v>GARDENING</v>
      </c>
      <c r="J961">
        <v>8</v>
      </c>
      <c r="K961">
        <v>12</v>
      </c>
      <c r="L961" s="15">
        <f>IF(SalesData[[#This Row],[Unit Price]]="",
    AVERAGEIFS(SalesData[Unit Price],
               SalesData[Product Name],SalesData[[#This Row],[Product Name]]),
    SalesData[[#This Row],[Unit Price]])</f>
        <v>12</v>
      </c>
      <c r="M961" s="15">
        <v>2.73</v>
      </c>
      <c r="N961" s="15">
        <f>SalesData[[#This Row],[Quantity Sold]] * SalesData[[#This Row],[Cleaned Unit Price]]</f>
        <v>96</v>
      </c>
      <c r="O961" s="15">
        <f>SalesData[[#This Row],[Quantity Sold]] * SalesData[[#This Row],[Unit Cost]]</f>
        <v>21.84</v>
      </c>
      <c r="P961" s="15">
        <f>SalesData[[#This Row],[Revenue]] - SalesData[[#This Row],[Cost]]</f>
        <v>74.16</v>
      </c>
      <c r="Q961" s="13">
        <f>IF(SalesData[[#This Row],[Revenue]]=0,0,SalesData[[#This Row],[Profit]]/SalesData[[#This Row],[Revenue]])</f>
        <v>0.77249999999999996</v>
      </c>
      <c r="R961" t="s">
        <v>1101</v>
      </c>
      <c r="S961" t="s">
        <v>1300</v>
      </c>
      <c r="T961" t="str">
        <f>PROPER(SalesData[[#This Row],[Customer Name]])</f>
        <v>James Miller</v>
      </c>
      <c r="U961" t="s">
        <v>1416</v>
      </c>
      <c r="V961" t="s">
        <v>1418</v>
      </c>
    </row>
    <row r="962" spans="1:22" x14ac:dyDescent="0.25">
      <c r="A962" t="s">
        <v>2388</v>
      </c>
      <c r="B962" s="5">
        <v>45643</v>
      </c>
      <c r="C962" s="2" t="str">
        <f>TEXT(SalesData[[#This Row],[Order Date]],"mmm")</f>
        <v>Dec</v>
      </c>
      <c r="D962" s="7">
        <f>MONTH(SalesData[[#This Row],[Order Date]])</f>
        <v>12</v>
      </c>
      <c r="E962" s="7">
        <f>YEAR(SalesData[[#This Row],[Order Date]])</f>
        <v>2024</v>
      </c>
      <c r="F962" t="s">
        <v>214</v>
      </c>
      <c r="G962" t="str">
        <f>PROPER(SalesData[[#This Row],[Product Name]])</f>
        <v>Reusable Bamboo Utensil Set</v>
      </c>
      <c r="H962" t="s">
        <v>1014</v>
      </c>
      <c r="I962" t="str">
        <f>UPPER(SalesData[[#This Row],[Product Category]])</f>
        <v>KITCHENWARE</v>
      </c>
      <c r="J962">
        <v>5</v>
      </c>
      <c r="K962">
        <v>15</v>
      </c>
      <c r="L962" s="15">
        <f>IF(SalesData[[#This Row],[Unit Price]]="",
    AVERAGEIFS(SalesData[Unit Price],
               SalesData[Product Name],SalesData[[#This Row],[Product Name]]),
    SalesData[[#This Row],[Unit Price]])</f>
        <v>15</v>
      </c>
      <c r="M962" s="15">
        <v>5.13</v>
      </c>
      <c r="N962" s="15">
        <f>SalesData[[#This Row],[Quantity Sold]] * SalesData[[#This Row],[Cleaned Unit Price]]</f>
        <v>75</v>
      </c>
      <c r="O962" s="15">
        <f>SalesData[[#This Row],[Quantity Sold]] * SalesData[[#This Row],[Unit Cost]]</f>
        <v>25.65</v>
      </c>
      <c r="P962" s="15">
        <f>SalesData[[#This Row],[Revenue]] - SalesData[[#This Row],[Cost]]</f>
        <v>49.35</v>
      </c>
      <c r="Q962" s="13">
        <f>IF(SalesData[[#This Row],[Revenue]]=0,0,SalesData[[#This Row],[Profit]]/SalesData[[#This Row],[Revenue]])</f>
        <v>0.65800000000000003</v>
      </c>
      <c r="R962" t="s">
        <v>1145</v>
      </c>
      <c r="S962" t="s">
        <v>1344</v>
      </c>
      <c r="T962" t="str">
        <f>PROPER(SalesData[[#This Row],[Customer Name]])</f>
        <v>James Jones</v>
      </c>
      <c r="U962" t="s">
        <v>1414</v>
      </c>
      <c r="V962" t="s">
        <v>1424</v>
      </c>
    </row>
    <row r="963" spans="1:22" x14ac:dyDescent="0.25">
      <c r="A963" t="s">
        <v>2389</v>
      </c>
      <c r="B963" s="5">
        <v>45643</v>
      </c>
      <c r="C963" s="2" t="str">
        <f>TEXT(SalesData[[#This Row],[Order Date]],"mmm")</f>
        <v>Dec</v>
      </c>
      <c r="D963" s="7">
        <f>MONTH(SalesData[[#This Row],[Order Date]])</f>
        <v>12</v>
      </c>
      <c r="E963" s="7">
        <f>YEAR(SalesData[[#This Row],[Order Date]])</f>
        <v>2024</v>
      </c>
      <c r="F963" t="s">
        <v>235</v>
      </c>
      <c r="G963" t="str">
        <f>PROPER(SalesData[[#This Row],[Product Name]])</f>
        <v>Biodegradable Cleaning Cloth</v>
      </c>
      <c r="H963" t="s">
        <v>1015</v>
      </c>
      <c r="I963" t="str">
        <f>UPPER(SalesData[[#This Row],[Product Category]])</f>
        <v>CLEANING</v>
      </c>
      <c r="J963">
        <v>3</v>
      </c>
      <c r="K963">
        <v>10</v>
      </c>
      <c r="L963" s="15">
        <f>IF(SalesData[[#This Row],[Unit Price]]="",
    AVERAGEIFS(SalesData[Unit Price],
               SalesData[Product Name],SalesData[[#This Row],[Product Name]]),
    SalesData[[#This Row],[Unit Price]])</f>
        <v>10</v>
      </c>
      <c r="M963" s="15">
        <v>2.86</v>
      </c>
      <c r="N963" s="15">
        <f>SalesData[[#This Row],[Quantity Sold]] * SalesData[[#This Row],[Cleaned Unit Price]]</f>
        <v>30</v>
      </c>
      <c r="O963" s="15">
        <f>SalesData[[#This Row],[Quantity Sold]] * SalesData[[#This Row],[Unit Cost]]</f>
        <v>8.58</v>
      </c>
      <c r="P963" s="15">
        <f>SalesData[[#This Row],[Revenue]] - SalesData[[#This Row],[Cost]]</f>
        <v>21.42</v>
      </c>
      <c r="Q963" s="13">
        <f>IF(SalesData[[#This Row],[Revenue]]=0,0,SalesData[[#This Row],[Profit]]/SalesData[[#This Row],[Revenue]])</f>
        <v>0.71400000000000008</v>
      </c>
      <c r="R963" t="s">
        <v>1097</v>
      </c>
      <c r="S963" t="s">
        <v>1296</v>
      </c>
      <c r="T963" t="str">
        <f>PROPER(SalesData[[#This Row],[Customer Name]])</f>
        <v>Elijah Brown</v>
      </c>
      <c r="U963" t="s">
        <v>1414</v>
      </c>
      <c r="V963" t="s">
        <v>1423</v>
      </c>
    </row>
    <row r="964" spans="1:22" x14ac:dyDescent="0.25">
      <c r="A964" t="s">
        <v>2390</v>
      </c>
      <c r="B964" s="5">
        <v>45643</v>
      </c>
      <c r="C964" s="2" t="str">
        <f>TEXT(SalesData[[#This Row],[Order Date]],"mmm")</f>
        <v>Dec</v>
      </c>
      <c r="D964" s="7">
        <f>MONTH(SalesData[[#This Row],[Order Date]])</f>
        <v>12</v>
      </c>
      <c r="E964" s="7">
        <f>YEAR(SalesData[[#This Row],[Order Date]])</f>
        <v>2024</v>
      </c>
      <c r="F964" t="s">
        <v>928</v>
      </c>
      <c r="G964" t="str">
        <f>PROPER(SalesData[[#This Row],[Product Name]])</f>
        <v>Reusable Bamboo Utensil Set</v>
      </c>
      <c r="H964" t="s">
        <v>1014</v>
      </c>
      <c r="I964" t="str">
        <f>UPPER(SalesData[[#This Row],[Product Category]])</f>
        <v>KITCHENWARE</v>
      </c>
      <c r="J964">
        <v>10</v>
      </c>
      <c r="K964">
        <v>15</v>
      </c>
      <c r="L964" s="15">
        <f>IF(SalesData[[#This Row],[Unit Price]]="",
    AVERAGEIFS(SalesData[Unit Price],
               SalesData[Product Name],SalesData[[#This Row],[Product Name]]),
    SalesData[[#This Row],[Unit Price]])</f>
        <v>15</v>
      </c>
      <c r="M964" s="15">
        <v>5.18</v>
      </c>
      <c r="N964" s="15">
        <f>SalesData[[#This Row],[Quantity Sold]] * SalesData[[#This Row],[Cleaned Unit Price]]</f>
        <v>150</v>
      </c>
      <c r="O964" s="15">
        <f>SalesData[[#This Row],[Quantity Sold]] * SalesData[[#This Row],[Unit Cost]]</f>
        <v>51.8</v>
      </c>
      <c r="P964" s="15">
        <f>SalesData[[#This Row],[Revenue]] - SalesData[[#This Row],[Cost]]</f>
        <v>98.2</v>
      </c>
      <c r="Q964" s="13">
        <f>IF(SalesData[[#This Row],[Revenue]]=0,0,SalesData[[#This Row],[Profit]]/SalesData[[#This Row],[Revenue]])</f>
        <v>0.65466666666666673</v>
      </c>
      <c r="R964" t="s">
        <v>1040</v>
      </c>
      <c r="S964" t="s">
        <v>1239</v>
      </c>
      <c r="T964" t="str">
        <f>PROPER(SalesData[[#This Row],[Customer Name]])</f>
        <v>Ethan Rodriguez</v>
      </c>
      <c r="U964" t="s">
        <v>1414</v>
      </c>
      <c r="V964" t="s">
        <v>1418</v>
      </c>
    </row>
    <row r="965" spans="1:22" x14ac:dyDescent="0.25">
      <c r="A965" t="s">
        <v>2391</v>
      </c>
      <c r="B965" s="5">
        <v>45643</v>
      </c>
      <c r="C965" s="2" t="str">
        <f>TEXT(SalesData[[#This Row],[Order Date]],"mmm")</f>
        <v>Dec</v>
      </c>
      <c r="D965" s="7">
        <f>MONTH(SalesData[[#This Row],[Order Date]])</f>
        <v>12</v>
      </c>
      <c r="E965" s="7">
        <f>YEAR(SalesData[[#This Row],[Order Date]])</f>
        <v>2024</v>
      </c>
      <c r="F965" t="s">
        <v>982</v>
      </c>
      <c r="G965" t="str">
        <f>PROPER(SalesData[[#This Row],[Product Name]])</f>
        <v>Eco Canvas Tote Bag</v>
      </c>
      <c r="H965" t="s">
        <v>1013</v>
      </c>
      <c r="I965" t="str">
        <f>UPPER(SalesData[[#This Row],[Product Category]])</f>
        <v>BAGS</v>
      </c>
      <c r="J965">
        <v>7</v>
      </c>
      <c r="K965">
        <v>25</v>
      </c>
      <c r="L965" s="15">
        <f>IF(SalesData[[#This Row],[Unit Price]]="",
    AVERAGEIFS(SalesData[Unit Price],
               SalesData[Product Name],SalesData[[#This Row],[Product Name]]),
    SalesData[[#This Row],[Unit Price]])</f>
        <v>25</v>
      </c>
      <c r="M965" s="15">
        <v>9.41</v>
      </c>
      <c r="N965" s="15">
        <f>SalesData[[#This Row],[Quantity Sold]] * SalesData[[#This Row],[Cleaned Unit Price]]</f>
        <v>175</v>
      </c>
      <c r="O965" s="15">
        <f>SalesData[[#This Row],[Quantity Sold]] * SalesData[[#This Row],[Unit Cost]]</f>
        <v>65.87</v>
      </c>
      <c r="P965" s="15">
        <f>SalesData[[#This Row],[Revenue]] - SalesData[[#This Row],[Cost]]</f>
        <v>109.13</v>
      </c>
      <c r="Q965" s="13">
        <f>IF(SalesData[[#This Row],[Revenue]]=0,0,SalesData[[#This Row],[Profit]]/SalesData[[#This Row],[Revenue]])</f>
        <v>0.62359999999999993</v>
      </c>
      <c r="R965" t="s">
        <v>1208</v>
      </c>
      <c r="S965" t="s">
        <v>1407</v>
      </c>
      <c r="T965" t="str">
        <f>PROPER(SalesData[[#This Row],[Customer Name]])</f>
        <v>Evelyn Martinez</v>
      </c>
      <c r="U965" t="s">
        <v>1414</v>
      </c>
      <c r="V965" t="s">
        <v>1418</v>
      </c>
    </row>
    <row r="966" spans="1:22" x14ac:dyDescent="0.25">
      <c r="A966" t="s">
        <v>2392</v>
      </c>
      <c r="B966" s="5">
        <v>45644</v>
      </c>
      <c r="C966" s="2" t="str">
        <f>TEXT(SalesData[[#This Row],[Order Date]],"mmm")</f>
        <v>Dec</v>
      </c>
      <c r="D966" s="7">
        <f>MONTH(SalesData[[#This Row],[Order Date]])</f>
        <v>12</v>
      </c>
      <c r="E966" s="7">
        <f>YEAR(SalesData[[#This Row],[Order Date]])</f>
        <v>2024</v>
      </c>
      <c r="F966" t="s">
        <v>311</v>
      </c>
      <c r="G966" t="str">
        <f>PROPER(SalesData[[#This Row],[Product Name]])</f>
        <v>Solar Led Lantern</v>
      </c>
      <c r="H966" t="s">
        <v>1012</v>
      </c>
      <c r="I966" t="str">
        <f>UPPER(SalesData[[#This Row],[Product Category]])</f>
        <v>LIGHTING</v>
      </c>
      <c r="J966">
        <v>3</v>
      </c>
      <c r="K966">
        <v>40</v>
      </c>
      <c r="L966" s="15">
        <f>IF(SalesData[[#This Row],[Unit Price]]="",
    AVERAGEIFS(SalesData[Unit Price],
               SalesData[Product Name],SalesData[[#This Row],[Product Name]]),
    SalesData[[#This Row],[Unit Price]])</f>
        <v>40</v>
      </c>
      <c r="M966" s="15">
        <v>12.72</v>
      </c>
      <c r="N966" s="15">
        <f>SalesData[[#This Row],[Quantity Sold]] * SalesData[[#This Row],[Cleaned Unit Price]]</f>
        <v>120</v>
      </c>
      <c r="O966" s="15">
        <f>SalesData[[#This Row],[Quantity Sold]] * SalesData[[#This Row],[Unit Cost]]</f>
        <v>38.160000000000004</v>
      </c>
      <c r="P966" s="15">
        <f>SalesData[[#This Row],[Revenue]] - SalesData[[#This Row],[Cost]]</f>
        <v>81.84</v>
      </c>
      <c r="Q966" s="13">
        <f>IF(SalesData[[#This Row],[Revenue]]=0,0,SalesData[[#This Row],[Profit]]/SalesData[[#This Row],[Revenue]])</f>
        <v>0.68200000000000005</v>
      </c>
      <c r="R966" t="s">
        <v>1046</v>
      </c>
      <c r="S966" t="s">
        <v>1245</v>
      </c>
      <c r="T966" t="str">
        <f>PROPER(SalesData[[#This Row],[Customer Name]])</f>
        <v>Lucas Williams</v>
      </c>
      <c r="U966" t="s">
        <v>1416</v>
      </c>
      <c r="V966" t="s">
        <v>1423</v>
      </c>
    </row>
    <row r="967" spans="1:22" x14ac:dyDescent="0.25">
      <c r="A967" t="s">
        <v>2393</v>
      </c>
      <c r="B967" s="5">
        <v>45644</v>
      </c>
      <c r="C967" s="2" t="str">
        <f>TEXT(SalesData[[#This Row],[Order Date]],"mmm")</f>
        <v>Dec</v>
      </c>
      <c r="D967" s="7">
        <f>MONTH(SalesData[[#This Row],[Order Date]])</f>
        <v>12</v>
      </c>
      <c r="E967" s="7">
        <f>YEAR(SalesData[[#This Row],[Order Date]])</f>
        <v>2024</v>
      </c>
      <c r="F967" t="s">
        <v>358</v>
      </c>
      <c r="G967" t="str">
        <f>PROPER(SalesData[[#This Row],[Product Name]])</f>
        <v>Eco Canvas Tote Bag</v>
      </c>
      <c r="H967" t="s">
        <v>1013</v>
      </c>
      <c r="I967" t="str">
        <f>UPPER(SalesData[[#This Row],[Product Category]])</f>
        <v>BAGS</v>
      </c>
      <c r="J967">
        <v>2</v>
      </c>
      <c r="K967">
        <v>25</v>
      </c>
      <c r="L967" s="15">
        <f>IF(SalesData[[#This Row],[Unit Price]]="",
    AVERAGEIFS(SalesData[Unit Price],
               SalesData[Product Name],SalesData[[#This Row],[Product Name]]),
    SalesData[[#This Row],[Unit Price]])</f>
        <v>25</v>
      </c>
      <c r="M967" s="15">
        <v>7.31</v>
      </c>
      <c r="N967" s="15">
        <f>SalesData[[#This Row],[Quantity Sold]] * SalesData[[#This Row],[Cleaned Unit Price]]</f>
        <v>50</v>
      </c>
      <c r="O967" s="15">
        <f>SalesData[[#This Row],[Quantity Sold]] * SalesData[[#This Row],[Unit Cost]]</f>
        <v>14.62</v>
      </c>
      <c r="P967" s="15">
        <f>SalesData[[#This Row],[Revenue]] - SalesData[[#This Row],[Cost]]</f>
        <v>35.380000000000003</v>
      </c>
      <c r="Q967" s="13">
        <f>IF(SalesData[[#This Row],[Revenue]]=0,0,SalesData[[#This Row],[Profit]]/SalesData[[#This Row],[Revenue]])</f>
        <v>0.70760000000000001</v>
      </c>
      <c r="R967" t="s">
        <v>1024</v>
      </c>
      <c r="S967" t="s">
        <v>1223</v>
      </c>
      <c r="T967" t="str">
        <f>PROPER(SalesData[[#This Row],[Customer Name]])</f>
        <v>Ava Rodriguez</v>
      </c>
      <c r="U967" t="s">
        <v>1416</v>
      </c>
      <c r="V967" t="s">
        <v>1426</v>
      </c>
    </row>
    <row r="968" spans="1:22" x14ac:dyDescent="0.25">
      <c r="A968" t="s">
        <v>2394</v>
      </c>
      <c r="B968" s="5">
        <v>45644</v>
      </c>
      <c r="C968" s="2" t="str">
        <f>TEXT(SalesData[[#This Row],[Order Date]],"mmm")</f>
        <v>Dec</v>
      </c>
      <c r="D968" s="7">
        <f>MONTH(SalesData[[#This Row],[Order Date]])</f>
        <v>12</v>
      </c>
      <c r="E968" s="7">
        <f>YEAR(SalesData[[#This Row],[Order Date]])</f>
        <v>2024</v>
      </c>
      <c r="F968" t="s">
        <v>380</v>
      </c>
      <c r="G968" t="str">
        <f>PROPER(SalesData[[#This Row],[Product Name]])</f>
        <v>Biodegradable Cleaning Cloth</v>
      </c>
      <c r="H968" t="s">
        <v>1015</v>
      </c>
      <c r="I968" t="str">
        <f>UPPER(SalesData[[#This Row],[Product Category]])</f>
        <v>CLEANING</v>
      </c>
      <c r="J968">
        <v>2</v>
      </c>
      <c r="K968">
        <v>10</v>
      </c>
      <c r="L968" s="15">
        <f>IF(SalesData[[#This Row],[Unit Price]]="",
    AVERAGEIFS(SalesData[Unit Price],
               SalesData[Product Name],SalesData[[#This Row],[Product Name]]),
    SalesData[[#This Row],[Unit Price]])</f>
        <v>10</v>
      </c>
      <c r="M968" s="15">
        <v>3.87</v>
      </c>
      <c r="N968" s="15">
        <f>SalesData[[#This Row],[Quantity Sold]] * SalesData[[#This Row],[Cleaned Unit Price]]</f>
        <v>20</v>
      </c>
      <c r="O968" s="15">
        <f>SalesData[[#This Row],[Quantity Sold]] * SalesData[[#This Row],[Unit Cost]]</f>
        <v>7.74</v>
      </c>
      <c r="P968" s="15">
        <f>SalesData[[#This Row],[Revenue]] - SalesData[[#This Row],[Cost]]</f>
        <v>12.26</v>
      </c>
      <c r="Q968" s="13">
        <f>IF(SalesData[[#This Row],[Revenue]]=0,0,SalesData[[#This Row],[Profit]]/SalesData[[#This Row],[Revenue]])</f>
        <v>0.61299999999999999</v>
      </c>
      <c r="R968" t="s">
        <v>1098</v>
      </c>
      <c r="S968" t="s">
        <v>1297</v>
      </c>
      <c r="T968" t="str">
        <f>PROPER(SalesData[[#This Row],[Customer Name]])</f>
        <v>Noah Martinez</v>
      </c>
      <c r="U968" t="s">
        <v>1414</v>
      </c>
      <c r="V968" t="s">
        <v>1418</v>
      </c>
    </row>
    <row r="969" spans="1:22" x14ac:dyDescent="0.25">
      <c r="A969" t="s">
        <v>2395</v>
      </c>
      <c r="B969" s="5">
        <v>45644</v>
      </c>
      <c r="C969" s="2" t="str">
        <f>TEXT(SalesData[[#This Row],[Order Date]],"mmm")</f>
        <v>Dec</v>
      </c>
      <c r="D969" s="7">
        <f>MONTH(SalesData[[#This Row],[Order Date]])</f>
        <v>12</v>
      </c>
      <c r="E969" s="7">
        <f>YEAR(SalesData[[#This Row],[Order Date]])</f>
        <v>2024</v>
      </c>
      <c r="F969" t="s">
        <v>561</v>
      </c>
      <c r="G969" t="str">
        <f>PROPER(SalesData[[#This Row],[Product Name]])</f>
        <v>Eco Canvas Tote Bag</v>
      </c>
      <c r="H969" t="s">
        <v>1013</v>
      </c>
      <c r="I969" t="str">
        <f>UPPER(SalesData[[#This Row],[Product Category]])</f>
        <v>BAGS</v>
      </c>
      <c r="J969">
        <v>3</v>
      </c>
      <c r="K969">
        <v>25</v>
      </c>
      <c r="L969" s="15">
        <f>IF(SalesData[[#This Row],[Unit Price]]="",
    AVERAGEIFS(SalesData[Unit Price],
               SalesData[Product Name],SalesData[[#This Row],[Product Name]]),
    SalesData[[#This Row],[Unit Price]])</f>
        <v>25</v>
      </c>
      <c r="M969" s="15">
        <v>8.4600000000000009</v>
      </c>
      <c r="N969" s="15">
        <f>SalesData[[#This Row],[Quantity Sold]] * SalesData[[#This Row],[Cleaned Unit Price]]</f>
        <v>75</v>
      </c>
      <c r="O969" s="15">
        <f>SalesData[[#This Row],[Quantity Sold]] * SalesData[[#This Row],[Unit Cost]]</f>
        <v>25.380000000000003</v>
      </c>
      <c r="P969" s="15">
        <f>SalesData[[#This Row],[Revenue]] - SalesData[[#This Row],[Cost]]</f>
        <v>49.62</v>
      </c>
      <c r="Q969" s="13">
        <f>IF(SalesData[[#This Row],[Revenue]]=0,0,SalesData[[#This Row],[Profit]]/SalesData[[#This Row],[Revenue]])</f>
        <v>0.66159999999999997</v>
      </c>
      <c r="R969" t="s">
        <v>1161</v>
      </c>
      <c r="S969" t="s">
        <v>1360</v>
      </c>
      <c r="T969" t="str">
        <f>PROPER(SalesData[[#This Row],[Customer Name]])</f>
        <v>Elijah Davis</v>
      </c>
      <c r="U969" t="s">
        <v>1414</v>
      </c>
      <c r="V969" t="s">
        <v>1419</v>
      </c>
    </row>
    <row r="970" spans="1:22" x14ac:dyDescent="0.25">
      <c r="A970" t="s">
        <v>2396</v>
      </c>
      <c r="B970" s="5">
        <v>45645</v>
      </c>
      <c r="C970" s="2" t="str">
        <f>TEXT(SalesData[[#This Row],[Order Date]],"mmm")</f>
        <v>Dec</v>
      </c>
      <c r="D970" s="7">
        <f>MONTH(SalesData[[#This Row],[Order Date]])</f>
        <v>12</v>
      </c>
      <c r="E970" s="7">
        <f>YEAR(SalesData[[#This Row],[Order Date]])</f>
        <v>2024</v>
      </c>
      <c r="F970" t="s">
        <v>147</v>
      </c>
      <c r="G970" t="str">
        <f>PROPER(SalesData[[#This Row],[Product Name]])</f>
        <v>Reusable Bamboo Utensil Set</v>
      </c>
      <c r="H970" t="s">
        <v>1014</v>
      </c>
      <c r="I970" t="str">
        <f>UPPER(SalesData[[#This Row],[Product Category]])</f>
        <v>KITCHENWARE</v>
      </c>
      <c r="J970">
        <v>8</v>
      </c>
      <c r="K970">
        <v>15</v>
      </c>
      <c r="L970" s="15">
        <f>IF(SalesData[[#This Row],[Unit Price]]="",
    AVERAGEIFS(SalesData[Unit Price],
               SalesData[Product Name],SalesData[[#This Row],[Product Name]]),
    SalesData[[#This Row],[Unit Price]])</f>
        <v>15</v>
      </c>
      <c r="M970" s="15">
        <v>4.0199999999999996</v>
      </c>
      <c r="N970" s="15">
        <f>SalesData[[#This Row],[Quantity Sold]] * SalesData[[#This Row],[Cleaned Unit Price]]</f>
        <v>120</v>
      </c>
      <c r="O970" s="15">
        <f>SalesData[[#This Row],[Quantity Sold]] * SalesData[[#This Row],[Unit Cost]]</f>
        <v>32.159999999999997</v>
      </c>
      <c r="P970" s="15">
        <f>SalesData[[#This Row],[Revenue]] - SalesData[[#This Row],[Cost]]</f>
        <v>87.84</v>
      </c>
      <c r="Q970" s="13">
        <f>IF(SalesData[[#This Row],[Revenue]]=0,0,SalesData[[#This Row],[Profit]]/SalesData[[#This Row],[Revenue]])</f>
        <v>0.73199999999999998</v>
      </c>
      <c r="R970" t="s">
        <v>1119</v>
      </c>
      <c r="S970" t="s">
        <v>1318</v>
      </c>
      <c r="T970" t="str">
        <f>PROPER(SalesData[[#This Row],[Customer Name]])</f>
        <v>Aiden Williams</v>
      </c>
      <c r="U970" t="s">
        <v>1414</v>
      </c>
      <c r="V970" t="s">
        <v>1418</v>
      </c>
    </row>
    <row r="971" spans="1:22" x14ac:dyDescent="0.25">
      <c r="A971" t="s">
        <v>2397</v>
      </c>
      <c r="B971" s="5">
        <v>45645</v>
      </c>
      <c r="C971" s="2" t="str">
        <f>TEXT(SalesData[[#This Row],[Order Date]],"mmm")</f>
        <v>Dec</v>
      </c>
      <c r="D971" s="7">
        <f>MONTH(SalesData[[#This Row],[Order Date]])</f>
        <v>12</v>
      </c>
      <c r="E971" s="7">
        <f>YEAR(SalesData[[#This Row],[Order Date]])</f>
        <v>2024</v>
      </c>
      <c r="F971" t="s">
        <v>306</v>
      </c>
      <c r="G971" t="str">
        <f>PROPER(SalesData[[#This Row],[Product Name]])</f>
        <v>Solar Led Lantern</v>
      </c>
      <c r="H971" t="s">
        <v>1012</v>
      </c>
      <c r="I971" t="str">
        <f>UPPER(SalesData[[#This Row],[Product Category]])</f>
        <v>LIGHTING</v>
      </c>
      <c r="J971">
        <v>6</v>
      </c>
      <c r="K971">
        <v>40</v>
      </c>
      <c r="L971" s="15">
        <f>IF(SalesData[[#This Row],[Unit Price]]="",
    AVERAGEIFS(SalesData[Unit Price],
               SalesData[Product Name],SalesData[[#This Row],[Product Name]]),
    SalesData[[#This Row],[Unit Price]])</f>
        <v>40</v>
      </c>
      <c r="M971" s="15">
        <v>8.58</v>
      </c>
      <c r="N971" s="15">
        <f>SalesData[[#This Row],[Quantity Sold]] * SalesData[[#This Row],[Cleaned Unit Price]]</f>
        <v>240</v>
      </c>
      <c r="O971" s="15">
        <f>SalesData[[#This Row],[Quantity Sold]] * SalesData[[#This Row],[Unit Cost]]</f>
        <v>51.480000000000004</v>
      </c>
      <c r="P971" s="15">
        <f>SalesData[[#This Row],[Revenue]] - SalesData[[#This Row],[Cost]]</f>
        <v>188.51999999999998</v>
      </c>
      <c r="Q971" s="13">
        <f>IF(SalesData[[#This Row],[Revenue]]=0,0,SalesData[[#This Row],[Profit]]/SalesData[[#This Row],[Revenue]])</f>
        <v>0.78549999999999998</v>
      </c>
      <c r="R971" t="s">
        <v>1018</v>
      </c>
      <c r="S971" t="s">
        <v>1217</v>
      </c>
      <c r="T971" t="str">
        <f>PROPER(SalesData[[#This Row],[Customer Name]])</f>
        <v>Olivia Davis</v>
      </c>
      <c r="U971" t="s">
        <v>1416</v>
      </c>
      <c r="V971" t="s">
        <v>1423</v>
      </c>
    </row>
    <row r="972" spans="1:22" x14ac:dyDescent="0.25">
      <c r="A972" t="s">
        <v>2398</v>
      </c>
      <c r="B972" s="5">
        <v>45645</v>
      </c>
      <c r="C972" s="2" t="str">
        <f>TEXT(SalesData[[#This Row],[Order Date]],"mmm")</f>
        <v>Dec</v>
      </c>
      <c r="D972" s="7">
        <f>MONTH(SalesData[[#This Row],[Order Date]])</f>
        <v>12</v>
      </c>
      <c r="E972" s="7">
        <f>YEAR(SalesData[[#This Row],[Order Date]])</f>
        <v>2024</v>
      </c>
      <c r="F972" t="s">
        <v>654</v>
      </c>
      <c r="G972" t="str">
        <f>PROPER(SalesData[[#This Row],[Product Name]])</f>
        <v>Compostable Plant Pots</v>
      </c>
      <c r="H972" t="s">
        <v>1011</v>
      </c>
      <c r="I972" t="str">
        <f>UPPER(SalesData[[#This Row],[Product Category]])</f>
        <v>GARDENING</v>
      </c>
      <c r="J972">
        <v>10</v>
      </c>
      <c r="K972">
        <v>12</v>
      </c>
      <c r="L972" s="15">
        <f>IF(SalesData[[#This Row],[Unit Price]]="",
    AVERAGEIFS(SalesData[Unit Price],
               SalesData[Product Name],SalesData[[#This Row],[Product Name]]),
    SalesData[[#This Row],[Unit Price]])</f>
        <v>12</v>
      </c>
      <c r="M972" s="15">
        <v>2.78</v>
      </c>
      <c r="N972" s="15">
        <f>SalesData[[#This Row],[Quantity Sold]] * SalesData[[#This Row],[Cleaned Unit Price]]</f>
        <v>120</v>
      </c>
      <c r="O972" s="15">
        <f>SalesData[[#This Row],[Quantity Sold]] * SalesData[[#This Row],[Unit Cost]]</f>
        <v>27.799999999999997</v>
      </c>
      <c r="P972" s="15">
        <f>SalesData[[#This Row],[Revenue]] - SalesData[[#This Row],[Cost]]</f>
        <v>92.2</v>
      </c>
      <c r="Q972" s="13">
        <f>IF(SalesData[[#This Row],[Revenue]]=0,0,SalesData[[#This Row],[Profit]]/SalesData[[#This Row],[Revenue]])</f>
        <v>0.76833333333333331</v>
      </c>
      <c r="R972" t="s">
        <v>1079</v>
      </c>
      <c r="S972" t="s">
        <v>1278</v>
      </c>
      <c r="T972" t="str">
        <f>PROPER(SalesData[[#This Row],[Customer Name]])</f>
        <v>Harper Smith</v>
      </c>
      <c r="U972" t="s">
        <v>1414</v>
      </c>
      <c r="V972" t="s">
        <v>1421</v>
      </c>
    </row>
    <row r="973" spans="1:22" x14ac:dyDescent="0.25">
      <c r="A973" t="s">
        <v>2399</v>
      </c>
      <c r="B973" s="5">
        <v>45646</v>
      </c>
      <c r="C973" s="2" t="str">
        <f>TEXT(SalesData[[#This Row],[Order Date]],"mmm")</f>
        <v>Dec</v>
      </c>
      <c r="D973" s="7">
        <f>MONTH(SalesData[[#This Row],[Order Date]])</f>
        <v>12</v>
      </c>
      <c r="E973" s="7">
        <f>YEAR(SalesData[[#This Row],[Order Date]])</f>
        <v>2024</v>
      </c>
      <c r="F973" t="s">
        <v>641</v>
      </c>
      <c r="G973" t="str">
        <f>PROPER(SalesData[[#This Row],[Product Name]])</f>
        <v>Solar Led Lantern</v>
      </c>
      <c r="H973" t="s">
        <v>1012</v>
      </c>
      <c r="I973" t="str">
        <f>UPPER(SalesData[[#This Row],[Product Category]])</f>
        <v>LIGHTING</v>
      </c>
      <c r="J973">
        <v>5</v>
      </c>
      <c r="L973" s="15">
        <f>IF(SalesData[[#This Row],[Unit Price]]="",
    AVERAGEIFS(SalesData[Unit Price],
               SalesData[Product Name],SalesData[[#This Row],[Product Name]]),
    SalesData[[#This Row],[Unit Price]])</f>
        <v>40</v>
      </c>
      <c r="M973" s="15">
        <v>14.51</v>
      </c>
      <c r="N973" s="15">
        <f>SalesData[[#This Row],[Quantity Sold]] * SalesData[[#This Row],[Cleaned Unit Price]]</f>
        <v>200</v>
      </c>
      <c r="O973" s="15">
        <f>SalesData[[#This Row],[Quantity Sold]] * SalesData[[#This Row],[Unit Cost]]</f>
        <v>72.55</v>
      </c>
      <c r="P973" s="15">
        <f>SalesData[[#This Row],[Revenue]] - SalesData[[#This Row],[Cost]]</f>
        <v>127.45</v>
      </c>
      <c r="Q973" s="13">
        <f>IF(SalesData[[#This Row],[Revenue]]=0,0,SalesData[[#This Row],[Profit]]/SalesData[[#This Row],[Revenue]])</f>
        <v>0.63724999999999998</v>
      </c>
      <c r="R973" t="s">
        <v>1200</v>
      </c>
      <c r="S973" t="s">
        <v>1399</v>
      </c>
      <c r="T973" t="str">
        <f>PROPER(SalesData[[#This Row],[Customer Name]])</f>
        <v>James Miller</v>
      </c>
      <c r="U973" t="s">
        <v>1414</v>
      </c>
      <c r="V973" t="s">
        <v>1418</v>
      </c>
    </row>
    <row r="974" spans="1:22" x14ac:dyDescent="0.25">
      <c r="A974" t="s">
        <v>2400</v>
      </c>
      <c r="B974" s="5">
        <v>45646</v>
      </c>
      <c r="C974" s="2" t="str">
        <f>TEXT(SalesData[[#This Row],[Order Date]],"mmm")</f>
        <v>Dec</v>
      </c>
      <c r="D974" s="7">
        <f>MONTH(SalesData[[#This Row],[Order Date]])</f>
        <v>12</v>
      </c>
      <c r="E974" s="7">
        <f>YEAR(SalesData[[#This Row],[Order Date]])</f>
        <v>2024</v>
      </c>
      <c r="F974" t="s">
        <v>866</v>
      </c>
      <c r="G974" t="str">
        <f>PROPER(SalesData[[#This Row],[Product Name]])</f>
        <v>Biodegradable Cleaning Cloth</v>
      </c>
      <c r="H974" t="s">
        <v>1015</v>
      </c>
      <c r="I974" t="str">
        <f>UPPER(SalesData[[#This Row],[Product Category]])</f>
        <v>CLEANING</v>
      </c>
      <c r="J974">
        <v>9</v>
      </c>
      <c r="K974">
        <v>10</v>
      </c>
      <c r="L974" s="15">
        <f>IF(SalesData[[#This Row],[Unit Price]]="",
    AVERAGEIFS(SalesData[Unit Price],
               SalesData[Product Name],SalesData[[#This Row],[Product Name]]),
    SalesData[[#This Row],[Unit Price]])</f>
        <v>10</v>
      </c>
      <c r="M974" s="15">
        <v>3.78</v>
      </c>
      <c r="N974" s="15">
        <f>SalesData[[#This Row],[Quantity Sold]] * SalesData[[#This Row],[Cleaned Unit Price]]</f>
        <v>90</v>
      </c>
      <c r="O974" s="15">
        <f>SalesData[[#This Row],[Quantity Sold]] * SalesData[[#This Row],[Unit Cost]]</f>
        <v>34.019999999999996</v>
      </c>
      <c r="P974" s="15">
        <f>SalesData[[#This Row],[Revenue]] - SalesData[[#This Row],[Cost]]</f>
        <v>55.980000000000004</v>
      </c>
      <c r="Q974" s="13">
        <f>IF(SalesData[[#This Row],[Revenue]]=0,0,SalesData[[#This Row],[Profit]]/SalesData[[#This Row],[Revenue]])</f>
        <v>0.622</v>
      </c>
      <c r="R974" t="s">
        <v>1085</v>
      </c>
      <c r="S974" t="s">
        <v>1284</v>
      </c>
      <c r="T974" t="str">
        <f>PROPER(SalesData[[#This Row],[Customer Name]])</f>
        <v>Harper Garcia</v>
      </c>
      <c r="U974" t="s">
        <v>1417</v>
      </c>
      <c r="V974" t="s">
        <v>1420</v>
      </c>
    </row>
    <row r="975" spans="1:22" x14ac:dyDescent="0.25">
      <c r="A975" t="s">
        <v>2401</v>
      </c>
      <c r="B975" s="5">
        <v>45646</v>
      </c>
      <c r="C975" s="2" t="str">
        <f>TEXT(SalesData[[#This Row],[Order Date]],"mmm")</f>
        <v>Dec</v>
      </c>
      <c r="D975" s="7">
        <f>MONTH(SalesData[[#This Row],[Order Date]])</f>
        <v>12</v>
      </c>
      <c r="E975" s="7">
        <f>YEAR(SalesData[[#This Row],[Order Date]])</f>
        <v>2024</v>
      </c>
      <c r="F975" t="s">
        <v>905</v>
      </c>
      <c r="G975" t="str">
        <f>PROPER(SalesData[[#This Row],[Product Name]])</f>
        <v>Eco Canvas Tote Bag</v>
      </c>
      <c r="H975" t="s">
        <v>1013</v>
      </c>
      <c r="I975" t="str">
        <f>UPPER(SalesData[[#This Row],[Product Category]])</f>
        <v>BAGS</v>
      </c>
      <c r="J975">
        <v>2</v>
      </c>
      <c r="K975">
        <v>25</v>
      </c>
      <c r="L975" s="15">
        <f>IF(SalesData[[#This Row],[Unit Price]]="",
    AVERAGEIFS(SalesData[Unit Price],
               SalesData[Product Name],SalesData[[#This Row],[Product Name]]),
    SalesData[[#This Row],[Unit Price]])</f>
        <v>25</v>
      </c>
      <c r="M975" s="15">
        <v>9.3000000000000007</v>
      </c>
      <c r="N975" s="15">
        <f>SalesData[[#This Row],[Quantity Sold]] * SalesData[[#This Row],[Cleaned Unit Price]]</f>
        <v>50</v>
      </c>
      <c r="O975" s="15">
        <f>SalesData[[#This Row],[Quantity Sold]] * SalesData[[#This Row],[Unit Cost]]</f>
        <v>18.600000000000001</v>
      </c>
      <c r="P975" s="15">
        <f>SalesData[[#This Row],[Revenue]] - SalesData[[#This Row],[Cost]]</f>
        <v>31.4</v>
      </c>
      <c r="Q975" s="13">
        <f>IF(SalesData[[#This Row],[Revenue]]=0,0,SalesData[[#This Row],[Profit]]/SalesData[[#This Row],[Revenue]])</f>
        <v>0.628</v>
      </c>
      <c r="R975" t="s">
        <v>1019</v>
      </c>
      <c r="S975" t="s">
        <v>1218</v>
      </c>
      <c r="T975" t="str">
        <f>PROPER(SalesData[[#This Row],[Customer Name]])</f>
        <v>Liam Jones</v>
      </c>
      <c r="U975" t="s">
        <v>1415</v>
      </c>
      <c r="V975" t="s">
        <v>1420</v>
      </c>
    </row>
    <row r="976" spans="1:22" x14ac:dyDescent="0.25">
      <c r="A976" t="s">
        <v>2402</v>
      </c>
      <c r="B976" s="5">
        <v>45647</v>
      </c>
      <c r="C976" s="2" t="str">
        <f>TEXT(SalesData[[#This Row],[Order Date]],"mmm")</f>
        <v>Dec</v>
      </c>
      <c r="D976" s="7">
        <f>MONTH(SalesData[[#This Row],[Order Date]])</f>
        <v>12</v>
      </c>
      <c r="E976" s="7">
        <f>YEAR(SalesData[[#This Row],[Order Date]])</f>
        <v>2024</v>
      </c>
      <c r="F976" t="s">
        <v>75</v>
      </c>
      <c r="G976" t="str">
        <f>PROPER(SalesData[[#This Row],[Product Name]])</f>
        <v>Reusable Bamboo Utensil Set</v>
      </c>
      <c r="H976" t="s">
        <v>1014</v>
      </c>
      <c r="I976" t="str">
        <f>UPPER(SalesData[[#This Row],[Product Category]])</f>
        <v>KITCHENWARE</v>
      </c>
      <c r="J976">
        <v>9</v>
      </c>
      <c r="K976">
        <v>15</v>
      </c>
      <c r="L976" s="15">
        <f>IF(SalesData[[#This Row],[Unit Price]]="",
    AVERAGEIFS(SalesData[Unit Price],
               SalesData[Product Name],SalesData[[#This Row],[Product Name]]),
    SalesData[[#This Row],[Unit Price]])</f>
        <v>15</v>
      </c>
      <c r="M976" s="15">
        <v>4.68</v>
      </c>
      <c r="N976" s="15">
        <f>SalesData[[#This Row],[Quantity Sold]] * SalesData[[#This Row],[Cleaned Unit Price]]</f>
        <v>135</v>
      </c>
      <c r="O976" s="15">
        <f>SalesData[[#This Row],[Quantity Sold]] * SalesData[[#This Row],[Unit Cost]]</f>
        <v>42.12</v>
      </c>
      <c r="P976" s="15">
        <f>SalesData[[#This Row],[Revenue]] - SalesData[[#This Row],[Cost]]</f>
        <v>92.88</v>
      </c>
      <c r="Q976" s="13">
        <f>IF(SalesData[[#This Row],[Revenue]]=0,0,SalesData[[#This Row],[Profit]]/SalesData[[#This Row],[Revenue]])</f>
        <v>0.68799999999999994</v>
      </c>
      <c r="R976" t="s">
        <v>1069</v>
      </c>
      <c r="S976" t="s">
        <v>1268</v>
      </c>
      <c r="T976" t="str">
        <f>PROPER(SalesData[[#This Row],[Customer Name]])</f>
        <v>Aiden Davis</v>
      </c>
      <c r="U976" t="s">
        <v>1415</v>
      </c>
      <c r="V976" t="s">
        <v>1419</v>
      </c>
    </row>
    <row r="977" spans="1:22" x14ac:dyDescent="0.25">
      <c r="A977" t="s">
        <v>2403</v>
      </c>
      <c r="B977" s="5">
        <v>45647</v>
      </c>
      <c r="C977" s="2" t="str">
        <f>TEXT(SalesData[[#This Row],[Order Date]],"mmm")</f>
        <v>Dec</v>
      </c>
      <c r="D977" s="7">
        <f>MONTH(SalesData[[#This Row],[Order Date]])</f>
        <v>12</v>
      </c>
      <c r="E977" s="7">
        <f>YEAR(SalesData[[#This Row],[Order Date]])</f>
        <v>2024</v>
      </c>
      <c r="F977" t="s">
        <v>166</v>
      </c>
      <c r="G977" t="str">
        <f>PROPER(SalesData[[#This Row],[Product Name]])</f>
        <v>Solar Led Lantern</v>
      </c>
      <c r="H977" t="s">
        <v>1012</v>
      </c>
      <c r="I977" t="str">
        <f>UPPER(SalesData[[#This Row],[Product Category]])</f>
        <v>LIGHTING</v>
      </c>
      <c r="J977">
        <v>8</v>
      </c>
      <c r="K977">
        <v>40</v>
      </c>
      <c r="L977" s="15">
        <f>IF(SalesData[[#This Row],[Unit Price]]="",
    AVERAGEIFS(SalesData[Unit Price],
               SalesData[Product Name],SalesData[[#This Row],[Product Name]]),
    SalesData[[#This Row],[Unit Price]])</f>
        <v>40</v>
      </c>
      <c r="M977" s="15">
        <v>15.62</v>
      </c>
      <c r="N977" s="15">
        <f>SalesData[[#This Row],[Quantity Sold]] * SalesData[[#This Row],[Cleaned Unit Price]]</f>
        <v>320</v>
      </c>
      <c r="O977" s="15">
        <f>SalesData[[#This Row],[Quantity Sold]] * SalesData[[#This Row],[Unit Cost]]</f>
        <v>124.96</v>
      </c>
      <c r="P977" s="15">
        <f>SalesData[[#This Row],[Revenue]] - SalesData[[#This Row],[Cost]]</f>
        <v>195.04000000000002</v>
      </c>
      <c r="Q977" s="13">
        <f>IF(SalesData[[#This Row],[Revenue]]=0,0,SalesData[[#This Row],[Profit]]/SalesData[[#This Row],[Revenue]])</f>
        <v>0.60950000000000004</v>
      </c>
      <c r="R977" t="s">
        <v>1126</v>
      </c>
      <c r="S977" t="s">
        <v>1325</v>
      </c>
      <c r="T977" t="str">
        <f>PROPER(SalesData[[#This Row],[Customer Name]])</f>
        <v>Ethan Martinez</v>
      </c>
      <c r="U977" t="s">
        <v>1414</v>
      </c>
      <c r="V977" t="s">
        <v>1422</v>
      </c>
    </row>
    <row r="978" spans="1:22" x14ac:dyDescent="0.25">
      <c r="A978" t="s">
        <v>2404</v>
      </c>
      <c r="B978" s="5">
        <v>45647</v>
      </c>
      <c r="C978" s="2" t="str">
        <f>TEXT(SalesData[[#This Row],[Order Date]],"mmm")</f>
        <v>Dec</v>
      </c>
      <c r="D978" s="7">
        <f>MONTH(SalesData[[#This Row],[Order Date]])</f>
        <v>12</v>
      </c>
      <c r="E978" s="7">
        <f>YEAR(SalesData[[#This Row],[Order Date]])</f>
        <v>2024</v>
      </c>
      <c r="F978" t="s">
        <v>169</v>
      </c>
      <c r="G978" t="str">
        <f>PROPER(SalesData[[#This Row],[Product Name]])</f>
        <v>Biodegradable Cleaning Cloth</v>
      </c>
      <c r="H978" t="s">
        <v>1015</v>
      </c>
      <c r="I978" t="str">
        <f>UPPER(SalesData[[#This Row],[Product Category]])</f>
        <v>CLEANING</v>
      </c>
      <c r="J978">
        <v>5</v>
      </c>
      <c r="K978">
        <v>10</v>
      </c>
      <c r="L978" s="15">
        <f>IF(SalesData[[#This Row],[Unit Price]]="",
    AVERAGEIFS(SalesData[Unit Price],
               SalesData[Product Name],SalesData[[#This Row],[Product Name]]),
    SalesData[[#This Row],[Unit Price]])</f>
        <v>10</v>
      </c>
      <c r="M978" s="15">
        <v>3.28</v>
      </c>
      <c r="N978" s="15">
        <f>SalesData[[#This Row],[Quantity Sold]] * SalesData[[#This Row],[Cleaned Unit Price]]</f>
        <v>50</v>
      </c>
      <c r="O978" s="15">
        <f>SalesData[[#This Row],[Quantity Sold]] * SalesData[[#This Row],[Unit Cost]]</f>
        <v>16.399999999999999</v>
      </c>
      <c r="P978" s="15">
        <f>SalesData[[#This Row],[Revenue]] - SalesData[[#This Row],[Cost]]</f>
        <v>33.6</v>
      </c>
      <c r="Q978" s="13">
        <f>IF(SalesData[[#This Row],[Revenue]]=0,0,SalesData[[#This Row],[Profit]]/SalesData[[#This Row],[Revenue]])</f>
        <v>0.67200000000000004</v>
      </c>
      <c r="R978" t="s">
        <v>1049</v>
      </c>
      <c r="S978" t="s">
        <v>1248</v>
      </c>
      <c r="T978" t="str">
        <f>PROPER(SalesData[[#This Row],[Customer Name]])</f>
        <v>Noah Rodriguez</v>
      </c>
      <c r="U978" t="s">
        <v>1414</v>
      </c>
      <c r="V978" t="s">
        <v>1419</v>
      </c>
    </row>
    <row r="979" spans="1:22" x14ac:dyDescent="0.25">
      <c r="A979" t="s">
        <v>2405</v>
      </c>
      <c r="B979" s="5">
        <v>45647</v>
      </c>
      <c r="C979" s="2" t="str">
        <f>TEXT(SalesData[[#This Row],[Order Date]],"mmm")</f>
        <v>Dec</v>
      </c>
      <c r="D979" s="7">
        <f>MONTH(SalesData[[#This Row],[Order Date]])</f>
        <v>12</v>
      </c>
      <c r="E979" s="7">
        <f>YEAR(SalesData[[#This Row],[Order Date]])</f>
        <v>2024</v>
      </c>
      <c r="F979" t="s">
        <v>805</v>
      </c>
      <c r="G979" t="str">
        <f>PROPER(SalesData[[#This Row],[Product Name]])</f>
        <v>Biodegradable Cleaning Cloth</v>
      </c>
      <c r="H979" t="s">
        <v>1015</v>
      </c>
      <c r="I979" t="str">
        <f>UPPER(SalesData[[#This Row],[Product Category]])</f>
        <v>CLEANING</v>
      </c>
      <c r="J979">
        <v>3</v>
      </c>
      <c r="K979">
        <v>10</v>
      </c>
      <c r="L979" s="15">
        <f>IF(SalesData[[#This Row],[Unit Price]]="",
    AVERAGEIFS(SalesData[Unit Price],
               SalesData[Product Name],SalesData[[#This Row],[Product Name]]),
    SalesData[[#This Row],[Unit Price]])</f>
        <v>10</v>
      </c>
      <c r="M979" s="15">
        <v>3.25</v>
      </c>
      <c r="N979" s="15">
        <f>SalesData[[#This Row],[Quantity Sold]] * SalesData[[#This Row],[Cleaned Unit Price]]</f>
        <v>30</v>
      </c>
      <c r="O979" s="15">
        <f>SalesData[[#This Row],[Quantity Sold]] * SalesData[[#This Row],[Unit Cost]]</f>
        <v>9.75</v>
      </c>
      <c r="P979" s="15">
        <f>SalesData[[#This Row],[Revenue]] - SalesData[[#This Row],[Cost]]</f>
        <v>20.25</v>
      </c>
      <c r="Q979" s="13">
        <f>IF(SalesData[[#This Row],[Revenue]]=0,0,SalesData[[#This Row],[Profit]]/SalesData[[#This Row],[Revenue]])</f>
        <v>0.67500000000000004</v>
      </c>
      <c r="R979" t="s">
        <v>1183</v>
      </c>
      <c r="S979" t="s">
        <v>1382</v>
      </c>
      <c r="T979" t="str">
        <f>PROPER(SalesData[[#This Row],[Customer Name]])</f>
        <v>Logan Rodriguez</v>
      </c>
      <c r="U979" t="s">
        <v>1414</v>
      </c>
      <c r="V979" t="s">
        <v>1424</v>
      </c>
    </row>
    <row r="980" spans="1:22" x14ac:dyDescent="0.25">
      <c r="A980" t="s">
        <v>2406</v>
      </c>
      <c r="B980" s="5">
        <v>45648</v>
      </c>
      <c r="C980" s="2" t="str">
        <f>TEXT(SalesData[[#This Row],[Order Date]],"mmm")</f>
        <v>Dec</v>
      </c>
      <c r="D980" s="7">
        <f>MONTH(SalesData[[#This Row],[Order Date]])</f>
        <v>12</v>
      </c>
      <c r="E980" s="7">
        <f>YEAR(SalesData[[#This Row],[Order Date]])</f>
        <v>2024</v>
      </c>
      <c r="F980" t="s">
        <v>19</v>
      </c>
      <c r="G980" t="str">
        <f>PROPER(SalesData[[#This Row],[Product Name]])</f>
        <v>Reusable Bamboo Utensil Set</v>
      </c>
      <c r="H980" t="s">
        <v>1014</v>
      </c>
      <c r="I980" t="str">
        <f>UPPER(SalesData[[#This Row],[Product Category]])</f>
        <v>KITCHENWARE</v>
      </c>
      <c r="J980">
        <v>3</v>
      </c>
      <c r="K980">
        <v>15</v>
      </c>
      <c r="L980" s="15">
        <f>IF(SalesData[[#This Row],[Unit Price]]="",
    AVERAGEIFS(SalesData[Unit Price],
               SalesData[Product Name],SalesData[[#This Row],[Product Name]]),
    SalesData[[#This Row],[Unit Price]])</f>
        <v>15</v>
      </c>
      <c r="M980" s="15">
        <v>3.77</v>
      </c>
      <c r="N980" s="15">
        <f>SalesData[[#This Row],[Quantity Sold]] * SalesData[[#This Row],[Cleaned Unit Price]]</f>
        <v>45</v>
      </c>
      <c r="O980" s="15">
        <f>SalesData[[#This Row],[Quantity Sold]] * SalesData[[#This Row],[Unit Cost]]</f>
        <v>11.31</v>
      </c>
      <c r="P980" s="15">
        <f>SalesData[[#This Row],[Revenue]] - SalesData[[#This Row],[Cost]]</f>
        <v>33.69</v>
      </c>
      <c r="Q980" s="13">
        <f>IF(SalesData[[#This Row],[Revenue]]=0,0,SalesData[[#This Row],[Profit]]/SalesData[[#This Row],[Revenue]])</f>
        <v>0.74866666666666659</v>
      </c>
      <c r="R980" t="s">
        <v>1024</v>
      </c>
      <c r="S980" t="s">
        <v>1223</v>
      </c>
      <c r="T980" t="str">
        <f>PROPER(SalesData[[#This Row],[Customer Name]])</f>
        <v>Ava Rodriguez</v>
      </c>
      <c r="U980" t="s">
        <v>1414</v>
      </c>
      <c r="V980" t="s">
        <v>1423</v>
      </c>
    </row>
    <row r="981" spans="1:22" x14ac:dyDescent="0.25">
      <c r="A981" t="s">
        <v>2407</v>
      </c>
      <c r="B981" s="5">
        <v>45648</v>
      </c>
      <c r="C981" s="2" t="str">
        <f>TEXT(SalesData[[#This Row],[Order Date]],"mmm")</f>
        <v>Dec</v>
      </c>
      <c r="D981" s="7">
        <f>MONTH(SalesData[[#This Row],[Order Date]])</f>
        <v>12</v>
      </c>
      <c r="E981" s="7">
        <f>YEAR(SalesData[[#This Row],[Order Date]])</f>
        <v>2024</v>
      </c>
      <c r="F981" t="s">
        <v>351</v>
      </c>
      <c r="G981" t="str">
        <f>PROPER(SalesData[[#This Row],[Product Name]])</f>
        <v>Solar Led Lantern</v>
      </c>
      <c r="H981" t="s">
        <v>1012</v>
      </c>
      <c r="I981" t="str">
        <f>UPPER(SalesData[[#This Row],[Product Category]])</f>
        <v>LIGHTING</v>
      </c>
      <c r="J981">
        <v>1</v>
      </c>
      <c r="K981">
        <v>40</v>
      </c>
      <c r="L981" s="15">
        <f>IF(SalesData[[#This Row],[Unit Price]]="",
    AVERAGEIFS(SalesData[Unit Price],
               SalesData[Product Name],SalesData[[#This Row],[Product Name]]),
    SalesData[[#This Row],[Unit Price]])</f>
        <v>40</v>
      </c>
      <c r="M981" s="15">
        <v>14.45</v>
      </c>
      <c r="N981" s="15">
        <f>SalesData[[#This Row],[Quantity Sold]] * SalesData[[#This Row],[Cleaned Unit Price]]</f>
        <v>40</v>
      </c>
      <c r="O981" s="15">
        <f>SalesData[[#This Row],[Quantity Sold]] * SalesData[[#This Row],[Unit Cost]]</f>
        <v>14.45</v>
      </c>
      <c r="P981" s="15">
        <f>SalesData[[#This Row],[Revenue]] - SalesData[[#This Row],[Cost]]</f>
        <v>25.55</v>
      </c>
      <c r="Q981" s="13">
        <f>IF(SalesData[[#This Row],[Revenue]]=0,0,SalesData[[#This Row],[Profit]]/SalesData[[#This Row],[Revenue]])</f>
        <v>0.63875000000000004</v>
      </c>
      <c r="R981" t="s">
        <v>1178</v>
      </c>
      <c r="S981" t="s">
        <v>1377</v>
      </c>
      <c r="T981" t="str">
        <f>PROPER(SalesData[[#This Row],[Customer Name]])</f>
        <v>Lucas Jones</v>
      </c>
      <c r="U981" t="s">
        <v>1416</v>
      </c>
      <c r="V981" t="s">
        <v>1424</v>
      </c>
    </row>
    <row r="982" spans="1:22" x14ac:dyDescent="0.25">
      <c r="A982" t="s">
        <v>2408</v>
      </c>
      <c r="B982" s="5">
        <v>45648</v>
      </c>
      <c r="C982" s="2" t="str">
        <f>TEXT(SalesData[[#This Row],[Order Date]],"mmm")</f>
        <v>Dec</v>
      </c>
      <c r="D982" s="7">
        <f>MONTH(SalesData[[#This Row],[Order Date]])</f>
        <v>12</v>
      </c>
      <c r="E982" s="7">
        <f>YEAR(SalesData[[#This Row],[Order Date]])</f>
        <v>2024</v>
      </c>
      <c r="F982" t="s">
        <v>568</v>
      </c>
      <c r="G982" t="str">
        <f>PROPER(SalesData[[#This Row],[Product Name]])</f>
        <v>Compostable Plant Pots</v>
      </c>
      <c r="H982" t="s">
        <v>1011</v>
      </c>
      <c r="I982" t="str">
        <f>UPPER(SalesData[[#This Row],[Product Category]])</f>
        <v>GARDENING</v>
      </c>
      <c r="J982">
        <v>8</v>
      </c>
      <c r="K982">
        <v>12</v>
      </c>
      <c r="L982" s="15">
        <f>IF(SalesData[[#This Row],[Unit Price]]="",
    AVERAGEIFS(SalesData[Unit Price],
               SalesData[Product Name],SalesData[[#This Row],[Product Name]]),
    SalesData[[#This Row],[Unit Price]])</f>
        <v>12</v>
      </c>
      <c r="M982" s="15">
        <v>2.61</v>
      </c>
      <c r="N982" s="15">
        <f>SalesData[[#This Row],[Quantity Sold]] * SalesData[[#This Row],[Cleaned Unit Price]]</f>
        <v>96</v>
      </c>
      <c r="O982" s="15">
        <f>SalesData[[#This Row],[Quantity Sold]] * SalesData[[#This Row],[Unit Cost]]</f>
        <v>20.88</v>
      </c>
      <c r="P982" s="15">
        <f>SalesData[[#This Row],[Revenue]] - SalesData[[#This Row],[Cost]]</f>
        <v>75.12</v>
      </c>
      <c r="Q982" s="13">
        <f>IF(SalesData[[#This Row],[Revenue]]=0,0,SalesData[[#This Row],[Profit]]/SalesData[[#This Row],[Revenue]])</f>
        <v>0.78250000000000008</v>
      </c>
      <c r="R982" t="s">
        <v>1149</v>
      </c>
      <c r="S982" t="s">
        <v>1348</v>
      </c>
      <c r="T982" t="str">
        <f>PROPER(SalesData[[#This Row],[Customer Name]])</f>
        <v>Oliver Johnson</v>
      </c>
      <c r="U982" t="s">
        <v>1414</v>
      </c>
      <c r="V982" t="s">
        <v>1422</v>
      </c>
    </row>
    <row r="983" spans="1:22" x14ac:dyDescent="0.25">
      <c r="A983" t="s">
        <v>2409</v>
      </c>
      <c r="B983" s="5">
        <v>45648</v>
      </c>
      <c r="C983" s="2" t="str">
        <f>TEXT(SalesData[[#This Row],[Order Date]],"mmm")</f>
        <v>Dec</v>
      </c>
      <c r="D983" s="7">
        <f>MONTH(SalesData[[#This Row],[Order Date]])</f>
        <v>12</v>
      </c>
      <c r="E983" s="7">
        <f>YEAR(SalesData[[#This Row],[Order Date]])</f>
        <v>2024</v>
      </c>
      <c r="F983" t="s">
        <v>697</v>
      </c>
      <c r="G983" t="str">
        <f>PROPER(SalesData[[#This Row],[Product Name]])</f>
        <v>Reusable Bamboo Utensil Set</v>
      </c>
      <c r="H983" t="s">
        <v>1014</v>
      </c>
      <c r="I983" t="str">
        <f>UPPER(SalesData[[#This Row],[Product Category]])</f>
        <v>KITCHENWARE</v>
      </c>
      <c r="J983">
        <v>4</v>
      </c>
      <c r="K983">
        <v>15</v>
      </c>
      <c r="L983" s="15">
        <f>IF(SalesData[[#This Row],[Unit Price]]="",
    AVERAGEIFS(SalesData[Unit Price],
               SalesData[Product Name],SalesData[[#This Row],[Product Name]]),
    SalesData[[#This Row],[Unit Price]])</f>
        <v>15</v>
      </c>
      <c r="M983" s="15">
        <v>4.01</v>
      </c>
      <c r="N983" s="15">
        <f>SalesData[[#This Row],[Quantity Sold]] * SalesData[[#This Row],[Cleaned Unit Price]]</f>
        <v>60</v>
      </c>
      <c r="O983" s="15">
        <f>SalesData[[#This Row],[Quantity Sold]] * SalesData[[#This Row],[Unit Cost]]</f>
        <v>16.04</v>
      </c>
      <c r="P983" s="15">
        <f>SalesData[[#This Row],[Revenue]] - SalesData[[#This Row],[Cost]]</f>
        <v>43.96</v>
      </c>
      <c r="Q983" s="13">
        <f>IF(SalesData[[#This Row],[Revenue]]=0,0,SalesData[[#This Row],[Profit]]/SalesData[[#This Row],[Revenue]])</f>
        <v>0.73266666666666669</v>
      </c>
      <c r="R983" t="s">
        <v>1126</v>
      </c>
      <c r="S983" t="s">
        <v>1325</v>
      </c>
      <c r="T983" t="str">
        <f>PROPER(SalesData[[#This Row],[Customer Name]])</f>
        <v>Ethan Martinez</v>
      </c>
      <c r="U983" t="s">
        <v>1415</v>
      </c>
      <c r="V983" t="s">
        <v>1420</v>
      </c>
    </row>
    <row r="984" spans="1:22" x14ac:dyDescent="0.25">
      <c r="A984" t="s">
        <v>2410</v>
      </c>
      <c r="B984" s="5">
        <v>45648</v>
      </c>
      <c r="C984" s="2" t="str">
        <f>TEXT(SalesData[[#This Row],[Order Date]],"mmm")</f>
        <v>Dec</v>
      </c>
      <c r="D984" s="7">
        <f>MONTH(SalesData[[#This Row],[Order Date]])</f>
        <v>12</v>
      </c>
      <c r="E984" s="7">
        <f>YEAR(SalesData[[#This Row],[Order Date]])</f>
        <v>2024</v>
      </c>
      <c r="F984" t="s">
        <v>796</v>
      </c>
      <c r="G984" t="str">
        <f>PROPER(SalesData[[#This Row],[Product Name]])</f>
        <v>Biodegradable Cleaning Cloth</v>
      </c>
      <c r="H984" t="s">
        <v>1015</v>
      </c>
      <c r="I984" t="str">
        <f>UPPER(SalesData[[#This Row],[Product Category]])</f>
        <v>CLEANING</v>
      </c>
      <c r="J984">
        <v>10</v>
      </c>
      <c r="K984">
        <v>10</v>
      </c>
      <c r="L984" s="15">
        <f>IF(SalesData[[#This Row],[Unit Price]]="",
    AVERAGEIFS(SalesData[Unit Price],
               SalesData[Product Name],SalesData[[#This Row],[Product Name]]),
    SalesData[[#This Row],[Unit Price]])</f>
        <v>10</v>
      </c>
      <c r="M984" s="15">
        <v>2.96</v>
      </c>
      <c r="N984" s="15">
        <f>SalesData[[#This Row],[Quantity Sold]] * SalesData[[#This Row],[Cleaned Unit Price]]</f>
        <v>100</v>
      </c>
      <c r="O984" s="15">
        <f>SalesData[[#This Row],[Quantity Sold]] * SalesData[[#This Row],[Unit Cost]]</f>
        <v>29.6</v>
      </c>
      <c r="P984" s="15">
        <f>SalesData[[#This Row],[Revenue]] - SalesData[[#This Row],[Cost]]</f>
        <v>70.400000000000006</v>
      </c>
      <c r="Q984" s="13">
        <f>IF(SalesData[[#This Row],[Revenue]]=0,0,SalesData[[#This Row],[Profit]]/SalesData[[#This Row],[Revenue]])</f>
        <v>0.70400000000000007</v>
      </c>
      <c r="R984" t="s">
        <v>1164</v>
      </c>
      <c r="S984" t="s">
        <v>1363</v>
      </c>
      <c r="T984" t="str">
        <f>PROPER(SalesData[[#This Row],[Customer Name]])</f>
        <v>Amelia Jones</v>
      </c>
      <c r="U984" t="s">
        <v>1416</v>
      </c>
      <c r="V984" t="s">
        <v>1422</v>
      </c>
    </row>
    <row r="985" spans="1:22" x14ac:dyDescent="0.25">
      <c r="A985" t="s">
        <v>2411</v>
      </c>
      <c r="B985" s="5">
        <v>45648</v>
      </c>
      <c r="C985" s="2" t="str">
        <f>TEXT(SalesData[[#This Row],[Order Date]],"mmm")</f>
        <v>Dec</v>
      </c>
      <c r="D985" s="7">
        <f>MONTH(SalesData[[#This Row],[Order Date]])</f>
        <v>12</v>
      </c>
      <c r="E985" s="7">
        <f>YEAR(SalesData[[#This Row],[Order Date]])</f>
        <v>2024</v>
      </c>
      <c r="F985" t="s">
        <v>864</v>
      </c>
      <c r="G985" t="str">
        <f>PROPER(SalesData[[#This Row],[Product Name]])</f>
        <v>Eco Canvas Tote Bag</v>
      </c>
      <c r="H985" t="s">
        <v>1013</v>
      </c>
      <c r="I985" t="str">
        <f>UPPER(SalesData[[#This Row],[Product Category]])</f>
        <v>BAGS</v>
      </c>
      <c r="J985">
        <v>2</v>
      </c>
      <c r="K985">
        <v>25</v>
      </c>
      <c r="L985" s="15">
        <f>IF(SalesData[[#This Row],[Unit Price]]="",
    AVERAGEIFS(SalesData[Unit Price],
               SalesData[Product Name],SalesData[[#This Row],[Product Name]]),
    SalesData[[#This Row],[Unit Price]])</f>
        <v>25</v>
      </c>
      <c r="M985" s="15">
        <v>9.57</v>
      </c>
      <c r="N985" s="15">
        <f>SalesData[[#This Row],[Quantity Sold]] * SalesData[[#This Row],[Cleaned Unit Price]]</f>
        <v>50</v>
      </c>
      <c r="O985" s="15">
        <f>SalesData[[#This Row],[Quantity Sold]] * SalesData[[#This Row],[Unit Cost]]</f>
        <v>19.14</v>
      </c>
      <c r="P985" s="15">
        <f>SalesData[[#This Row],[Revenue]] - SalesData[[#This Row],[Cost]]</f>
        <v>30.86</v>
      </c>
      <c r="Q985" s="13">
        <f>IF(SalesData[[#This Row],[Revenue]]=0,0,SalesData[[#This Row],[Profit]]/SalesData[[#This Row],[Revenue]])</f>
        <v>0.61719999999999997</v>
      </c>
      <c r="R985" t="s">
        <v>1154</v>
      </c>
      <c r="S985" t="s">
        <v>1353</v>
      </c>
      <c r="T985" t="str">
        <f>PROPER(SalesData[[#This Row],[Customer Name]])</f>
        <v>Olivia Miller</v>
      </c>
      <c r="U985" t="s">
        <v>1416</v>
      </c>
      <c r="V985" t="s">
        <v>1421</v>
      </c>
    </row>
    <row r="986" spans="1:22" x14ac:dyDescent="0.25">
      <c r="A986" t="s">
        <v>2412</v>
      </c>
      <c r="B986" s="5">
        <v>45649</v>
      </c>
      <c r="C986" s="2" t="str">
        <f>TEXT(SalesData[[#This Row],[Order Date]],"mmm")</f>
        <v>Dec</v>
      </c>
      <c r="D986" s="7">
        <f>MONTH(SalesData[[#This Row],[Order Date]])</f>
        <v>12</v>
      </c>
      <c r="E986" s="7">
        <f>YEAR(SalesData[[#This Row],[Order Date]])</f>
        <v>2024</v>
      </c>
      <c r="F986" t="s">
        <v>418</v>
      </c>
      <c r="G986" t="str">
        <f>PROPER(SalesData[[#This Row],[Product Name]])</f>
        <v>Reusable Bamboo Utensil Set</v>
      </c>
      <c r="H986" t="s">
        <v>1014</v>
      </c>
      <c r="I986" t="str">
        <f>UPPER(SalesData[[#This Row],[Product Category]])</f>
        <v>KITCHENWARE</v>
      </c>
      <c r="J986">
        <v>10</v>
      </c>
      <c r="L986" s="15">
        <f>IF(SalesData[[#This Row],[Unit Price]]="",
    AVERAGEIFS(SalesData[Unit Price],
               SalesData[Product Name],SalesData[[#This Row],[Product Name]]),
    SalesData[[#This Row],[Unit Price]])</f>
        <v>15</v>
      </c>
      <c r="M986" s="15">
        <v>3.45</v>
      </c>
      <c r="N986" s="15">
        <f>SalesData[[#This Row],[Quantity Sold]] * SalesData[[#This Row],[Cleaned Unit Price]]</f>
        <v>150</v>
      </c>
      <c r="O986" s="15">
        <f>SalesData[[#This Row],[Quantity Sold]] * SalesData[[#This Row],[Unit Cost]]</f>
        <v>34.5</v>
      </c>
      <c r="P986" s="15">
        <f>SalesData[[#This Row],[Revenue]] - SalesData[[#This Row],[Cost]]</f>
        <v>115.5</v>
      </c>
      <c r="Q986" s="13">
        <f>IF(SalesData[[#This Row],[Revenue]]=0,0,SalesData[[#This Row],[Profit]]/SalesData[[#This Row],[Revenue]])</f>
        <v>0.77</v>
      </c>
      <c r="R986" t="s">
        <v>1119</v>
      </c>
      <c r="S986" t="s">
        <v>1318</v>
      </c>
      <c r="T986" t="str">
        <f>PROPER(SalesData[[#This Row],[Customer Name]])</f>
        <v>Aiden Williams</v>
      </c>
      <c r="U986" t="s">
        <v>1414</v>
      </c>
      <c r="V986" t="s">
        <v>1423</v>
      </c>
    </row>
    <row r="987" spans="1:22" x14ac:dyDescent="0.25">
      <c r="A987" t="s">
        <v>2413</v>
      </c>
      <c r="B987" s="5">
        <v>45650</v>
      </c>
      <c r="C987" s="2" t="str">
        <f>TEXT(SalesData[[#This Row],[Order Date]],"mmm")</f>
        <v>Dec</v>
      </c>
      <c r="D987" s="7">
        <f>MONTH(SalesData[[#This Row],[Order Date]])</f>
        <v>12</v>
      </c>
      <c r="E987" s="7">
        <f>YEAR(SalesData[[#This Row],[Order Date]])</f>
        <v>2024</v>
      </c>
      <c r="F987" t="s">
        <v>498</v>
      </c>
      <c r="G987" t="str">
        <f>PROPER(SalesData[[#This Row],[Product Name]])</f>
        <v>Reusable Bamboo Utensil Set</v>
      </c>
      <c r="H987" t="s">
        <v>1014</v>
      </c>
      <c r="I987" t="str">
        <f>UPPER(SalesData[[#This Row],[Product Category]])</f>
        <v>KITCHENWARE</v>
      </c>
      <c r="J987">
        <v>1</v>
      </c>
      <c r="K987">
        <v>15</v>
      </c>
      <c r="L987" s="15">
        <f>IF(SalesData[[#This Row],[Unit Price]]="",
    AVERAGEIFS(SalesData[Unit Price],
               SalesData[Product Name],SalesData[[#This Row],[Product Name]]),
    SalesData[[#This Row],[Unit Price]])</f>
        <v>15</v>
      </c>
      <c r="M987" s="15">
        <v>3.86</v>
      </c>
      <c r="N987" s="15">
        <f>SalesData[[#This Row],[Quantity Sold]] * SalesData[[#This Row],[Cleaned Unit Price]]</f>
        <v>15</v>
      </c>
      <c r="O987" s="15">
        <f>SalesData[[#This Row],[Quantity Sold]] * SalesData[[#This Row],[Unit Cost]]</f>
        <v>3.86</v>
      </c>
      <c r="P987" s="15">
        <f>SalesData[[#This Row],[Revenue]] - SalesData[[#This Row],[Cost]]</f>
        <v>11.14</v>
      </c>
      <c r="Q987" s="13">
        <f>IF(SalesData[[#This Row],[Revenue]]=0,0,SalesData[[#This Row],[Profit]]/SalesData[[#This Row],[Revenue]])</f>
        <v>0.7426666666666667</v>
      </c>
      <c r="R987" t="s">
        <v>1156</v>
      </c>
      <c r="S987" t="s">
        <v>1355</v>
      </c>
      <c r="T987" t="str">
        <f>PROPER(SalesData[[#This Row],[Customer Name]])</f>
        <v>Mason Johnson</v>
      </c>
      <c r="U987" t="s">
        <v>1414</v>
      </c>
      <c r="V987" t="s">
        <v>1425</v>
      </c>
    </row>
    <row r="988" spans="1:22" x14ac:dyDescent="0.25">
      <c r="A988" t="s">
        <v>2414</v>
      </c>
      <c r="B988" s="5">
        <v>45650</v>
      </c>
      <c r="C988" s="2" t="str">
        <f>TEXT(SalesData[[#This Row],[Order Date]],"mmm")</f>
        <v>Dec</v>
      </c>
      <c r="D988" s="7">
        <f>MONTH(SalesData[[#This Row],[Order Date]])</f>
        <v>12</v>
      </c>
      <c r="E988" s="7">
        <f>YEAR(SalesData[[#This Row],[Order Date]])</f>
        <v>2024</v>
      </c>
      <c r="F988" t="s">
        <v>504</v>
      </c>
      <c r="G988" t="str">
        <f>PROPER(SalesData[[#This Row],[Product Name]])</f>
        <v>Eco Canvas Tote Bag</v>
      </c>
      <c r="H988" t="s">
        <v>1013</v>
      </c>
      <c r="I988" t="str">
        <f>UPPER(SalesData[[#This Row],[Product Category]])</f>
        <v>BAGS</v>
      </c>
      <c r="J988">
        <v>8</v>
      </c>
      <c r="K988">
        <v>25</v>
      </c>
      <c r="L988" s="15">
        <f>IF(SalesData[[#This Row],[Unit Price]]="",
    AVERAGEIFS(SalesData[Unit Price],
               SalesData[Product Name],SalesData[[#This Row],[Product Name]]),
    SalesData[[#This Row],[Unit Price]])</f>
        <v>25</v>
      </c>
      <c r="M988" s="15">
        <v>8.4499999999999993</v>
      </c>
      <c r="N988" s="15">
        <f>SalesData[[#This Row],[Quantity Sold]] * SalesData[[#This Row],[Cleaned Unit Price]]</f>
        <v>200</v>
      </c>
      <c r="O988" s="15">
        <f>SalesData[[#This Row],[Quantity Sold]] * SalesData[[#This Row],[Unit Cost]]</f>
        <v>67.599999999999994</v>
      </c>
      <c r="P988" s="15">
        <f>SalesData[[#This Row],[Revenue]] - SalesData[[#This Row],[Cost]]</f>
        <v>132.4</v>
      </c>
      <c r="Q988" s="13">
        <f>IF(SalesData[[#This Row],[Revenue]]=0,0,SalesData[[#This Row],[Profit]]/SalesData[[#This Row],[Revenue]])</f>
        <v>0.66200000000000003</v>
      </c>
      <c r="R988" t="s">
        <v>1151</v>
      </c>
      <c r="S988" t="s">
        <v>1350</v>
      </c>
      <c r="T988" t="str">
        <f>PROPER(SalesData[[#This Row],[Customer Name]])</f>
        <v>Isabella Brown</v>
      </c>
      <c r="U988" t="s">
        <v>1414</v>
      </c>
      <c r="V988" t="s">
        <v>1427</v>
      </c>
    </row>
    <row r="989" spans="1:22" x14ac:dyDescent="0.25">
      <c r="A989" t="s">
        <v>2415</v>
      </c>
      <c r="B989" s="5">
        <v>45650</v>
      </c>
      <c r="C989" s="2" t="str">
        <f>TEXT(SalesData[[#This Row],[Order Date]],"mmm")</f>
        <v>Dec</v>
      </c>
      <c r="D989" s="7">
        <f>MONTH(SalesData[[#This Row],[Order Date]])</f>
        <v>12</v>
      </c>
      <c r="E989" s="7">
        <f>YEAR(SalesData[[#This Row],[Order Date]])</f>
        <v>2024</v>
      </c>
      <c r="F989" t="s">
        <v>657</v>
      </c>
      <c r="G989" t="str">
        <f>PROPER(SalesData[[#This Row],[Product Name]])</f>
        <v>Reusable Bamboo Utensil Set</v>
      </c>
      <c r="H989" t="s">
        <v>1014</v>
      </c>
      <c r="I989" t="str">
        <f>UPPER(SalesData[[#This Row],[Product Category]])</f>
        <v>KITCHENWARE</v>
      </c>
      <c r="J989">
        <v>1</v>
      </c>
      <c r="K989">
        <v>15</v>
      </c>
      <c r="L989" s="15">
        <f>IF(SalesData[[#This Row],[Unit Price]]="",
    AVERAGEIFS(SalesData[Unit Price],
               SalesData[Product Name],SalesData[[#This Row],[Product Name]]),
    SalesData[[#This Row],[Unit Price]])</f>
        <v>15</v>
      </c>
      <c r="M989" s="15">
        <v>5.61</v>
      </c>
      <c r="N989" s="15">
        <f>SalesData[[#This Row],[Quantity Sold]] * SalesData[[#This Row],[Cleaned Unit Price]]</f>
        <v>15</v>
      </c>
      <c r="O989" s="15">
        <f>SalesData[[#This Row],[Quantity Sold]] * SalesData[[#This Row],[Unit Cost]]</f>
        <v>5.61</v>
      </c>
      <c r="P989" s="15">
        <f>SalesData[[#This Row],[Revenue]] - SalesData[[#This Row],[Cost]]</f>
        <v>9.39</v>
      </c>
      <c r="Q989" s="13">
        <f>IF(SalesData[[#This Row],[Revenue]]=0,0,SalesData[[#This Row],[Profit]]/SalesData[[#This Row],[Revenue]])</f>
        <v>0.626</v>
      </c>
      <c r="R989" t="s">
        <v>1025</v>
      </c>
      <c r="S989" t="s">
        <v>1224</v>
      </c>
      <c r="T989" t="str">
        <f>PROPER(SalesData[[#This Row],[Customer Name]])</f>
        <v>Aiden Davis</v>
      </c>
      <c r="U989" t="s">
        <v>1414</v>
      </c>
      <c r="V989" t="s">
        <v>1421</v>
      </c>
    </row>
    <row r="990" spans="1:22" x14ac:dyDescent="0.25">
      <c r="A990" t="s">
        <v>2416</v>
      </c>
      <c r="B990" s="5">
        <v>45650</v>
      </c>
      <c r="C990" s="2" t="str">
        <f>TEXT(SalesData[[#This Row],[Order Date]],"mmm")</f>
        <v>Dec</v>
      </c>
      <c r="D990" s="7">
        <f>MONTH(SalesData[[#This Row],[Order Date]])</f>
        <v>12</v>
      </c>
      <c r="E990" s="7">
        <f>YEAR(SalesData[[#This Row],[Order Date]])</f>
        <v>2024</v>
      </c>
      <c r="F990" t="s">
        <v>887</v>
      </c>
      <c r="G990" t="str">
        <f>PROPER(SalesData[[#This Row],[Product Name]])</f>
        <v>Compostable Plant Pots</v>
      </c>
      <c r="H990" t="s">
        <v>1011</v>
      </c>
      <c r="I990" t="str">
        <f>UPPER(SalesData[[#This Row],[Product Category]])</f>
        <v>GARDENING</v>
      </c>
      <c r="J990">
        <v>7</v>
      </c>
      <c r="K990">
        <v>12</v>
      </c>
      <c r="L990" s="15">
        <f>IF(SalesData[[#This Row],[Unit Price]]="",
    AVERAGEIFS(SalesData[Unit Price],
               SalesData[Product Name],SalesData[[#This Row],[Product Name]]),
    SalesData[[#This Row],[Unit Price]])</f>
        <v>12</v>
      </c>
      <c r="M990" s="15">
        <v>3.23</v>
      </c>
      <c r="N990" s="15">
        <f>SalesData[[#This Row],[Quantity Sold]] * SalesData[[#This Row],[Cleaned Unit Price]]</f>
        <v>84</v>
      </c>
      <c r="O990" s="15">
        <f>SalesData[[#This Row],[Quantity Sold]] * SalesData[[#This Row],[Unit Cost]]</f>
        <v>22.61</v>
      </c>
      <c r="P990" s="15">
        <f>SalesData[[#This Row],[Revenue]] - SalesData[[#This Row],[Cost]]</f>
        <v>61.39</v>
      </c>
      <c r="Q990" s="13">
        <f>IF(SalesData[[#This Row],[Revenue]]=0,0,SalesData[[#This Row],[Profit]]/SalesData[[#This Row],[Revenue]])</f>
        <v>0.73083333333333333</v>
      </c>
      <c r="R990" t="s">
        <v>1098</v>
      </c>
      <c r="S990" t="s">
        <v>1297</v>
      </c>
      <c r="T990" t="str">
        <f>PROPER(SalesData[[#This Row],[Customer Name]])</f>
        <v>Noah Martinez</v>
      </c>
      <c r="U990" t="s">
        <v>1414</v>
      </c>
      <c r="V990" t="s">
        <v>1424</v>
      </c>
    </row>
    <row r="991" spans="1:22" x14ac:dyDescent="0.25">
      <c r="A991" t="s">
        <v>2417</v>
      </c>
      <c r="B991" s="5">
        <v>45651</v>
      </c>
      <c r="C991" s="2" t="str">
        <f>TEXT(SalesData[[#This Row],[Order Date]],"mmm")</f>
        <v>Dec</v>
      </c>
      <c r="D991" s="7">
        <f>MONTH(SalesData[[#This Row],[Order Date]])</f>
        <v>12</v>
      </c>
      <c r="E991" s="7">
        <f>YEAR(SalesData[[#This Row],[Order Date]])</f>
        <v>2024</v>
      </c>
      <c r="F991" t="s">
        <v>145</v>
      </c>
      <c r="G991" t="str">
        <f>PROPER(SalesData[[#This Row],[Product Name]])</f>
        <v>Solar Led Lantern</v>
      </c>
      <c r="H991" t="s">
        <v>1012</v>
      </c>
      <c r="I991" t="str">
        <f>UPPER(SalesData[[#This Row],[Product Category]])</f>
        <v>LIGHTING</v>
      </c>
      <c r="J991">
        <v>8</v>
      </c>
      <c r="K991">
        <v>40</v>
      </c>
      <c r="L991" s="15">
        <f>IF(SalesData[[#This Row],[Unit Price]]="",
    AVERAGEIFS(SalesData[Unit Price],
               SalesData[Product Name],SalesData[[#This Row],[Product Name]]),
    SalesData[[#This Row],[Unit Price]])</f>
        <v>40</v>
      </c>
      <c r="M991" s="15">
        <v>12.11</v>
      </c>
      <c r="N991" s="15">
        <f>SalesData[[#This Row],[Quantity Sold]] * SalesData[[#This Row],[Cleaned Unit Price]]</f>
        <v>320</v>
      </c>
      <c r="O991" s="15">
        <f>SalesData[[#This Row],[Quantity Sold]] * SalesData[[#This Row],[Unit Cost]]</f>
        <v>96.88</v>
      </c>
      <c r="P991" s="15">
        <f>SalesData[[#This Row],[Revenue]] - SalesData[[#This Row],[Cost]]</f>
        <v>223.12</v>
      </c>
      <c r="Q991" s="13">
        <f>IF(SalesData[[#This Row],[Revenue]]=0,0,SalesData[[#This Row],[Profit]]/SalesData[[#This Row],[Revenue]])</f>
        <v>0.69725000000000004</v>
      </c>
      <c r="R991" t="s">
        <v>1117</v>
      </c>
      <c r="S991" t="s">
        <v>1316</v>
      </c>
      <c r="T991" t="str">
        <f>PROPER(SalesData[[#This Row],[Customer Name]])</f>
        <v>Isabella Brown</v>
      </c>
      <c r="U991" t="s">
        <v>1414</v>
      </c>
      <c r="V991" t="s">
        <v>1426</v>
      </c>
    </row>
    <row r="992" spans="1:22" x14ac:dyDescent="0.25">
      <c r="A992" t="s">
        <v>2418</v>
      </c>
      <c r="B992" s="5">
        <v>45651</v>
      </c>
      <c r="C992" s="2" t="str">
        <f>TEXT(SalesData[[#This Row],[Order Date]],"mmm")</f>
        <v>Dec</v>
      </c>
      <c r="D992" s="7">
        <f>MONTH(SalesData[[#This Row],[Order Date]])</f>
        <v>12</v>
      </c>
      <c r="E992" s="7">
        <f>YEAR(SalesData[[#This Row],[Order Date]])</f>
        <v>2024</v>
      </c>
      <c r="F992" t="s">
        <v>453</v>
      </c>
      <c r="G992" t="str">
        <f>PROPER(SalesData[[#This Row],[Product Name]])</f>
        <v>Eco Canvas Tote Bag</v>
      </c>
      <c r="H992" t="s">
        <v>1013</v>
      </c>
      <c r="I992" t="str">
        <f>UPPER(SalesData[[#This Row],[Product Category]])</f>
        <v>BAGS</v>
      </c>
      <c r="J992">
        <v>10</v>
      </c>
      <c r="K992">
        <v>25</v>
      </c>
      <c r="L992" s="15">
        <f>IF(SalesData[[#This Row],[Unit Price]]="",
    AVERAGEIFS(SalesData[Unit Price],
               SalesData[Product Name],SalesData[[#This Row],[Product Name]]),
    SalesData[[#This Row],[Unit Price]])</f>
        <v>25</v>
      </c>
      <c r="M992" s="15">
        <v>5.58</v>
      </c>
      <c r="N992" s="15">
        <f>SalesData[[#This Row],[Quantity Sold]] * SalesData[[#This Row],[Cleaned Unit Price]]</f>
        <v>250</v>
      </c>
      <c r="O992" s="15">
        <f>SalesData[[#This Row],[Quantity Sold]] * SalesData[[#This Row],[Unit Cost]]</f>
        <v>55.8</v>
      </c>
      <c r="P992" s="15">
        <f>SalesData[[#This Row],[Revenue]] - SalesData[[#This Row],[Cost]]</f>
        <v>194.2</v>
      </c>
      <c r="Q992" s="13">
        <f>IF(SalesData[[#This Row],[Revenue]]=0,0,SalesData[[#This Row],[Profit]]/SalesData[[#This Row],[Revenue]])</f>
        <v>0.77679999999999993</v>
      </c>
      <c r="R992" t="s">
        <v>1195</v>
      </c>
      <c r="S992" t="s">
        <v>1394</v>
      </c>
      <c r="T992" t="str">
        <f>PROPER(SalesData[[#This Row],[Customer Name]])</f>
        <v>Ava Garcia</v>
      </c>
      <c r="U992" t="s">
        <v>1414</v>
      </c>
      <c r="V992" t="s">
        <v>1420</v>
      </c>
    </row>
    <row r="993" spans="1:22" x14ac:dyDescent="0.25">
      <c r="A993" t="s">
        <v>2419</v>
      </c>
      <c r="B993" s="5">
        <v>45651</v>
      </c>
      <c r="C993" s="2" t="str">
        <f>TEXT(SalesData[[#This Row],[Order Date]],"mmm")</f>
        <v>Dec</v>
      </c>
      <c r="D993" s="7">
        <f>MONTH(SalesData[[#This Row],[Order Date]])</f>
        <v>12</v>
      </c>
      <c r="E993" s="7">
        <f>YEAR(SalesData[[#This Row],[Order Date]])</f>
        <v>2024</v>
      </c>
      <c r="F993" t="s">
        <v>551</v>
      </c>
      <c r="G993" t="str">
        <f>PROPER(SalesData[[#This Row],[Product Name]])</f>
        <v>Solar Led Lantern</v>
      </c>
      <c r="H993" t="s">
        <v>1012</v>
      </c>
      <c r="I993" t="str">
        <f>UPPER(SalesData[[#This Row],[Product Category]])</f>
        <v>LIGHTING</v>
      </c>
      <c r="J993">
        <v>7</v>
      </c>
      <c r="K993">
        <v>40</v>
      </c>
      <c r="L993" s="15">
        <f>IF(SalesData[[#This Row],[Unit Price]]="",
    AVERAGEIFS(SalesData[Unit Price],
               SalesData[Product Name],SalesData[[#This Row],[Product Name]]),
    SalesData[[#This Row],[Unit Price]])</f>
        <v>40</v>
      </c>
      <c r="M993" s="15">
        <v>8.07</v>
      </c>
      <c r="N993" s="15">
        <f>SalesData[[#This Row],[Quantity Sold]] * SalesData[[#This Row],[Cleaned Unit Price]]</f>
        <v>280</v>
      </c>
      <c r="O993" s="15">
        <f>SalesData[[#This Row],[Quantity Sold]] * SalesData[[#This Row],[Unit Cost]]</f>
        <v>56.49</v>
      </c>
      <c r="P993" s="15">
        <f>SalesData[[#This Row],[Revenue]] - SalesData[[#This Row],[Cost]]</f>
        <v>223.51</v>
      </c>
      <c r="Q993" s="13">
        <f>IF(SalesData[[#This Row],[Revenue]]=0,0,SalesData[[#This Row],[Profit]]/SalesData[[#This Row],[Revenue]])</f>
        <v>0.79825000000000002</v>
      </c>
      <c r="R993" t="s">
        <v>1067</v>
      </c>
      <c r="S993" t="s">
        <v>1266</v>
      </c>
      <c r="T993" t="str">
        <f>PROPER(SalesData[[#This Row],[Customer Name]])</f>
        <v>Charlotte Jones</v>
      </c>
      <c r="U993" t="s">
        <v>1414</v>
      </c>
      <c r="V993" t="s">
        <v>1424</v>
      </c>
    </row>
    <row r="994" spans="1:22" x14ac:dyDescent="0.25">
      <c r="A994" t="s">
        <v>2420</v>
      </c>
      <c r="B994" s="5">
        <v>45652</v>
      </c>
      <c r="C994" s="2" t="str">
        <f>TEXT(SalesData[[#This Row],[Order Date]],"mmm")</f>
        <v>Dec</v>
      </c>
      <c r="D994" s="7">
        <f>MONTH(SalesData[[#This Row],[Order Date]])</f>
        <v>12</v>
      </c>
      <c r="E994" s="7">
        <f>YEAR(SalesData[[#This Row],[Order Date]])</f>
        <v>2024</v>
      </c>
      <c r="F994" t="s">
        <v>824</v>
      </c>
      <c r="G994" t="str">
        <f>PROPER(SalesData[[#This Row],[Product Name]])</f>
        <v>Eco Canvas Tote Bag</v>
      </c>
      <c r="H994" t="s">
        <v>1013</v>
      </c>
      <c r="I994" t="str">
        <f>UPPER(SalesData[[#This Row],[Product Category]])</f>
        <v>BAGS</v>
      </c>
      <c r="J994">
        <v>1</v>
      </c>
      <c r="K994">
        <v>25</v>
      </c>
      <c r="L994" s="15">
        <f>IF(SalesData[[#This Row],[Unit Price]]="",
    AVERAGEIFS(SalesData[Unit Price],
               SalesData[Product Name],SalesData[[#This Row],[Product Name]]),
    SalesData[[#This Row],[Unit Price]])</f>
        <v>25</v>
      </c>
      <c r="M994" s="15">
        <v>7.33</v>
      </c>
      <c r="N994" s="15">
        <f>SalesData[[#This Row],[Quantity Sold]] * SalesData[[#This Row],[Cleaned Unit Price]]</f>
        <v>25</v>
      </c>
      <c r="O994" s="15">
        <f>SalesData[[#This Row],[Quantity Sold]] * SalesData[[#This Row],[Unit Cost]]</f>
        <v>7.33</v>
      </c>
      <c r="P994" s="15">
        <f>SalesData[[#This Row],[Revenue]] - SalesData[[#This Row],[Cost]]</f>
        <v>17.670000000000002</v>
      </c>
      <c r="Q994" s="13">
        <f>IF(SalesData[[#This Row],[Revenue]]=0,0,SalesData[[#This Row],[Profit]]/SalesData[[#This Row],[Revenue]])</f>
        <v>0.70680000000000009</v>
      </c>
      <c r="R994" t="s">
        <v>1146</v>
      </c>
      <c r="S994" t="s">
        <v>1345</v>
      </c>
      <c r="T994" t="str">
        <f>PROPER(SalesData[[#This Row],[Customer Name]])</f>
        <v>Logan Martinez</v>
      </c>
      <c r="U994" t="s">
        <v>1416</v>
      </c>
      <c r="V994" t="s">
        <v>1423</v>
      </c>
    </row>
    <row r="995" spans="1:22" x14ac:dyDescent="0.25">
      <c r="A995" t="s">
        <v>2421</v>
      </c>
      <c r="B995" s="5">
        <v>45653</v>
      </c>
      <c r="C995" s="2" t="str">
        <f>TEXT(SalesData[[#This Row],[Order Date]],"mmm")</f>
        <v>Dec</v>
      </c>
      <c r="D995" s="7">
        <f>MONTH(SalesData[[#This Row],[Order Date]])</f>
        <v>12</v>
      </c>
      <c r="E995" s="7">
        <f>YEAR(SalesData[[#This Row],[Order Date]])</f>
        <v>2024</v>
      </c>
      <c r="F995" t="s">
        <v>430</v>
      </c>
      <c r="G995" t="str">
        <f>PROPER(SalesData[[#This Row],[Product Name]])</f>
        <v>Compostable Plant Pots</v>
      </c>
      <c r="H995" t="s">
        <v>1011</v>
      </c>
      <c r="I995" t="str">
        <f>UPPER(SalesData[[#This Row],[Product Category]])</f>
        <v>GARDENING</v>
      </c>
      <c r="J995">
        <v>5</v>
      </c>
      <c r="K995">
        <v>12</v>
      </c>
      <c r="L995" s="15">
        <f>IF(SalesData[[#This Row],[Unit Price]]="",
    AVERAGEIFS(SalesData[Unit Price],
               SalesData[Product Name],SalesData[[#This Row],[Product Name]]),
    SalesData[[#This Row],[Unit Price]])</f>
        <v>12</v>
      </c>
      <c r="M995" s="15">
        <v>4.26</v>
      </c>
      <c r="N995" s="15">
        <f>SalesData[[#This Row],[Quantity Sold]] * SalesData[[#This Row],[Cleaned Unit Price]]</f>
        <v>60</v>
      </c>
      <c r="O995" s="15">
        <f>SalesData[[#This Row],[Quantity Sold]] * SalesData[[#This Row],[Unit Cost]]</f>
        <v>21.299999999999997</v>
      </c>
      <c r="P995" s="15">
        <f>SalesData[[#This Row],[Revenue]] - SalesData[[#This Row],[Cost]]</f>
        <v>38.700000000000003</v>
      </c>
      <c r="Q995" s="13">
        <f>IF(SalesData[[#This Row],[Revenue]]=0,0,SalesData[[#This Row],[Profit]]/SalesData[[#This Row],[Revenue]])</f>
        <v>0.64500000000000002</v>
      </c>
      <c r="R995" t="s">
        <v>1124</v>
      </c>
      <c r="S995" t="s">
        <v>1323</v>
      </c>
      <c r="T995" t="str">
        <f>PROPER(SalesData[[#This Row],[Customer Name]])</f>
        <v>Emma Davis</v>
      </c>
      <c r="U995" t="s">
        <v>1414</v>
      </c>
      <c r="V995" t="s">
        <v>1418</v>
      </c>
    </row>
    <row r="996" spans="1:22" x14ac:dyDescent="0.25">
      <c r="A996" t="s">
        <v>2422</v>
      </c>
      <c r="B996" s="5">
        <v>45653</v>
      </c>
      <c r="C996" s="2" t="str">
        <f>TEXT(SalesData[[#This Row],[Order Date]],"mmm")</f>
        <v>Dec</v>
      </c>
      <c r="D996" s="7">
        <f>MONTH(SalesData[[#This Row],[Order Date]])</f>
        <v>12</v>
      </c>
      <c r="E996" s="7">
        <f>YEAR(SalesData[[#This Row],[Order Date]])</f>
        <v>2024</v>
      </c>
      <c r="F996" t="s">
        <v>595</v>
      </c>
      <c r="G996" t="str">
        <f>PROPER(SalesData[[#This Row],[Product Name]])</f>
        <v>Reusable Bamboo Utensil Set</v>
      </c>
      <c r="H996" t="s">
        <v>1014</v>
      </c>
      <c r="I996" t="str">
        <f>UPPER(SalesData[[#This Row],[Product Category]])</f>
        <v>KITCHENWARE</v>
      </c>
      <c r="J996">
        <v>8</v>
      </c>
      <c r="K996">
        <v>15</v>
      </c>
      <c r="L996" s="15">
        <f>IF(SalesData[[#This Row],[Unit Price]]="",
    AVERAGEIFS(SalesData[Unit Price],
               SalesData[Product Name],SalesData[[#This Row],[Product Name]]),
    SalesData[[#This Row],[Unit Price]])</f>
        <v>15</v>
      </c>
      <c r="M996" s="15">
        <v>3.68</v>
      </c>
      <c r="N996" s="15">
        <f>SalesData[[#This Row],[Quantity Sold]] * SalesData[[#This Row],[Cleaned Unit Price]]</f>
        <v>120</v>
      </c>
      <c r="O996" s="15">
        <f>SalesData[[#This Row],[Quantity Sold]] * SalesData[[#This Row],[Unit Cost]]</f>
        <v>29.44</v>
      </c>
      <c r="P996" s="15">
        <f>SalesData[[#This Row],[Revenue]] - SalesData[[#This Row],[Cost]]</f>
        <v>90.56</v>
      </c>
      <c r="Q996" s="13">
        <f>IF(SalesData[[#This Row],[Revenue]]=0,0,SalesData[[#This Row],[Profit]]/SalesData[[#This Row],[Revenue]])</f>
        <v>0.75466666666666671</v>
      </c>
      <c r="R996" t="s">
        <v>1195</v>
      </c>
      <c r="S996" t="s">
        <v>1394</v>
      </c>
      <c r="T996" t="str">
        <f>PROPER(SalesData[[#This Row],[Customer Name]])</f>
        <v>Ava Garcia</v>
      </c>
      <c r="U996" t="s">
        <v>1414</v>
      </c>
      <c r="V996" t="s">
        <v>1418</v>
      </c>
    </row>
    <row r="997" spans="1:22" x14ac:dyDescent="0.25">
      <c r="A997" t="s">
        <v>2423</v>
      </c>
      <c r="B997" s="5">
        <v>45654</v>
      </c>
      <c r="C997" s="2" t="str">
        <f>TEXT(SalesData[[#This Row],[Order Date]],"mmm")</f>
        <v>Dec</v>
      </c>
      <c r="D997" s="7">
        <f>MONTH(SalesData[[#This Row],[Order Date]])</f>
        <v>12</v>
      </c>
      <c r="E997" s="7">
        <f>YEAR(SalesData[[#This Row],[Order Date]])</f>
        <v>2024</v>
      </c>
      <c r="F997" t="s">
        <v>505</v>
      </c>
      <c r="G997" t="str">
        <f>PROPER(SalesData[[#This Row],[Product Name]])</f>
        <v>Reusable Bamboo Utensil Set</v>
      </c>
      <c r="H997" t="s">
        <v>1014</v>
      </c>
      <c r="I997" t="str">
        <f>UPPER(SalesData[[#This Row],[Product Category]])</f>
        <v>KITCHENWARE</v>
      </c>
      <c r="J997">
        <v>1</v>
      </c>
      <c r="K997">
        <v>15</v>
      </c>
      <c r="L997" s="15">
        <f>IF(SalesData[[#This Row],[Unit Price]]="",
    AVERAGEIFS(SalesData[Unit Price],
               SalesData[Product Name],SalesData[[#This Row],[Product Name]]),
    SalesData[[#This Row],[Unit Price]])</f>
        <v>15</v>
      </c>
      <c r="M997" s="15">
        <v>3.83</v>
      </c>
      <c r="N997" s="15">
        <f>SalesData[[#This Row],[Quantity Sold]] * SalesData[[#This Row],[Cleaned Unit Price]]</f>
        <v>15</v>
      </c>
      <c r="O997" s="15">
        <f>SalesData[[#This Row],[Quantity Sold]] * SalesData[[#This Row],[Unit Cost]]</f>
        <v>3.83</v>
      </c>
      <c r="P997" s="15">
        <f>SalesData[[#This Row],[Revenue]] - SalesData[[#This Row],[Cost]]</f>
        <v>11.17</v>
      </c>
      <c r="Q997" s="13">
        <f>IF(SalesData[[#This Row],[Revenue]]=0,0,SalesData[[#This Row],[Profit]]/SalesData[[#This Row],[Revenue]])</f>
        <v>0.7446666666666667</v>
      </c>
      <c r="R997" t="s">
        <v>1055</v>
      </c>
      <c r="S997" t="s">
        <v>1254</v>
      </c>
      <c r="T997" t="str">
        <f>PROPER(SalesData[[#This Row],[Customer Name]])</f>
        <v>Lucas Brown</v>
      </c>
      <c r="U997" t="s">
        <v>1417</v>
      </c>
      <c r="V997" t="s">
        <v>1419</v>
      </c>
    </row>
    <row r="998" spans="1:22" x14ac:dyDescent="0.25">
      <c r="A998" t="s">
        <v>2424</v>
      </c>
      <c r="B998" s="5">
        <v>45654</v>
      </c>
      <c r="C998" s="2" t="str">
        <f>TEXT(SalesData[[#This Row],[Order Date]],"mmm")</f>
        <v>Dec</v>
      </c>
      <c r="D998" s="7">
        <f>MONTH(SalesData[[#This Row],[Order Date]])</f>
        <v>12</v>
      </c>
      <c r="E998" s="7">
        <f>YEAR(SalesData[[#This Row],[Order Date]])</f>
        <v>2024</v>
      </c>
      <c r="F998" t="s">
        <v>550</v>
      </c>
      <c r="G998" t="str">
        <f>PROPER(SalesData[[#This Row],[Product Name]])</f>
        <v>Reusable Bamboo Utensil Set</v>
      </c>
      <c r="H998" t="s">
        <v>1014</v>
      </c>
      <c r="I998" t="str">
        <f>UPPER(SalesData[[#This Row],[Product Category]])</f>
        <v>KITCHENWARE</v>
      </c>
      <c r="J998">
        <v>3</v>
      </c>
      <c r="K998">
        <v>15</v>
      </c>
      <c r="L998" s="15">
        <f>IF(SalesData[[#This Row],[Unit Price]]="",
    AVERAGEIFS(SalesData[Unit Price],
               SalesData[Product Name],SalesData[[#This Row],[Product Name]]),
    SalesData[[#This Row],[Unit Price]])</f>
        <v>15</v>
      </c>
      <c r="M998" s="15">
        <v>3.05</v>
      </c>
      <c r="N998" s="15">
        <f>SalesData[[#This Row],[Quantity Sold]] * SalesData[[#This Row],[Cleaned Unit Price]]</f>
        <v>45</v>
      </c>
      <c r="O998" s="15">
        <f>SalesData[[#This Row],[Quantity Sold]] * SalesData[[#This Row],[Unit Cost]]</f>
        <v>9.1499999999999986</v>
      </c>
      <c r="P998" s="15">
        <f>SalesData[[#This Row],[Revenue]] - SalesData[[#This Row],[Cost]]</f>
        <v>35.85</v>
      </c>
      <c r="Q998" s="13">
        <f>IF(SalesData[[#This Row],[Revenue]]=0,0,SalesData[[#This Row],[Profit]]/SalesData[[#This Row],[Revenue]])</f>
        <v>0.79666666666666675</v>
      </c>
      <c r="R998" t="s">
        <v>1120</v>
      </c>
      <c r="S998" t="s">
        <v>1319</v>
      </c>
      <c r="T998" t="str">
        <f>PROPER(SalesData[[#This Row],[Customer Name]])</f>
        <v>Isabella Johnson</v>
      </c>
      <c r="U998" t="s">
        <v>1414</v>
      </c>
      <c r="V998" t="s">
        <v>1424</v>
      </c>
    </row>
    <row r="999" spans="1:22" x14ac:dyDescent="0.25">
      <c r="A999" t="s">
        <v>2425</v>
      </c>
      <c r="B999" s="5">
        <v>45655</v>
      </c>
      <c r="C999" s="2" t="str">
        <f>TEXT(SalesData[[#This Row],[Order Date]],"mmm")</f>
        <v>Dec</v>
      </c>
      <c r="D999" s="7">
        <f>MONTH(SalesData[[#This Row],[Order Date]])</f>
        <v>12</v>
      </c>
      <c r="E999" s="7">
        <f>YEAR(SalesData[[#This Row],[Order Date]])</f>
        <v>2024</v>
      </c>
      <c r="F999" t="s">
        <v>121</v>
      </c>
      <c r="G999" t="str">
        <f>PROPER(SalesData[[#This Row],[Product Name]])</f>
        <v>Biodegradable Cleaning Cloth</v>
      </c>
      <c r="H999" t="s">
        <v>1015</v>
      </c>
      <c r="I999" t="str">
        <f>UPPER(SalesData[[#This Row],[Product Category]])</f>
        <v>CLEANING</v>
      </c>
      <c r="J999">
        <v>1</v>
      </c>
      <c r="K999">
        <v>10</v>
      </c>
      <c r="L999" s="15">
        <f>IF(SalesData[[#This Row],[Unit Price]]="",
    AVERAGEIFS(SalesData[Unit Price],
               SalesData[Product Name],SalesData[[#This Row],[Product Name]]),
    SalesData[[#This Row],[Unit Price]])</f>
        <v>10</v>
      </c>
      <c r="M999" s="15">
        <v>3.56</v>
      </c>
      <c r="N999" s="15">
        <f>SalesData[[#This Row],[Quantity Sold]] * SalesData[[#This Row],[Cleaned Unit Price]]</f>
        <v>10</v>
      </c>
      <c r="O999" s="15">
        <f>SalesData[[#This Row],[Quantity Sold]] * SalesData[[#This Row],[Unit Cost]]</f>
        <v>3.56</v>
      </c>
      <c r="P999" s="15">
        <f>SalesData[[#This Row],[Revenue]] - SalesData[[#This Row],[Cost]]</f>
        <v>6.4399999999999995</v>
      </c>
      <c r="Q999" s="13">
        <f>IF(SalesData[[#This Row],[Revenue]]=0,0,SalesData[[#This Row],[Profit]]/SalesData[[#This Row],[Revenue]])</f>
        <v>0.64399999999999991</v>
      </c>
      <c r="R999" t="s">
        <v>1101</v>
      </c>
      <c r="S999" t="s">
        <v>1300</v>
      </c>
      <c r="T999" t="str">
        <f>PROPER(SalesData[[#This Row],[Customer Name]])</f>
        <v>James Miller</v>
      </c>
      <c r="U999" t="s">
        <v>1416</v>
      </c>
      <c r="V999" t="s">
        <v>1419</v>
      </c>
    </row>
    <row r="1000" spans="1:22" x14ac:dyDescent="0.25">
      <c r="A1000" t="s">
        <v>2426</v>
      </c>
      <c r="B1000" s="5">
        <v>45656</v>
      </c>
      <c r="C1000" s="2" t="str">
        <f>TEXT(SalesData[[#This Row],[Order Date]],"mmm")</f>
        <v>Dec</v>
      </c>
      <c r="D1000" s="7">
        <f>MONTH(SalesData[[#This Row],[Order Date]])</f>
        <v>12</v>
      </c>
      <c r="E1000" s="7">
        <f>YEAR(SalesData[[#This Row],[Order Date]])</f>
        <v>2024</v>
      </c>
      <c r="F1000" t="s">
        <v>671</v>
      </c>
      <c r="G1000" t="str">
        <f>PROPER(SalesData[[#This Row],[Product Name]])</f>
        <v>Solar Led Lantern</v>
      </c>
      <c r="H1000" t="s">
        <v>1012</v>
      </c>
      <c r="I1000" t="str">
        <f>UPPER(SalesData[[#This Row],[Product Category]])</f>
        <v>LIGHTING</v>
      </c>
      <c r="J1000">
        <v>3</v>
      </c>
      <c r="K1000">
        <v>40</v>
      </c>
      <c r="L1000" s="15">
        <f>IF(SalesData[[#This Row],[Unit Price]]="",
    AVERAGEIFS(SalesData[Unit Price],
               SalesData[Product Name],SalesData[[#This Row],[Product Name]]),
    SalesData[[#This Row],[Unit Price]])</f>
        <v>40</v>
      </c>
      <c r="M1000" s="15">
        <v>13.05</v>
      </c>
      <c r="N1000" s="15">
        <f>SalesData[[#This Row],[Quantity Sold]] * SalesData[[#This Row],[Cleaned Unit Price]]</f>
        <v>120</v>
      </c>
      <c r="O1000" s="15">
        <f>SalesData[[#This Row],[Quantity Sold]] * SalesData[[#This Row],[Unit Cost]]</f>
        <v>39.150000000000006</v>
      </c>
      <c r="P1000" s="15">
        <f>SalesData[[#This Row],[Revenue]] - SalesData[[#This Row],[Cost]]</f>
        <v>80.849999999999994</v>
      </c>
      <c r="Q1000" s="13">
        <f>IF(SalesData[[#This Row],[Revenue]]=0,0,SalesData[[#This Row],[Profit]]/SalesData[[#This Row],[Revenue]])</f>
        <v>0.67374999999999996</v>
      </c>
      <c r="R1000" t="s">
        <v>1150</v>
      </c>
      <c r="S1000" t="s">
        <v>1349</v>
      </c>
      <c r="T1000" t="str">
        <f>PROPER(SalesData[[#This Row],[Customer Name]])</f>
        <v>Mia Davis</v>
      </c>
      <c r="U1000" t="s">
        <v>1414</v>
      </c>
      <c r="V1000" t="s">
        <v>1421</v>
      </c>
    </row>
    <row r="1001" spans="1:22" x14ac:dyDescent="0.25">
      <c r="A1001" t="s">
        <v>2427</v>
      </c>
      <c r="B1001" s="5">
        <v>45656</v>
      </c>
      <c r="C1001" s="2" t="str">
        <f>TEXT(SalesData[[#This Row],[Order Date]],"mmm")</f>
        <v>Dec</v>
      </c>
      <c r="D1001" s="7">
        <f>MONTH(SalesData[[#This Row],[Order Date]])</f>
        <v>12</v>
      </c>
      <c r="E1001" s="7">
        <f>YEAR(SalesData[[#This Row],[Order Date]])</f>
        <v>2024</v>
      </c>
      <c r="F1001" t="s">
        <v>907</v>
      </c>
      <c r="G1001" t="str">
        <f>PROPER(SalesData[[#This Row],[Product Name]])</f>
        <v>Reusable Bamboo Utensil Set</v>
      </c>
      <c r="H1001" t="s">
        <v>1014</v>
      </c>
      <c r="I1001" t="str">
        <f>UPPER(SalesData[[#This Row],[Product Category]])</f>
        <v>KITCHENWARE</v>
      </c>
      <c r="J1001">
        <v>6</v>
      </c>
      <c r="K1001">
        <v>15</v>
      </c>
      <c r="L1001" s="15">
        <f>IF(SalesData[[#This Row],[Unit Price]]="",
    AVERAGEIFS(SalesData[Unit Price],
               SalesData[Product Name],SalesData[[#This Row],[Product Name]]),
    SalesData[[#This Row],[Unit Price]])</f>
        <v>15</v>
      </c>
      <c r="M1001" s="15">
        <v>5.15</v>
      </c>
      <c r="N1001" s="15">
        <f>SalesData[[#This Row],[Quantity Sold]] * SalesData[[#This Row],[Cleaned Unit Price]]</f>
        <v>90</v>
      </c>
      <c r="O1001" s="15">
        <f>SalesData[[#This Row],[Quantity Sold]] * SalesData[[#This Row],[Unit Cost]]</f>
        <v>30.900000000000002</v>
      </c>
      <c r="P1001" s="15">
        <f>SalesData[[#This Row],[Revenue]] - SalesData[[#This Row],[Cost]]</f>
        <v>59.099999999999994</v>
      </c>
      <c r="Q1001" s="13">
        <f>IF(SalesData[[#This Row],[Revenue]]=0,0,SalesData[[#This Row],[Profit]]/SalesData[[#This Row],[Revenue]])</f>
        <v>0.65666666666666662</v>
      </c>
      <c r="R1001" t="s">
        <v>1212</v>
      </c>
      <c r="S1001" t="s">
        <v>1411</v>
      </c>
      <c r="T1001" t="str">
        <f>PROPER(SalesData[[#This Row],[Customer Name]])</f>
        <v>Logan Jones</v>
      </c>
      <c r="U1001" t="s">
        <v>1414</v>
      </c>
      <c r="V1001" t="s">
        <v>1424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AF5D0-98BC-4907-B046-7363F6BDD913}">
  <dimension ref="A1:H10"/>
  <sheetViews>
    <sheetView workbookViewId="0">
      <selection activeCell="A2" sqref="A2"/>
    </sheetView>
  </sheetViews>
  <sheetFormatPr defaultRowHeight="13.8" x14ac:dyDescent="0.25"/>
  <cols>
    <col min="1" max="1" width="26.69921875" customWidth="1"/>
    <col min="2" max="2" width="17.69921875" customWidth="1"/>
    <col min="3" max="3" width="29" customWidth="1"/>
    <col min="4" max="4" width="14.8984375" customWidth="1"/>
    <col min="5" max="5" width="13.5" customWidth="1"/>
    <col min="6" max="6" width="18.5" customWidth="1"/>
    <col min="7" max="7" width="17.3984375" customWidth="1"/>
    <col min="8" max="8" width="22.5" customWidth="1"/>
    <col min="9" max="9" width="21.59765625" customWidth="1"/>
  </cols>
  <sheetData>
    <row r="1" spans="1:8" s="8" customFormat="1" x14ac:dyDescent="0.25">
      <c r="A1" s="8" t="s">
        <v>2440</v>
      </c>
      <c r="B1" s="8" t="s">
        <v>2441</v>
      </c>
      <c r="C1" s="8" t="s">
        <v>2442</v>
      </c>
      <c r="D1" s="8" t="s">
        <v>2443</v>
      </c>
      <c r="E1" s="8" t="s">
        <v>2444</v>
      </c>
      <c r="F1" s="8" t="s">
        <v>2445</v>
      </c>
      <c r="G1" s="8" t="s">
        <v>2446</v>
      </c>
      <c r="H1" s="8" t="s">
        <v>2447</v>
      </c>
    </row>
    <row r="2" spans="1:8" x14ac:dyDescent="0.25">
      <c r="A2" s="15">
        <f>SUM(SalesData[Revenue])</f>
        <v>117278</v>
      </c>
      <c r="B2" s="15">
        <f>SUM(SalesData[Profit])</f>
        <v>81853.48000000001</v>
      </c>
      <c r="C2">
        <f>COUNTA(_xlfn.UNIQUE(SalesData[Order ID]))</f>
        <v>1000</v>
      </c>
      <c r="D2">
        <f>COUNTIFS(SalesData[Shipment Status],"Delivered")
 / COUNTA(SalesData[Order ID])</f>
        <v>0.60199999999999998</v>
      </c>
      <c r="E2">
        <f>COUNTIFS(SalesData[Shipment Status],"Returned")
 / COUNTA(SalesData[Order ID])</f>
        <v>7.1999999999999995E-2</v>
      </c>
      <c r="F2">
        <f>AVERAGE(SalesData[Profit Margin])</f>
        <v>0.69790628333333427</v>
      </c>
      <c r="G2">
        <f>COUNTA(_xlfn.UNIQUE(SalesData[Customer ID]))</f>
        <v>199</v>
      </c>
      <c r="H2">
        <f>COUNTA(_xlfn.UNIQUE(SalesData[Order ID]))</f>
        <v>1000</v>
      </c>
    </row>
    <row r="5" spans="1:8" s="8" customFormat="1" x14ac:dyDescent="0.25">
      <c r="A5" s="8" t="s">
        <v>2448</v>
      </c>
      <c r="B5" s="8" t="s">
        <v>2449</v>
      </c>
      <c r="C5" s="8" t="s">
        <v>2450</v>
      </c>
    </row>
    <row r="6" spans="1:8" x14ac:dyDescent="0.25">
      <c r="A6">
        <f>COUNTIFS(SalesData[Shipment Status],"Delivered")</f>
        <v>602</v>
      </c>
      <c r="B6">
        <f>COUNTIFS(SalesData[Shipment Status],"Returned")</f>
        <v>72</v>
      </c>
      <c r="C6">
        <f>SUMIFS(SalesData[Revenue],
        SalesData[Month],A13)</f>
        <v>0</v>
      </c>
    </row>
    <row r="10" spans="1:8" x14ac:dyDescent="0.25">
      <c r="A10" s="8"/>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4C1C-19C6-4267-8B81-8D238F96F5CA}">
  <dimension ref="A1:O49"/>
  <sheetViews>
    <sheetView workbookViewId="0">
      <selection activeCell="L37" sqref="L37"/>
    </sheetView>
  </sheetViews>
  <sheetFormatPr defaultRowHeight="13.8" x14ac:dyDescent="0.25"/>
  <cols>
    <col min="1" max="1" width="13" customWidth="1"/>
    <col min="2" max="2" width="15.5" customWidth="1"/>
    <col min="3" max="3" width="12.5" customWidth="1"/>
    <col min="14" max="14" width="13" customWidth="1"/>
    <col min="15" max="15" width="16.5" customWidth="1"/>
  </cols>
  <sheetData>
    <row r="1" spans="1:15" x14ac:dyDescent="0.25">
      <c r="A1" s="9" t="s">
        <v>2451</v>
      </c>
      <c r="B1" t="s">
        <v>2465</v>
      </c>
    </row>
    <row r="2" spans="1:15" x14ac:dyDescent="0.25">
      <c r="A2" s="10" t="s">
        <v>2452</v>
      </c>
      <c r="B2" s="11">
        <v>12522</v>
      </c>
    </row>
    <row r="3" spans="1:15" x14ac:dyDescent="0.25">
      <c r="A3" s="10" t="s">
        <v>2453</v>
      </c>
      <c r="B3" s="11">
        <v>9126</v>
      </c>
    </row>
    <row r="4" spans="1:15" x14ac:dyDescent="0.25">
      <c r="A4" s="10" t="s">
        <v>2454</v>
      </c>
      <c r="B4" s="11">
        <v>10068</v>
      </c>
    </row>
    <row r="5" spans="1:15" x14ac:dyDescent="0.25">
      <c r="A5" s="10" t="s">
        <v>2455</v>
      </c>
      <c r="B5" s="11">
        <v>11214</v>
      </c>
      <c r="N5" s="9" t="s">
        <v>2451</v>
      </c>
      <c r="O5" t="s">
        <v>2467</v>
      </c>
    </row>
    <row r="6" spans="1:15" x14ac:dyDescent="0.25">
      <c r="A6" s="10" t="s">
        <v>2456</v>
      </c>
      <c r="B6" s="11">
        <v>11006</v>
      </c>
      <c r="N6" s="10" t="s">
        <v>1414</v>
      </c>
      <c r="O6" s="11">
        <v>602</v>
      </c>
    </row>
    <row r="7" spans="1:15" x14ac:dyDescent="0.25">
      <c r="A7" s="10" t="s">
        <v>2457</v>
      </c>
      <c r="B7" s="11">
        <v>7062</v>
      </c>
      <c r="N7" s="10" t="s">
        <v>1415</v>
      </c>
      <c r="O7" s="11">
        <v>91</v>
      </c>
    </row>
    <row r="8" spans="1:15" x14ac:dyDescent="0.25">
      <c r="A8" s="10" t="s">
        <v>2458</v>
      </c>
      <c r="B8" s="11">
        <v>9817</v>
      </c>
      <c r="N8" s="10" t="s">
        <v>1417</v>
      </c>
      <c r="O8" s="11">
        <v>72</v>
      </c>
    </row>
    <row r="9" spans="1:15" x14ac:dyDescent="0.25">
      <c r="A9" s="10" t="s">
        <v>2459</v>
      </c>
      <c r="B9" s="11">
        <v>9506</v>
      </c>
      <c r="N9" s="10" t="s">
        <v>1416</v>
      </c>
      <c r="O9" s="11">
        <v>235</v>
      </c>
    </row>
    <row r="10" spans="1:15" x14ac:dyDescent="0.25">
      <c r="A10" s="10" t="s">
        <v>2460</v>
      </c>
      <c r="B10" s="11">
        <v>7099</v>
      </c>
      <c r="N10" s="10" t="s">
        <v>2464</v>
      </c>
      <c r="O10" s="11">
        <v>1000</v>
      </c>
    </row>
    <row r="11" spans="1:15" x14ac:dyDescent="0.25">
      <c r="A11" s="10" t="s">
        <v>2461</v>
      </c>
      <c r="B11" s="11">
        <v>11384</v>
      </c>
    </row>
    <row r="12" spans="1:15" x14ac:dyDescent="0.25">
      <c r="A12" s="10" t="s">
        <v>2462</v>
      </c>
      <c r="B12" s="11">
        <v>8308</v>
      </c>
    </row>
    <row r="13" spans="1:15" x14ac:dyDescent="0.25">
      <c r="A13" s="10" t="s">
        <v>2463</v>
      </c>
      <c r="B13" s="11">
        <v>10166</v>
      </c>
    </row>
    <row r="14" spans="1:15" x14ac:dyDescent="0.25">
      <c r="A14" s="10" t="s">
        <v>2464</v>
      </c>
      <c r="B14" s="11">
        <v>117278</v>
      </c>
    </row>
    <row r="20" spans="1:3" x14ac:dyDescent="0.25">
      <c r="A20" s="9" t="s">
        <v>2451</v>
      </c>
      <c r="B20" t="s">
        <v>2465</v>
      </c>
      <c r="C20" t="s">
        <v>2466</v>
      </c>
    </row>
    <row r="21" spans="1:3" x14ac:dyDescent="0.25">
      <c r="A21" s="10" t="s">
        <v>1013</v>
      </c>
      <c r="B21" s="11">
        <v>28700</v>
      </c>
      <c r="C21" s="11">
        <v>20008.09</v>
      </c>
    </row>
    <row r="22" spans="1:3" x14ac:dyDescent="0.25">
      <c r="A22" s="10" t="s">
        <v>2431</v>
      </c>
      <c r="B22" s="11">
        <v>10320</v>
      </c>
      <c r="C22" s="11">
        <v>7240.4499999999989</v>
      </c>
    </row>
    <row r="23" spans="1:3" x14ac:dyDescent="0.25">
      <c r="A23" s="10" t="s">
        <v>1011</v>
      </c>
      <c r="B23" s="11">
        <v>11268</v>
      </c>
      <c r="C23" s="11">
        <v>7813.3499999999976</v>
      </c>
    </row>
    <row r="24" spans="1:3" x14ac:dyDescent="0.25">
      <c r="A24" s="10" t="s">
        <v>1014</v>
      </c>
      <c r="B24" s="11">
        <v>16590</v>
      </c>
      <c r="C24" s="11">
        <v>11561.21</v>
      </c>
    </row>
    <row r="25" spans="1:3" x14ac:dyDescent="0.25">
      <c r="A25" s="10" t="s">
        <v>1012</v>
      </c>
      <c r="B25" s="11">
        <v>50400</v>
      </c>
      <c r="C25" s="11">
        <v>35230.37999999999</v>
      </c>
    </row>
    <row r="26" spans="1:3" x14ac:dyDescent="0.25">
      <c r="A26" s="10" t="s">
        <v>2464</v>
      </c>
      <c r="B26" s="11">
        <v>117278</v>
      </c>
      <c r="C26" s="11">
        <v>81853.479999999981</v>
      </c>
    </row>
    <row r="38" spans="2:3" x14ac:dyDescent="0.25">
      <c r="B38" s="9" t="s">
        <v>2451</v>
      </c>
      <c r="C38" t="s">
        <v>2465</v>
      </c>
    </row>
    <row r="39" spans="2:3" x14ac:dyDescent="0.25">
      <c r="B39" s="10" t="s">
        <v>2477</v>
      </c>
      <c r="C39" s="11">
        <v>2374</v>
      </c>
    </row>
    <row r="40" spans="2:3" x14ac:dyDescent="0.25">
      <c r="B40" s="10" t="s">
        <v>2476</v>
      </c>
      <c r="C40" s="11">
        <v>2808</v>
      </c>
    </row>
    <row r="41" spans="2:3" x14ac:dyDescent="0.25">
      <c r="B41" s="10" t="s">
        <v>2475</v>
      </c>
      <c r="C41" s="11">
        <v>2283</v>
      </c>
    </row>
    <row r="42" spans="2:3" x14ac:dyDescent="0.25">
      <c r="B42" s="10" t="s">
        <v>2474</v>
      </c>
      <c r="C42" s="11">
        <v>2077</v>
      </c>
    </row>
    <row r="43" spans="2:3" x14ac:dyDescent="0.25">
      <c r="B43" s="10" t="s">
        <v>2473</v>
      </c>
      <c r="C43" s="11">
        <v>2490</v>
      </c>
    </row>
    <row r="44" spans="2:3" x14ac:dyDescent="0.25">
      <c r="B44" s="10" t="s">
        <v>2472</v>
      </c>
      <c r="C44" s="11">
        <v>2050</v>
      </c>
    </row>
    <row r="45" spans="2:3" x14ac:dyDescent="0.25">
      <c r="B45" s="10" t="s">
        <v>2471</v>
      </c>
      <c r="C45" s="11">
        <v>3215</v>
      </c>
    </row>
    <row r="46" spans="2:3" x14ac:dyDescent="0.25">
      <c r="B46" s="10" t="s">
        <v>2470</v>
      </c>
      <c r="C46" s="11">
        <v>2230</v>
      </c>
    </row>
    <row r="47" spans="2:3" x14ac:dyDescent="0.25">
      <c r="B47" s="10" t="s">
        <v>2469</v>
      </c>
      <c r="C47" s="11">
        <v>2496</v>
      </c>
    </row>
    <row r="48" spans="2:3" x14ac:dyDescent="0.25">
      <c r="B48" s="10" t="s">
        <v>2468</v>
      </c>
      <c r="C48" s="11">
        <v>2588</v>
      </c>
    </row>
    <row r="49" spans="2:3" x14ac:dyDescent="0.25">
      <c r="B49" s="10" t="s">
        <v>2464</v>
      </c>
      <c r="C49" s="11">
        <v>24611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97FFB-6BCE-4A90-9480-EBD2AC8E3B53}">
  <dimension ref="A1:P7"/>
  <sheetViews>
    <sheetView showGridLines="0" showRowColHeaders="0" tabSelected="1" zoomScale="90" zoomScaleNormal="90" workbookViewId="0">
      <selection activeCell="P48" sqref="P48"/>
    </sheetView>
  </sheetViews>
  <sheetFormatPr defaultRowHeight="13.8" x14ac:dyDescent="0.25"/>
  <cols>
    <col min="2" max="2" width="18" customWidth="1"/>
    <col min="3" max="3" width="10.5" customWidth="1"/>
    <col min="4" max="4" width="4.3984375" customWidth="1"/>
    <col min="5" max="5" width="12" customWidth="1"/>
    <col min="6" max="6" width="4.69921875" customWidth="1"/>
    <col min="9" max="9" width="19" customWidth="1"/>
    <col min="15" max="15" width="9" customWidth="1"/>
    <col min="16" max="16" width="55.3984375" customWidth="1"/>
    <col min="17" max="19" width="9" customWidth="1"/>
  </cols>
  <sheetData>
    <row r="1" spans="1:16" ht="15" customHeight="1" x14ac:dyDescent="0.25">
      <c r="A1" s="24" t="s">
        <v>2478</v>
      </c>
      <c r="B1" s="24"/>
      <c r="C1" s="24"/>
      <c r="D1" s="24"/>
      <c r="E1" s="24"/>
      <c r="F1" s="24"/>
      <c r="G1" s="24"/>
      <c r="H1" s="24"/>
      <c r="I1" s="24"/>
      <c r="J1" s="24"/>
      <c r="K1" s="24"/>
      <c r="L1" s="24"/>
      <c r="M1" s="24"/>
      <c r="N1" s="24"/>
      <c r="O1" s="24"/>
      <c r="P1" s="24"/>
    </row>
    <row r="2" spans="1:16" ht="15" customHeight="1" x14ac:dyDescent="0.25">
      <c r="A2" s="24"/>
      <c r="B2" s="24"/>
      <c r="C2" s="24"/>
      <c r="D2" s="24"/>
      <c r="E2" s="24"/>
      <c r="F2" s="24"/>
      <c r="G2" s="24"/>
      <c r="H2" s="24"/>
      <c r="I2" s="24"/>
      <c r="J2" s="24"/>
      <c r="K2" s="24"/>
      <c r="L2" s="24"/>
      <c r="M2" s="24"/>
      <c r="N2" s="24"/>
      <c r="O2" s="24"/>
      <c r="P2" s="24"/>
    </row>
    <row r="3" spans="1:16" ht="15" customHeight="1" x14ac:dyDescent="0.25">
      <c r="A3" s="24"/>
      <c r="B3" s="24"/>
      <c r="C3" s="24"/>
      <c r="D3" s="24"/>
      <c r="E3" s="24"/>
      <c r="F3" s="24"/>
      <c r="G3" s="24"/>
      <c r="H3" s="24"/>
      <c r="I3" s="24"/>
      <c r="J3" s="24"/>
      <c r="K3" s="24"/>
      <c r="L3" s="24"/>
      <c r="M3" s="24"/>
      <c r="N3" s="24"/>
      <c r="O3" s="24"/>
      <c r="P3" s="24"/>
    </row>
    <row r="4" spans="1:16" ht="15" customHeight="1" x14ac:dyDescent="0.25">
      <c r="A4" s="24"/>
      <c r="B4" s="24"/>
      <c r="C4" s="24"/>
      <c r="D4" s="24"/>
      <c r="E4" s="24"/>
      <c r="F4" s="24"/>
      <c r="G4" s="24"/>
      <c r="H4" s="24"/>
      <c r="I4" s="24"/>
      <c r="J4" s="24"/>
      <c r="K4" s="24"/>
      <c r="L4" s="24"/>
      <c r="M4" s="24"/>
      <c r="N4" s="24"/>
      <c r="O4" s="24"/>
      <c r="P4" s="24"/>
    </row>
    <row r="5" spans="1:16" ht="14.4" thickBot="1" x14ac:dyDescent="0.3"/>
    <row r="6" spans="1:16" ht="14.4" thickBot="1" x14ac:dyDescent="0.3">
      <c r="B6" s="18" t="s">
        <v>2440</v>
      </c>
      <c r="C6" s="12"/>
      <c r="D6" s="12"/>
      <c r="E6" s="18" t="s">
        <v>2441</v>
      </c>
      <c r="F6" s="12"/>
      <c r="H6" s="20" t="s">
        <v>2479</v>
      </c>
      <c r="I6" s="21"/>
      <c r="K6" s="22" t="s">
        <v>2443</v>
      </c>
      <c r="L6" s="23"/>
      <c r="N6" s="22" t="s">
        <v>2444</v>
      </c>
      <c r="O6" s="23"/>
    </row>
    <row r="7" spans="1:16" x14ac:dyDescent="0.25">
      <c r="B7" s="17" cm="1">
        <f t="array" ref="B7">OrderAndCustomerKPIs[Total Revenue]</f>
        <v>117278</v>
      </c>
      <c r="C7" s="16"/>
      <c r="D7" s="16"/>
      <c r="E7" s="17" cm="1">
        <f t="array" ref="E7">OrderAndCustomerKPIs[Total Profit]</f>
        <v>81853.48000000001</v>
      </c>
      <c r="F7" s="16"/>
      <c r="H7" s="19">
        <f>KPI_Calculations!C2</f>
        <v>1000</v>
      </c>
      <c r="I7" s="19"/>
      <c r="K7" s="19">
        <f>KPI_Calculations!D2</f>
        <v>0.60199999999999998</v>
      </c>
      <c r="L7" s="19"/>
      <c r="N7" s="19">
        <f>KPI_Calculations!E2</f>
        <v>7.1999999999999995E-2</v>
      </c>
      <c r="O7" s="19"/>
    </row>
  </sheetData>
  <mergeCells count="7">
    <mergeCell ref="A1:P4"/>
    <mergeCell ref="N7:O7"/>
    <mergeCell ref="H6:I6"/>
    <mergeCell ref="H7:I7"/>
    <mergeCell ref="K6:L6"/>
    <mergeCell ref="K7:L7"/>
    <mergeCell ref="N6:O6"/>
  </mergeCells>
  <pageMargins left="0.25" right="0.25" top="0.75" bottom="0.75" header="0.3" footer="0.3"/>
  <pageSetup paperSize="25" fitToWidth="0"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KPI_Calculations</vt:lpstr>
      <vt:lpstr>Pivot_Tables_And_Charts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Lola Awotuga</dc:creator>
  <cp:lastModifiedBy>Lola Awotuga</cp:lastModifiedBy>
  <dcterms:created xsi:type="dcterms:W3CDTF">2025-05-06T09:30:03Z</dcterms:created>
  <dcterms:modified xsi:type="dcterms:W3CDTF">2025-12-18T16:19:52Z</dcterms:modified>
</cp:coreProperties>
</file>